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3575" windowHeight="4410" activeTab="2"/>
  </bookViews>
  <sheets>
    <sheet name="AS400" sheetId="1" r:id="rId1"/>
    <sheet name="Web_Output" sheetId="4" r:id="rId2"/>
    <sheet name="Scenarios" sheetId="2" r:id="rId3"/>
    <sheet name="Google" sheetId="3" r:id="rId4"/>
  </sheets>
  <calcPr calcId="145621"/>
</workbook>
</file>

<file path=xl/calcChain.xml><?xml version="1.0" encoding="utf-8"?>
<calcChain xmlns="http://schemas.openxmlformats.org/spreadsheetml/2006/main">
  <c r="IV8" i="1" l="1"/>
  <c r="IV9" i="1"/>
  <c r="IV10" i="1"/>
  <c r="IV11" i="1"/>
  <c r="IV12" i="1"/>
  <c r="IV13" i="1"/>
  <c r="IV14" i="1"/>
  <c r="IV15" i="1"/>
  <c r="IV16" i="1"/>
  <c r="IV17" i="1"/>
  <c r="IV18" i="1"/>
  <c r="IV19" i="1"/>
  <c r="IV20" i="1"/>
  <c r="IV21" i="1"/>
  <c r="IV22" i="1"/>
  <c r="IV23" i="1"/>
  <c r="IV24" i="1"/>
  <c r="IV25" i="1"/>
  <c r="IV26" i="1"/>
  <c r="IV27" i="1"/>
  <c r="IV28" i="1"/>
  <c r="IV29" i="1"/>
  <c r="IV30" i="1"/>
  <c r="IV31" i="1"/>
  <c r="IV32" i="1"/>
  <c r="IV33" i="1"/>
  <c r="IV34" i="1"/>
  <c r="IV35" i="1"/>
  <c r="IV36" i="1"/>
  <c r="IV37" i="1"/>
  <c r="IV38" i="1"/>
  <c r="IV39" i="1"/>
  <c r="IV40" i="1"/>
  <c r="IV41" i="1"/>
  <c r="IV42" i="1"/>
  <c r="IV43" i="1"/>
  <c r="IV44" i="1"/>
  <c r="IV45" i="1"/>
  <c r="IV46" i="1"/>
  <c r="IV47" i="1"/>
  <c r="IV48" i="1"/>
  <c r="IV49" i="1"/>
  <c r="IV50" i="1"/>
  <c r="IV51" i="1"/>
  <c r="IV52" i="1"/>
  <c r="IV53" i="1"/>
  <c r="IV54" i="1"/>
  <c r="IV55" i="1"/>
  <c r="IV56" i="1"/>
  <c r="IV57" i="1"/>
  <c r="IV58" i="1"/>
  <c r="IV59" i="1"/>
  <c r="IV60" i="1"/>
  <c r="IV61" i="1"/>
  <c r="IV62" i="1"/>
  <c r="IV63" i="1"/>
  <c r="IV64" i="1"/>
  <c r="IV65" i="1"/>
  <c r="IV66" i="1"/>
  <c r="IV67" i="1"/>
  <c r="IV68" i="1"/>
  <c r="IV69" i="1"/>
  <c r="IV70" i="1"/>
  <c r="IV71" i="1"/>
  <c r="IV72" i="1"/>
  <c r="IV73" i="1"/>
  <c r="IV74" i="1"/>
  <c r="IV75" i="1"/>
  <c r="IV76" i="1"/>
  <c r="IV77" i="1"/>
  <c r="IV78" i="1"/>
  <c r="IV79" i="1"/>
  <c r="IV80" i="1"/>
  <c r="IV81" i="1"/>
  <c r="IV82" i="1"/>
  <c r="IV83" i="1"/>
  <c r="IV84" i="1"/>
  <c r="IV85" i="1"/>
  <c r="IV86" i="1"/>
  <c r="IV87" i="1"/>
  <c r="IV88" i="1"/>
  <c r="IV89" i="1"/>
  <c r="IV90" i="1"/>
  <c r="IV91" i="1"/>
  <c r="IV92" i="1"/>
  <c r="IV93" i="1"/>
  <c r="IV94" i="1"/>
  <c r="IV95" i="1"/>
  <c r="IV96" i="1"/>
  <c r="IV97" i="1"/>
  <c r="IV98" i="1"/>
  <c r="IV99" i="1"/>
  <c r="IV100" i="1"/>
  <c r="IV101" i="1"/>
  <c r="IV102" i="1"/>
  <c r="IV103" i="1"/>
  <c r="IV104" i="1"/>
  <c r="IV105" i="1"/>
  <c r="IV106" i="1"/>
  <c r="IV7" i="1"/>
  <c r="HU8" i="1"/>
  <c r="HU9" i="1"/>
  <c r="HU10" i="1"/>
  <c r="HU11" i="1"/>
  <c r="HU12" i="1"/>
  <c r="HU13" i="1"/>
  <c r="HU14" i="1"/>
  <c r="HU15" i="1"/>
  <c r="HU16" i="1"/>
  <c r="HU17" i="1"/>
  <c r="HU18" i="1"/>
  <c r="HU19" i="1"/>
  <c r="HU20" i="1"/>
  <c r="HU21" i="1"/>
  <c r="HU22" i="1"/>
  <c r="HU23" i="1"/>
  <c r="HU24" i="1"/>
  <c r="HU25" i="1"/>
  <c r="HU26" i="1"/>
  <c r="HU27" i="1"/>
  <c r="HU28" i="1"/>
  <c r="HU29" i="1"/>
  <c r="HU30" i="1"/>
  <c r="HU31" i="1"/>
  <c r="HU32" i="1"/>
  <c r="HU33" i="1"/>
  <c r="HU34" i="1"/>
  <c r="HU35" i="1"/>
  <c r="HU36" i="1"/>
  <c r="HU37" i="1"/>
  <c r="HU38" i="1"/>
  <c r="HU39" i="1"/>
  <c r="HU40" i="1"/>
  <c r="HU41" i="1"/>
  <c r="HU42" i="1"/>
  <c r="HU43" i="1"/>
  <c r="HU44" i="1"/>
  <c r="HU45" i="1"/>
  <c r="HU46" i="1"/>
  <c r="HU47" i="1"/>
  <c r="HU48" i="1"/>
  <c r="HU49" i="1"/>
  <c r="HU50" i="1"/>
  <c r="HU51" i="1"/>
  <c r="HU52" i="1"/>
  <c r="HU53" i="1"/>
  <c r="HU54" i="1"/>
  <c r="HU55" i="1"/>
  <c r="HU56" i="1"/>
  <c r="HU57" i="1"/>
  <c r="HU58" i="1"/>
  <c r="HU59" i="1"/>
  <c r="HU60" i="1"/>
  <c r="HU61" i="1"/>
  <c r="HU62" i="1"/>
  <c r="HU63" i="1"/>
  <c r="HU64" i="1"/>
  <c r="HU65" i="1"/>
  <c r="HU66" i="1"/>
  <c r="HU67" i="1"/>
  <c r="HU68" i="1"/>
  <c r="HU69" i="1"/>
  <c r="HU70" i="1"/>
  <c r="HU71" i="1"/>
  <c r="HU72" i="1"/>
  <c r="HU73" i="1"/>
  <c r="HU74" i="1"/>
  <c r="HU75" i="1"/>
  <c r="HU76" i="1"/>
  <c r="HU77" i="1"/>
  <c r="HU78" i="1"/>
  <c r="HU79" i="1"/>
  <c r="HU80" i="1"/>
  <c r="HU81" i="1"/>
  <c r="HU82" i="1"/>
  <c r="HU83" i="1"/>
  <c r="HU84" i="1"/>
  <c r="HU85" i="1"/>
  <c r="HU86" i="1"/>
  <c r="HU87" i="1"/>
  <c r="HU88" i="1"/>
  <c r="HU89" i="1"/>
  <c r="HU90" i="1"/>
  <c r="HU91" i="1"/>
  <c r="HU92" i="1"/>
  <c r="HU93" i="1"/>
  <c r="HU94" i="1"/>
  <c r="HU95" i="1"/>
  <c r="HU96" i="1"/>
  <c r="HU97" i="1"/>
  <c r="HU98" i="1"/>
  <c r="HU99" i="1"/>
  <c r="HU100" i="1"/>
  <c r="HU101" i="1"/>
  <c r="HU102" i="1"/>
  <c r="HU103" i="1"/>
  <c r="HU104" i="1"/>
  <c r="HU105" i="1"/>
  <c r="HU106" i="1"/>
  <c r="HU7" i="1"/>
  <c r="GT8" i="1"/>
  <c r="GT9" i="1"/>
  <c r="GT10" i="1"/>
  <c r="GT11" i="1"/>
  <c r="GT12" i="1"/>
  <c r="GT13" i="1"/>
  <c r="GT14" i="1"/>
  <c r="GT15" i="1"/>
  <c r="GT16" i="1"/>
  <c r="GT17" i="1"/>
  <c r="GT18" i="1"/>
  <c r="GT19" i="1"/>
  <c r="GT20" i="1"/>
  <c r="GT21" i="1"/>
  <c r="GT22" i="1"/>
  <c r="GT23" i="1"/>
  <c r="GT24" i="1"/>
  <c r="GT25" i="1"/>
  <c r="GT26" i="1"/>
  <c r="GT27" i="1"/>
  <c r="GT28" i="1"/>
  <c r="GT29" i="1"/>
  <c r="GT30" i="1"/>
  <c r="GT31" i="1"/>
  <c r="GT32" i="1"/>
  <c r="GT33" i="1"/>
  <c r="GT34" i="1"/>
  <c r="GT35" i="1"/>
  <c r="GT36" i="1"/>
  <c r="GT37" i="1"/>
  <c r="GT38" i="1"/>
  <c r="GT39" i="1"/>
  <c r="GT40" i="1"/>
  <c r="GT41" i="1"/>
  <c r="GT42" i="1"/>
  <c r="GT43" i="1"/>
  <c r="GT44" i="1"/>
  <c r="GT45" i="1"/>
  <c r="GT46" i="1"/>
  <c r="GT47" i="1"/>
  <c r="GT48" i="1"/>
  <c r="GT49" i="1"/>
  <c r="GT50" i="1"/>
  <c r="GT51" i="1"/>
  <c r="GT52" i="1"/>
  <c r="GT53" i="1"/>
  <c r="GT54" i="1"/>
  <c r="GT55" i="1"/>
  <c r="GT56" i="1"/>
  <c r="GT57" i="1"/>
  <c r="GT58" i="1"/>
  <c r="GT59" i="1"/>
  <c r="GT60" i="1"/>
  <c r="GT61" i="1"/>
  <c r="GT62" i="1"/>
  <c r="GT63" i="1"/>
  <c r="GT64" i="1"/>
  <c r="GT65" i="1"/>
  <c r="GT66" i="1"/>
  <c r="GT67" i="1"/>
  <c r="GT68" i="1"/>
  <c r="GT69" i="1"/>
  <c r="GT70" i="1"/>
  <c r="GT71" i="1"/>
  <c r="GT72" i="1"/>
  <c r="GT73" i="1"/>
  <c r="GT74" i="1"/>
  <c r="GT75" i="1"/>
  <c r="GT76" i="1"/>
  <c r="GT77" i="1"/>
  <c r="GT78" i="1"/>
  <c r="GT79" i="1"/>
  <c r="GT80" i="1"/>
  <c r="GT81" i="1"/>
  <c r="GT82" i="1"/>
  <c r="GT83" i="1"/>
  <c r="GT84" i="1"/>
  <c r="GT85" i="1"/>
  <c r="GT86" i="1"/>
  <c r="GT87" i="1"/>
  <c r="GT88" i="1"/>
  <c r="GT89" i="1"/>
  <c r="GT90" i="1"/>
  <c r="GT91" i="1"/>
  <c r="GT92" i="1"/>
  <c r="GT93" i="1"/>
  <c r="GT94" i="1"/>
  <c r="GT95" i="1"/>
  <c r="GT96" i="1"/>
  <c r="GT97" i="1"/>
  <c r="GT98" i="1"/>
  <c r="GT99" i="1"/>
  <c r="GT100" i="1"/>
  <c r="GT101" i="1"/>
  <c r="GT102" i="1"/>
  <c r="GT103" i="1"/>
  <c r="GT104" i="1"/>
  <c r="GT105" i="1"/>
  <c r="GT106" i="1"/>
  <c r="GT7" i="1"/>
  <c r="FT8" i="1"/>
  <c r="FU8" i="1"/>
  <c r="FT9" i="1"/>
  <c r="FU9" i="1"/>
  <c r="FT10" i="1"/>
  <c r="FU10" i="1"/>
  <c r="FT11" i="1"/>
  <c r="FU11" i="1"/>
  <c r="FT12" i="1"/>
  <c r="FU12" i="1"/>
  <c r="FT13" i="1"/>
  <c r="FU13" i="1"/>
  <c r="FT14" i="1"/>
  <c r="FU14" i="1"/>
  <c r="FT15" i="1"/>
  <c r="FU15" i="1"/>
  <c r="FT16" i="1"/>
  <c r="FU16" i="1"/>
  <c r="FT17" i="1"/>
  <c r="FU17" i="1"/>
  <c r="FT18" i="1"/>
  <c r="FU18" i="1"/>
  <c r="FT19" i="1"/>
  <c r="FU19" i="1"/>
  <c r="FT20" i="1"/>
  <c r="FU20" i="1"/>
  <c r="FT21" i="1"/>
  <c r="FU21" i="1"/>
  <c r="FT22" i="1"/>
  <c r="FU22" i="1"/>
  <c r="FT23" i="1"/>
  <c r="FU23" i="1"/>
  <c r="FT24" i="1"/>
  <c r="FU24" i="1"/>
  <c r="FT25" i="1"/>
  <c r="FU25" i="1"/>
  <c r="FT26" i="1"/>
  <c r="FU26" i="1"/>
  <c r="FT27" i="1"/>
  <c r="FU27" i="1"/>
  <c r="FT28" i="1"/>
  <c r="FU28" i="1"/>
  <c r="FT29" i="1"/>
  <c r="FU29" i="1"/>
  <c r="FT30" i="1"/>
  <c r="FU30" i="1"/>
  <c r="FT31" i="1"/>
  <c r="FU31" i="1"/>
  <c r="FT32" i="1"/>
  <c r="FU32" i="1"/>
  <c r="FT33" i="1"/>
  <c r="FU33" i="1"/>
  <c r="FT34" i="1"/>
  <c r="FU34" i="1"/>
  <c r="FT35" i="1"/>
  <c r="FU35" i="1"/>
  <c r="FT36" i="1"/>
  <c r="FU36" i="1"/>
  <c r="FT37" i="1"/>
  <c r="FU37" i="1"/>
  <c r="FT38" i="1"/>
  <c r="FU38" i="1"/>
  <c r="FT39" i="1"/>
  <c r="FU39" i="1"/>
  <c r="FT40" i="1"/>
  <c r="FU40" i="1"/>
  <c r="FT41" i="1"/>
  <c r="FU41" i="1"/>
  <c r="FT42" i="1"/>
  <c r="FU42" i="1"/>
  <c r="FT43" i="1"/>
  <c r="FU43" i="1"/>
  <c r="FT44" i="1"/>
  <c r="FU44" i="1"/>
  <c r="FT45" i="1"/>
  <c r="FU45" i="1"/>
  <c r="FT46" i="1"/>
  <c r="FU46" i="1"/>
  <c r="FT47" i="1"/>
  <c r="FU47" i="1"/>
  <c r="FT48" i="1"/>
  <c r="FU48" i="1"/>
  <c r="FT49" i="1"/>
  <c r="FU49" i="1"/>
  <c r="FT50" i="1"/>
  <c r="FU50" i="1"/>
  <c r="FT51" i="1"/>
  <c r="FU51" i="1"/>
  <c r="FT52" i="1"/>
  <c r="FU52" i="1"/>
  <c r="FT53" i="1"/>
  <c r="FU53" i="1"/>
  <c r="FT54" i="1"/>
  <c r="FU54" i="1"/>
  <c r="FT55" i="1"/>
  <c r="FU55" i="1"/>
  <c r="FT56" i="1"/>
  <c r="FU56" i="1"/>
  <c r="FT57" i="1"/>
  <c r="FU57" i="1"/>
  <c r="FT58" i="1"/>
  <c r="FU58" i="1"/>
  <c r="FT59" i="1"/>
  <c r="FU59" i="1"/>
  <c r="FT60" i="1"/>
  <c r="FU60" i="1"/>
  <c r="FT61" i="1"/>
  <c r="FU61" i="1"/>
  <c r="FT62" i="1"/>
  <c r="FU62" i="1"/>
  <c r="FT63" i="1"/>
  <c r="FU63" i="1"/>
  <c r="FT64" i="1"/>
  <c r="FU64" i="1"/>
  <c r="FT65" i="1"/>
  <c r="FU65" i="1"/>
  <c r="FT66" i="1"/>
  <c r="FU66" i="1"/>
  <c r="FT67" i="1"/>
  <c r="FU67" i="1"/>
  <c r="FT68" i="1"/>
  <c r="FU68" i="1"/>
  <c r="FT69" i="1"/>
  <c r="FU69" i="1"/>
  <c r="FT70" i="1"/>
  <c r="FU70" i="1"/>
  <c r="FT71" i="1"/>
  <c r="FU71" i="1"/>
  <c r="FT72" i="1"/>
  <c r="FU72" i="1"/>
  <c r="FT73" i="1"/>
  <c r="FU73" i="1"/>
  <c r="FT74" i="1"/>
  <c r="FU74" i="1"/>
  <c r="FT75" i="1"/>
  <c r="FU75" i="1"/>
  <c r="FT76" i="1"/>
  <c r="FU76" i="1"/>
  <c r="FT77" i="1"/>
  <c r="FU77" i="1"/>
  <c r="FT78" i="1"/>
  <c r="FU78" i="1"/>
  <c r="FT79" i="1"/>
  <c r="FU79" i="1"/>
  <c r="FT80" i="1"/>
  <c r="FU80" i="1"/>
  <c r="FT81" i="1"/>
  <c r="FU81" i="1"/>
  <c r="FT82" i="1"/>
  <c r="FU82" i="1"/>
  <c r="FT83" i="1"/>
  <c r="FU83" i="1"/>
  <c r="FT84" i="1"/>
  <c r="FU84" i="1"/>
  <c r="FT85" i="1"/>
  <c r="FU85" i="1"/>
  <c r="FT86" i="1"/>
  <c r="FU86" i="1"/>
  <c r="FT87" i="1"/>
  <c r="FU87" i="1"/>
  <c r="FT88" i="1"/>
  <c r="FU88" i="1"/>
  <c r="FT89" i="1"/>
  <c r="FU89" i="1"/>
  <c r="FT90" i="1"/>
  <c r="FU90" i="1"/>
  <c r="FT91" i="1"/>
  <c r="FU91" i="1"/>
  <c r="FT92" i="1"/>
  <c r="FU92" i="1"/>
  <c r="FT93" i="1"/>
  <c r="FU93" i="1"/>
  <c r="FT94" i="1"/>
  <c r="FU94" i="1"/>
  <c r="FT95" i="1"/>
  <c r="FU95" i="1"/>
  <c r="FT96" i="1"/>
  <c r="FU96" i="1"/>
  <c r="FT97" i="1"/>
  <c r="FU97" i="1"/>
  <c r="FT98" i="1"/>
  <c r="FU98" i="1"/>
  <c r="FT99" i="1"/>
  <c r="FU99" i="1"/>
  <c r="FT100" i="1"/>
  <c r="FU100" i="1"/>
  <c r="FT101" i="1"/>
  <c r="FU101" i="1"/>
  <c r="FT102" i="1"/>
  <c r="FU102" i="1"/>
  <c r="FT103" i="1"/>
  <c r="FU103" i="1"/>
  <c r="FT104" i="1"/>
  <c r="FU104" i="1"/>
  <c r="FT105" i="1"/>
  <c r="FU105" i="1"/>
  <c r="FT106" i="1"/>
  <c r="FU106" i="1"/>
  <c r="FU7" i="1"/>
  <c r="FT7" i="1"/>
  <c r="FS8" i="1"/>
  <c r="FS9" i="1"/>
  <c r="FS10" i="1"/>
  <c r="FS11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3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89" i="1"/>
  <c r="FS90" i="1"/>
  <c r="FS91" i="1"/>
  <c r="FS92" i="1"/>
  <c r="FS93" i="1"/>
  <c r="FS94" i="1"/>
  <c r="FS95" i="1"/>
  <c r="FS96" i="1"/>
  <c r="FS97" i="1"/>
  <c r="FS98" i="1"/>
  <c r="FS99" i="1"/>
  <c r="FS100" i="1"/>
  <c r="FS101" i="1"/>
  <c r="FS102" i="1"/>
  <c r="FS103" i="1"/>
  <c r="FS104" i="1"/>
  <c r="FS105" i="1"/>
  <c r="FS106" i="1"/>
  <c r="FS7" i="1"/>
  <c r="CO9" i="4" l="1"/>
  <c r="BB9" i="4"/>
  <c r="CO7" i="4" l="1"/>
  <c r="FS8" i="4" l="1"/>
  <c r="FS9" i="4"/>
  <c r="FS10" i="4"/>
  <c r="FS11" i="4"/>
  <c r="FS12" i="4"/>
  <c r="FS13" i="4"/>
  <c r="FS14" i="4"/>
  <c r="FS15" i="4"/>
  <c r="FS16" i="4"/>
  <c r="FS17" i="4"/>
  <c r="FS18" i="4"/>
  <c r="FS19" i="4"/>
  <c r="FS20" i="4"/>
  <c r="FS21" i="4"/>
  <c r="FS22" i="4"/>
  <c r="FS23" i="4"/>
  <c r="FS24" i="4"/>
  <c r="FS25" i="4"/>
  <c r="FS26" i="4"/>
  <c r="FS27" i="4"/>
  <c r="FS28" i="4"/>
  <c r="FS29" i="4"/>
  <c r="FS30" i="4"/>
  <c r="FS31" i="4"/>
  <c r="FS32" i="4"/>
  <c r="FS33" i="4"/>
  <c r="FS34" i="4"/>
  <c r="FS35" i="4"/>
  <c r="FS36" i="4"/>
  <c r="FS37" i="4"/>
  <c r="FS38" i="4"/>
  <c r="FS39" i="4"/>
  <c r="FS40" i="4"/>
  <c r="FS41" i="4"/>
  <c r="FS42" i="4"/>
  <c r="FS43" i="4"/>
  <c r="FS44" i="4"/>
  <c r="FS45" i="4"/>
  <c r="FS46" i="4"/>
  <c r="FS47" i="4"/>
  <c r="FS48" i="4"/>
  <c r="FS49" i="4"/>
  <c r="FS50" i="4"/>
  <c r="FS51" i="4"/>
  <c r="FS52" i="4"/>
  <c r="FS53" i="4"/>
  <c r="FS54" i="4"/>
  <c r="FS55" i="4"/>
  <c r="FS56" i="4"/>
  <c r="FS57" i="4"/>
  <c r="FS58" i="4"/>
  <c r="FS59" i="4"/>
  <c r="FS60" i="4"/>
  <c r="FS61" i="4"/>
  <c r="FS62" i="4"/>
  <c r="FS63" i="4"/>
  <c r="FS64" i="4"/>
  <c r="FS65" i="4"/>
  <c r="FS66" i="4"/>
  <c r="FS67" i="4"/>
  <c r="FS68" i="4"/>
  <c r="FS69" i="4"/>
  <c r="FS70" i="4"/>
  <c r="FS71" i="4"/>
  <c r="FS72" i="4"/>
  <c r="FS73" i="4"/>
  <c r="FS74" i="4"/>
  <c r="FS75" i="4"/>
  <c r="FS76" i="4"/>
  <c r="FS77" i="4"/>
  <c r="FS78" i="4"/>
  <c r="FS79" i="4"/>
  <c r="FS80" i="4"/>
  <c r="FS81" i="4"/>
  <c r="FS82" i="4"/>
  <c r="FS83" i="4"/>
  <c r="FS84" i="4"/>
  <c r="FS85" i="4"/>
  <c r="FS86" i="4"/>
  <c r="FS87" i="4"/>
  <c r="FS88" i="4"/>
  <c r="FS89" i="4"/>
  <c r="FS90" i="4"/>
  <c r="FS91" i="4"/>
  <c r="FS92" i="4"/>
  <c r="FS93" i="4"/>
  <c r="FS94" i="4"/>
  <c r="FS95" i="4"/>
  <c r="FS96" i="4"/>
  <c r="FS97" i="4"/>
  <c r="FS98" i="4"/>
  <c r="FS99" i="4"/>
  <c r="FS100" i="4"/>
  <c r="FS101" i="4"/>
  <c r="FS102" i="4"/>
  <c r="FS103" i="4"/>
  <c r="FS104" i="4"/>
  <c r="FS105" i="4"/>
  <c r="FS106" i="4"/>
  <c r="FS7" i="4"/>
  <c r="FO8" i="4"/>
  <c r="FP8" i="4"/>
  <c r="FQ8" i="4"/>
  <c r="FR8" i="4"/>
  <c r="FO9" i="4"/>
  <c r="FP9" i="4"/>
  <c r="FQ9" i="4"/>
  <c r="FR9" i="4"/>
  <c r="FO10" i="4"/>
  <c r="FP10" i="4"/>
  <c r="FQ10" i="4"/>
  <c r="FR10" i="4"/>
  <c r="FO11" i="4"/>
  <c r="FP11" i="4"/>
  <c r="FQ11" i="4"/>
  <c r="FR11" i="4"/>
  <c r="FO12" i="4"/>
  <c r="FP12" i="4"/>
  <c r="FQ12" i="4"/>
  <c r="FR12" i="4"/>
  <c r="FO13" i="4"/>
  <c r="FP13" i="4"/>
  <c r="FQ13" i="4"/>
  <c r="FR13" i="4"/>
  <c r="FO14" i="4"/>
  <c r="FP14" i="4"/>
  <c r="FQ14" i="4"/>
  <c r="FR14" i="4"/>
  <c r="FO15" i="4"/>
  <c r="FP15" i="4"/>
  <c r="FQ15" i="4"/>
  <c r="FR15" i="4"/>
  <c r="FO16" i="4"/>
  <c r="FP16" i="4"/>
  <c r="FQ16" i="4"/>
  <c r="FR16" i="4"/>
  <c r="FO17" i="4"/>
  <c r="FP17" i="4"/>
  <c r="FQ17" i="4"/>
  <c r="FR17" i="4"/>
  <c r="FO18" i="4"/>
  <c r="FP18" i="4"/>
  <c r="FQ18" i="4"/>
  <c r="FR18" i="4"/>
  <c r="FO19" i="4"/>
  <c r="FP19" i="4"/>
  <c r="FQ19" i="4"/>
  <c r="FR19" i="4"/>
  <c r="FO20" i="4"/>
  <c r="FP20" i="4"/>
  <c r="FQ20" i="4"/>
  <c r="FR20" i="4"/>
  <c r="FO21" i="4"/>
  <c r="FP21" i="4"/>
  <c r="FQ21" i="4"/>
  <c r="FR21" i="4"/>
  <c r="FO22" i="4"/>
  <c r="FP22" i="4"/>
  <c r="FQ22" i="4"/>
  <c r="FR22" i="4"/>
  <c r="FO23" i="4"/>
  <c r="FP23" i="4"/>
  <c r="FQ23" i="4"/>
  <c r="FR23" i="4"/>
  <c r="FO24" i="4"/>
  <c r="FP24" i="4"/>
  <c r="FQ24" i="4"/>
  <c r="FR24" i="4"/>
  <c r="FO25" i="4"/>
  <c r="FP25" i="4"/>
  <c r="FQ25" i="4"/>
  <c r="FR25" i="4"/>
  <c r="FO26" i="4"/>
  <c r="FP26" i="4"/>
  <c r="FQ26" i="4"/>
  <c r="FR26" i="4"/>
  <c r="FO27" i="4"/>
  <c r="FP27" i="4"/>
  <c r="FQ27" i="4"/>
  <c r="FR27" i="4"/>
  <c r="FO28" i="4"/>
  <c r="FP28" i="4"/>
  <c r="FQ28" i="4"/>
  <c r="FR28" i="4"/>
  <c r="FO29" i="4"/>
  <c r="FP29" i="4"/>
  <c r="FQ29" i="4"/>
  <c r="FR29" i="4"/>
  <c r="FO30" i="4"/>
  <c r="FP30" i="4"/>
  <c r="FQ30" i="4"/>
  <c r="FR30" i="4"/>
  <c r="FO31" i="4"/>
  <c r="FP31" i="4"/>
  <c r="FQ31" i="4"/>
  <c r="FR31" i="4"/>
  <c r="FO32" i="4"/>
  <c r="FP32" i="4"/>
  <c r="FQ32" i="4"/>
  <c r="FR32" i="4"/>
  <c r="FO33" i="4"/>
  <c r="FP33" i="4"/>
  <c r="FQ33" i="4"/>
  <c r="FR33" i="4"/>
  <c r="FO34" i="4"/>
  <c r="FP34" i="4"/>
  <c r="FQ34" i="4"/>
  <c r="FR34" i="4"/>
  <c r="FO35" i="4"/>
  <c r="FP35" i="4"/>
  <c r="FQ35" i="4"/>
  <c r="FR35" i="4"/>
  <c r="FO36" i="4"/>
  <c r="FP36" i="4"/>
  <c r="FQ36" i="4"/>
  <c r="FR36" i="4"/>
  <c r="FO37" i="4"/>
  <c r="FP37" i="4"/>
  <c r="FQ37" i="4"/>
  <c r="FR37" i="4"/>
  <c r="FO38" i="4"/>
  <c r="FP38" i="4"/>
  <c r="FQ38" i="4"/>
  <c r="FR38" i="4"/>
  <c r="FO39" i="4"/>
  <c r="FP39" i="4"/>
  <c r="FQ39" i="4"/>
  <c r="FR39" i="4"/>
  <c r="FO40" i="4"/>
  <c r="FP40" i="4"/>
  <c r="FQ40" i="4"/>
  <c r="FR40" i="4"/>
  <c r="FO41" i="4"/>
  <c r="FP41" i="4"/>
  <c r="FQ41" i="4"/>
  <c r="FR41" i="4"/>
  <c r="FO42" i="4"/>
  <c r="FP42" i="4"/>
  <c r="FQ42" i="4"/>
  <c r="FR42" i="4"/>
  <c r="FO43" i="4"/>
  <c r="FP43" i="4"/>
  <c r="FQ43" i="4"/>
  <c r="FR43" i="4"/>
  <c r="FO44" i="4"/>
  <c r="FP44" i="4"/>
  <c r="FQ44" i="4"/>
  <c r="FR44" i="4"/>
  <c r="FO45" i="4"/>
  <c r="FP45" i="4"/>
  <c r="FQ45" i="4"/>
  <c r="FR45" i="4"/>
  <c r="FO46" i="4"/>
  <c r="FP46" i="4"/>
  <c r="FQ46" i="4"/>
  <c r="FR46" i="4"/>
  <c r="FO47" i="4"/>
  <c r="FP47" i="4"/>
  <c r="FQ47" i="4"/>
  <c r="FR47" i="4"/>
  <c r="FO48" i="4"/>
  <c r="FP48" i="4"/>
  <c r="FQ48" i="4"/>
  <c r="FR48" i="4"/>
  <c r="FO49" i="4"/>
  <c r="FP49" i="4"/>
  <c r="FQ49" i="4"/>
  <c r="FR49" i="4"/>
  <c r="FO50" i="4"/>
  <c r="FP50" i="4"/>
  <c r="FQ50" i="4"/>
  <c r="FR50" i="4"/>
  <c r="FO51" i="4"/>
  <c r="FP51" i="4"/>
  <c r="FQ51" i="4"/>
  <c r="FR51" i="4"/>
  <c r="FO52" i="4"/>
  <c r="FP52" i="4"/>
  <c r="FQ52" i="4"/>
  <c r="FR52" i="4"/>
  <c r="FO53" i="4"/>
  <c r="FP53" i="4"/>
  <c r="FQ53" i="4"/>
  <c r="FR53" i="4"/>
  <c r="FO54" i="4"/>
  <c r="FP54" i="4"/>
  <c r="FQ54" i="4"/>
  <c r="FR54" i="4"/>
  <c r="FO55" i="4"/>
  <c r="FP55" i="4"/>
  <c r="FQ55" i="4"/>
  <c r="FR55" i="4"/>
  <c r="FO56" i="4"/>
  <c r="FP56" i="4"/>
  <c r="FQ56" i="4"/>
  <c r="FR56" i="4"/>
  <c r="FO57" i="4"/>
  <c r="FP57" i="4"/>
  <c r="FQ57" i="4"/>
  <c r="FR57" i="4"/>
  <c r="FO58" i="4"/>
  <c r="FP58" i="4"/>
  <c r="FQ58" i="4"/>
  <c r="FR58" i="4"/>
  <c r="FO59" i="4"/>
  <c r="FP59" i="4"/>
  <c r="FQ59" i="4"/>
  <c r="FR59" i="4"/>
  <c r="FO60" i="4"/>
  <c r="FP60" i="4"/>
  <c r="FQ60" i="4"/>
  <c r="FR60" i="4"/>
  <c r="FO61" i="4"/>
  <c r="FP61" i="4"/>
  <c r="FQ61" i="4"/>
  <c r="FR61" i="4"/>
  <c r="FO62" i="4"/>
  <c r="FP62" i="4"/>
  <c r="FQ62" i="4"/>
  <c r="FR62" i="4"/>
  <c r="FO63" i="4"/>
  <c r="FP63" i="4"/>
  <c r="FQ63" i="4"/>
  <c r="FR63" i="4"/>
  <c r="FO64" i="4"/>
  <c r="FP64" i="4"/>
  <c r="FQ64" i="4"/>
  <c r="FR64" i="4"/>
  <c r="FO65" i="4"/>
  <c r="FP65" i="4"/>
  <c r="FQ65" i="4"/>
  <c r="FR65" i="4"/>
  <c r="FO66" i="4"/>
  <c r="FP66" i="4"/>
  <c r="FQ66" i="4"/>
  <c r="FR66" i="4"/>
  <c r="FO67" i="4"/>
  <c r="FP67" i="4"/>
  <c r="FQ67" i="4"/>
  <c r="FR67" i="4"/>
  <c r="FO68" i="4"/>
  <c r="FP68" i="4"/>
  <c r="FQ68" i="4"/>
  <c r="FR68" i="4"/>
  <c r="FO69" i="4"/>
  <c r="FP69" i="4"/>
  <c r="FQ69" i="4"/>
  <c r="FR69" i="4"/>
  <c r="FO70" i="4"/>
  <c r="FP70" i="4"/>
  <c r="FQ70" i="4"/>
  <c r="FR70" i="4"/>
  <c r="FO71" i="4"/>
  <c r="FP71" i="4"/>
  <c r="FQ71" i="4"/>
  <c r="FR71" i="4"/>
  <c r="FO72" i="4"/>
  <c r="FP72" i="4"/>
  <c r="FQ72" i="4"/>
  <c r="FR72" i="4"/>
  <c r="FO73" i="4"/>
  <c r="FP73" i="4"/>
  <c r="FQ73" i="4"/>
  <c r="FR73" i="4"/>
  <c r="FO74" i="4"/>
  <c r="FP74" i="4"/>
  <c r="FQ74" i="4"/>
  <c r="FR74" i="4"/>
  <c r="FO75" i="4"/>
  <c r="FP75" i="4"/>
  <c r="FQ75" i="4"/>
  <c r="FR75" i="4"/>
  <c r="FO76" i="4"/>
  <c r="FP76" i="4"/>
  <c r="FQ76" i="4"/>
  <c r="FR76" i="4"/>
  <c r="FO77" i="4"/>
  <c r="FP77" i="4"/>
  <c r="FQ77" i="4"/>
  <c r="FR77" i="4"/>
  <c r="FO78" i="4"/>
  <c r="FP78" i="4"/>
  <c r="FQ78" i="4"/>
  <c r="FR78" i="4"/>
  <c r="FO79" i="4"/>
  <c r="FP79" i="4"/>
  <c r="FQ79" i="4"/>
  <c r="FR79" i="4"/>
  <c r="FO80" i="4"/>
  <c r="FP80" i="4"/>
  <c r="FQ80" i="4"/>
  <c r="FR80" i="4"/>
  <c r="FO81" i="4"/>
  <c r="FP81" i="4"/>
  <c r="FQ81" i="4"/>
  <c r="FR81" i="4"/>
  <c r="FO82" i="4"/>
  <c r="FP82" i="4"/>
  <c r="FQ82" i="4"/>
  <c r="FR82" i="4"/>
  <c r="FO83" i="4"/>
  <c r="FP83" i="4"/>
  <c r="FQ83" i="4"/>
  <c r="FR83" i="4"/>
  <c r="FO84" i="4"/>
  <c r="FP84" i="4"/>
  <c r="FQ84" i="4"/>
  <c r="FR84" i="4"/>
  <c r="FO85" i="4"/>
  <c r="FP85" i="4"/>
  <c r="FQ85" i="4"/>
  <c r="FR85" i="4"/>
  <c r="FO86" i="4"/>
  <c r="FP86" i="4"/>
  <c r="FQ86" i="4"/>
  <c r="FR86" i="4"/>
  <c r="FO87" i="4"/>
  <c r="FP87" i="4"/>
  <c r="FQ87" i="4"/>
  <c r="FR87" i="4"/>
  <c r="FO88" i="4"/>
  <c r="FP88" i="4"/>
  <c r="FQ88" i="4"/>
  <c r="FR88" i="4"/>
  <c r="FO89" i="4"/>
  <c r="FP89" i="4"/>
  <c r="FQ89" i="4"/>
  <c r="FR89" i="4"/>
  <c r="FO90" i="4"/>
  <c r="FP90" i="4"/>
  <c r="FQ90" i="4"/>
  <c r="FR90" i="4"/>
  <c r="FO91" i="4"/>
  <c r="FP91" i="4"/>
  <c r="FQ91" i="4"/>
  <c r="FR91" i="4"/>
  <c r="FO92" i="4"/>
  <c r="FP92" i="4"/>
  <c r="FQ92" i="4"/>
  <c r="FR92" i="4"/>
  <c r="FO93" i="4"/>
  <c r="FP93" i="4"/>
  <c r="FQ93" i="4"/>
  <c r="FR93" i="4"/>
  <c r="FO94" i="4"/>
  <c r="FP94" i="4"/>
  <c r="FQ94" i="4"/>
  <c r="FR94" i="4"/>
  <c r="FO95" i="4"/>
  <c r="FP95" i="4"/>
  <c r="FQ95" i="4"/>
  <c r="FR95" i="4"/>
  <c r="FO96" i="4"/>
  <c r="FP96" i="4"/>
  <c r="FQ96" i="4"/>
  <c r="FR96" i="4"/>
  <c r="FO97" i="4"/>
  <c r="FP97" i="4"/>
  <c r="FQ97" i="4"/>
  <c r="FR97" i="4"/>
  <c r="FO98" i="4"/>
  <c r="FP98" i="4"/>
  <c r="FQ98" i="4"/>
  <c r="FR98" i="4"/>
  <c r="FO99" i="4"/>
  <c r="FP99" i="4"/>
  <c r="FQ99" i="4"/>
  <c r="FR99" i="4"/>
  <c r="FO100" i="4"/>
  <c r="FP100" i="4"/>
  <c r="FQ100" i="4"/>
  <c r="FR100" i="4"/>
  <c r="FO101" i="4"/>
  <c r="FP101" i="4"/>
  <c r="FQ101" i="4"/>
  <c r="FR101" i="4"/>
  <c r="FO102" i="4"/>
  <c r="FP102" i="4"/>
  <c r="FQ102" i="4"/>
  <c r="FR102" i="4"/>
  <c r="FO103" i="4"/>
  <c r="FP103" i="4"/>
  <c r="FQ103" i="4"/>
  <c r="FR103" i="4"/>
  <c r="FO104" i="4"/>
  <c r="FP104" i="4"/>
  <c r="FQ104" i="4"/>
  <c r="FR104" i="4"/>
  <c r="FO105" i="4"/>
  <c r="FP105" i="4"/>
  <c r="FQ105" i="4"/>
  <c r="FR105" i="4"/>
  <c r="FO106" i="4"/>
  <c r="FP106" i="4"/>
  <c r="FQ106" i="4"/>
  <c r="FR106" i="4"/>
  <c r="FP7" i="4"/>
  <c r="FQ7" i="4"/>
  <c r="FR7" i="4"/>
  <c r="EV8" i="4"/>
  <c r="EW8" i="4"/>
  <c r="EX8" i="4"/>
  <c r="EY8" i="4"/>
  <c r="EZ8" i="4"/>
  <c r="FA8" i="4"/>
  <c r="FB8" i="4"/>
  <c r="FC8" i="4"/>
  <c r="FD8" i="4"/>
  <c r="FE8" i="4"/>
  <c r="FF8" i="4"/>
  <c r="FG8" i="4"/>
  <c r="FH8" i="4"/>
  <c r="FI8" i="4"/>
  <c r="FJ8" i="4"/>
  <c r="FK8" i="4"/>
  <c r="FL8" i="4"/>
  <c r="FM8" i="4"/>
  <c r="FN8" i="4"/>
  <c r="EV9" i="4"/>
  <c r="EW9" i="4"/>
  <c r="EX9" i="4"/>
  <c r="EY9" i="4"/>
  <c r="EZ9" i="4"/>
  <c r="FA9" i="4"/>
  <c r="FB9" i="4"/>
  <c r="FC9" i="4"/>
  <c r="FD9" i="4"/>
  <c r="FE9" i="4"/>
  <c r="FF9" i="4"/>
  <c r="FG9" i="4"/>
  <c r="FH9" i="4"/>
  <c r="FI9" i="4"/>
  <c r="FJ9" i="4"/>
  <c r="FK9" i="4"/>
  <c r="FL9" i="4"/>
  <c r="FM9" i="4"/>
  <c r="FN9" i="4"/>
  <c r="EV10" i="4"/>
  <c r="EW10" i="4"/>
  <c r="EX10" i="4"/>
  <c r="EY10" i="4"/>
  <c r="EZ10" i="4"/>
  <c r="FA10" i="4"/>
  <c r="FB10" i="4"/>
  <c r="FC10" i="4"/>
  <c r="FD10" i="4"/>
  <c r="FE10" i="4"/>
  <c r="FF10" i="4"/>
  <c r="FG10" i="4"/>
  <c r="FH10" i="4"/>
  <c r="FI10" i="4"/>
  <c r="FJ10" i="4"/>
  <c r="FK10" i="4"/>
  <c r="FL10" i="4"/>
  <c r="FM10" i="4"/>
  <c r="FN10" i="4"/>
  <c r="EV11" i="4"/>
  <c r="EW11" i="4"/>
  <c r="EX11" i="4"/>
  <c r="EY11" i="4"/>
  <c r="EZ11" i="4"/>
  <c r="FA11" i="4"/>
  <c r="FB11" i="4"/>
  <c r="FC11" i="4"/>
  <c r="FD11" i="4"/>
  <c r="FE11" i="4"/>
  <c r="FF11" i="4"/>
  <c r="FG11" i="4"/>
  <c r="FH11" i="4"/>
  <c r="FI11" i="4"/>
  <c r="FJ11" i="4"/>
  <c r="FK11" i="4"/>
  <c r="FL11" i="4"/>
  <c r="FM11" i="4"/>
  <c r="FN11" i="4"/>
  <c r="EV12" i="4"/>
  <c r="EW12" i="4"/>
  <c r="EX12" i="4"/>
  <c r="EY12" i="4"/>
  <c r="EZ12" i="4"/>
  <c r="FA12" i="4"/>
  <c r="FB12" i="4"/>
  <c r="FC12" i="4"/>
  <c r="FD12" i="4"/>
  <c r="FE12" i="4"/>
  <c r="FF12" i="4"/>
  <c r="FG12" i="4"/>
  <c r="FH12" i="4"/>
  <c r="FI12" i="4"/>
  <c r="FJ12" i="4"/>
  <c r="FK12" i="4"/>
  <c r="FL12" i="4"/>
  <c r="FM12" i="4"/>
  <c r="FN12" i="4"/>
  <c r="EV13" i="4"/>
  <c r="EW13" i="4"/>
  <c r="EX13" i="4"/>
  <c r="EY13" i="4"/>
  <c r="EZ13" i="4"/>
  <c r="FA13" i="4"/>
  <c r="FB13" i="4"/>
  <c r="FC13" i="4"/>
  <c r="FD13" i="4"/>
  <c r="FE13" i="4"/>
  <c r="FF13" i="4"/>
  <c r="FG13" i="4"/>
  <c r="FH13" i="4"/>
  <c r="FI13" i="4"/>
  <c r="FJ13" i="4"/>
  <c r="FK13" i="4"/>
  <c r="FL13" i="4"/>
  <c r="FM13" i="4"/>
  <c r="FN13" i="4"/>
  <c r="EV14" i="4"/>
  <c r="EW14" i="4"/>
  <c r="EX14" i="4"/>
  <c r="EY14" i="4"/>
  <c r="EZ14" i="4"/>
  <c r="FA14" i="4"/>
  <c r="FB14" i="4"/>
  <c r="FC14" i="4"/>
  <c r="FD14" i="4"/>
  <c r="FE14" i="4"/>
  <c r="FF14" i="4"/>
  <c r="FG14" i="4"/>
  <c r="FH14" i="4"/>
  <c r="FI14" i="4"/>
  <c r="FJ14" i="4"/>
  <c r="FK14" i="4"/>
  <c r="FL14" i="4"/>
  <c r="FM14" i="4"/>
  <c r="FN14" i="4"/>
  <c r="EV15" i="4"/>
  <c r="EW15" i="4"/>
  <c r="EX15" i="4"/>
  <c r="EY15" i="4"/>
  <c r="EZ15" i="4"/>
  <c r="FA15" i="4"/>
  <c r="FB15" i="4"/>
  <c r="FC15" i="4"/>
  <c r="FD15" i="4"/>
  <c r="FE15" i="4"/>
  <c r="FF15" i="4"/>
  <c r="FG15" i="4"/>
  <c r="FH15" i="4"/>
  <c r="FI15" i="4"/>
  <c r="FJ15" i="4"/>
  <c r="FK15" i="4"/>
  <c r="FL15" i="4"/>
  <c r="FM15" i="4"/>
  <c r="FN15" i="4"/>
  <c r="EV16" i="4"/>
  <c r="EW16" i="4"/>
  <c r="EX16" i="4"/>
  <c r="EY16" i="4"/>
  <c r="EZ16" i="4"/>
  <c r="FA16" i="4"/>
  <c r="FB16" i="4"/>
  <c r="FC16" i="4"/>
  <c r="FD16" i="4"/>
  <c r="FE16" i="4"/>
  <c r="FF16" i="4"/>
  <c r="FG16" i="4"/>
  <c r="FH16" i="4"/>
  <c r="FI16" i="4"/>
  <c r="FJ16" i="4"/>
  <c r="FK16" i="4"/>
  <c r="FL16" i="4"/>
  <c r="FM16" i="4"/>
  <c r="FN16" i="4"/>
  <c r="EV17" i="4"/>
  <c r="EW17" i="4"/>
  <c r="EX17" i="4"/>
  <c r="EY17" i="4"/>
  <c r="EZ17" i="4"/>
  <c r="FA17" i="4"/>
  <c r="FB17" i="4"/>
  <c r="FC17" i="4"/>
  <c r="FD17" i="4"/>
  <c r="FE17" i="4"/>
  <c r="FF17" i="4"/>
  <c r="FG17" i="4"/>
  <c r="FH17" i="4"/>
  <c r="FI17" i="4"/>
  <c r="FJ17" i="4"/>
  <c r="FK17" i="4"/>
  <c r="FL17" i="4"/>
  <c r="FM17" i="4"/>
  <c r="FN17" i="4"/>
  <c r="EV18" i="4"/>
  <c r="EW18" i="4"/>
  <c r="EX18" i="4"/>
  <c r="EY18" i="4"/>
  <c r="EZ18" i="4"/>
  <c r="FA18" i="4"/>
  <c r="FB18" i="4"/>
  <c r="FC18" i="4"/>
  <c r="FD18" i="4"/>
  <c r="FE18" i="4"/>
  <c r="FF18" i="4"/>
  <c r="FG18" i="4"/>
  <c r="FH18" i="4"/>
  <c r="FI18" i="4"/>
  <c r="FJ18" i="4"/>
  <c r="FK18" i="4"/>
  <c r="FL18" i="4"/>
  <c r="FM18" i="4"/>
  <c r="FN18" i="4"/>
  <c r="EV19" i="4"/>
  <c r="EW19" i="4"/>
  <c r="EX19" i="4"/>
  <c r="EY19" i="4"/>
  <c r="EZ19" i="4"/>
  <c r="FA19" i="4"/>
  <c r="FB19" i="4"/>
  <c r="FC19" i="4"/>
  <c r="FD19" i="4"/>
  <c r="FE19" i="4"/>
  <c r="FF19" i="4"/>
  <c r="FG19" i="4"/>
  <c r="FH19" i="4"/>
  <c r="FI19" i="4"/>
  <c r="FJ19" i="4"/>
  <c r="FK19" i="4"/>
  <c r="FL19" i="4"/>
  <c r="FM19" i="4"/>
  <c r="FN19" i="4"/>
  <c r="EV20" i="4"/>
  <c r="EW20" i="4"/>
  <c r="EX20" i="4"/>
  <c r="EY20" i="4"/>
  <c r="EZ20" i="4"/>
  <c r="FA20" i="4"/>
  <c r="FB20" i="4"/>
  <c r="FC20" i="4"/>
  <c r="FD20" i="4"/>
  <c r="FE20" i="4"/>
  <c r="FF20" i="4"/>
  <c r="FG20" i="4"/>
  <c r="FH20" i="4"/>
  <c r="FI20" i="4"/>
  <c r="FJ20" i="4"/>
  <c r="FK20" i="4"/>
  <c r="FL20" i="4"/>
  <c r="FM20" i="4"/>
  <c r="FN20" i="4"/>
  <c r="EV21" i="4"/>
  <c r="EW21" i="4"/>
  <c r="EX21" i="4"/>
  <c r="EY21" i="4"/>
  <c r="EZ21" i="4"/>
  <c r="FA21" i="4"/>
  <c r="FB21" i="4"/>
  <c r="FC21" i="4"/>
  <c r="FD21" i="4"/>
  <c r="FE21" i="4"/>
  <c r="FF21" i="4"/>
  <c r="FG21" i="4"/>
  <c r="FH21" i="4"/>
  <c r="FI21" i="4"/>
  <c r="FJ21" i="4"/>
  <c r="FK21" i="4"/>
  <c r="FL21" i="4"/>
  <c r="FM21" i="4"/>
  <c r="FN21" i="4"/>
  <c r="EV22" i="4"/>
  <c r="EW22" i="4"/>
  <c r="EX22" i="4"/>
  <c r="EY22" i="4"/>
  <c r="EZ22" i="4"/>
  <c r="FA22" i="4"/>
  <c r="FB22" i="4"/>
  <c r="FC22" i="4"/>
  <c r="FD22" i="4"/>
  <c r="FE22" i="4"/>
  <c r="FF22" i="4"/>
  <c r="FG22" i="4"/>
  <c r="FH22" i="4"/>
  <c r="FI22" i="4"/>
  <c r="FJ22" i="4"/>
  <c r="FK22" i="4"/>
  <c r="FL22" i="4"/>
  <c r="FM22" i="4"/>
  <c r="FN22" i="4"/>
  <c r="EV23" i="4"/>
  <c r="EW23" i="4"/>
  <c r="EX23" i="4"/>
  <c r="EY23" i="4"/>
  <c r="EZ23" i="4"/>
  <c r="FA23" i="4"/>
  <c r="FB23" i="4"/>
  <c r="FC23" i="4"/>
  <c r="FD23" i="4"/>
  <c r="FE23" i="4"/>
  <c r="FF23" i="4"/>
  <c r="FG23" i="4"/>
  <c r="FH23" i="4"/>
  <c r="FI23" i="4"/>
  <c r="FJ23" i="4"/>
  <c r="FK23" i="4"/>
  <c r="FL23" i="4"/>
  <c r="FM23" i="4"/>
  <c r="FN23" i="4"/>
  <c r="EV24" i="4"/>
  <c r="EW24" i="4"/>
  <c r="EX24" i="4"/>
  <c r="EY24" i="4"/>
  <c r="EZ24" i="4"/>
  <c r="FA24" i="4"/>
  <c r="FB24" i="4"/>
  <c r="FC24" i="4"/>
  <c r="FD24" i="4"/>
  <c r="FE24" i="4"/>
  <c r="FF24" i="4"/>
  <c r="FG24" i="4"/>
  <c r="FH24" i="4"/>
  <c r="FI24" i="4"/>
  <c r="FJ24" i="4"/>
  <c r="FK24" i="4"/>
  <c r="FL24" i="4"/>
  <c r="FM24" i="4"/>
  <c r="FN24" i="4"/>
  <c r="EV25" i="4"/>
  <c r="EW25" i="4"/>
  <c r="EX25" i="4"/>
  <c r="EY25" i="4"/>
  <c r="EZ25" i="4"/>
  <c r="FA25" i="4"/>
  <c r="FB25" i="4"/>
  <c r="FC25" i="4"/>
  <c r="FD25" i="4"/>
  <c r="FE25" i="4"/>
  <c r="FF25" i="4"/>
  <c r="FG25" i="4"/>
  <c r="FH25" i="4"/>
  <c r="FI25" i="4"/>
  <c r="FJ25" i="4"/>
  <c r="FK25" i="4"/>
  <c r="FL25" i="4"/>
  <c r="FM25" i="4"/>
  <c r="FN25" i="4"/>
  <c r="EV26" i="4"/>
  <c r="EW26" i="4"/>
  <c r="EX26" i="4"/>
  <c r="EY26" i="4"/>
  <c r="EZ26" i="4"/>
  <c r="FA26" i="4"/>
  <c r="FB26" i="4"/>
  <c r="FC26" i="4"/>
  <c r="FD26" i="4"/>
  <c r="FE26" i="4"/>
  <c r="FF26" i="4"/>
  <c r="FG26" i="4"/>
  <c r="FH26" i="4"/>
  <c r="FI26" i="4"/>
  <c r="FJ26" i="4"/>
  <c r="FK26" i="4"/>
  <c r="FL26" i="4"/>
  <c r="FM26" i="4"/>
  <c r="FN26" i="4"/>
  <c r="EV27" i="4"/>
  <c r="EW27" i="4"/>
  <c r="EX27" i="4"/>
  <c r="EY27" i="4"/>
  <c r="EZ27" i="4"/>
  <c r="FA27" i="4"/>
  <c r="FB27" i="4"/>
  <c r="FC27" i="4"/>
  <c r="FD27" i="4"/>
  <c r="FE27" i="4"/>
  <c r="FF27" i="4"/>
  <c r="FG27" i="4"/>
  <c r="FH27" i="4"/>
  <c r="FI27" i="4"/>
  <c r="FJ27" i="4"/>
  <c r="FK27" i="4"/>
  <c r="FL27" i="4"/>
  <c r="FM27" i="4"/>
  <c r="FN27" i="4"/>
  <c r="EV28" i="4"/>
  <c r="EW28" i="4"/>
  <c r="EX28" i="4"/>
  <c r="EY28" i="4"/>
  <c r="EZ28" i="4"/>
  <c r="FA28" i="4"/>
  <c r="FB28" i="4"/>
  <c r="FC28" i="4"/>
  <c r="FD28" i="4"/>
  <c r="FE28" i="4"/>
  <c r="FF28" i="4"/>
  <c r="FG28" i="4"/>
  <c r="FH28" i="4"/>
  <c r="FI28" i="4"/>
  <c r="FJ28" i="4"/>
  <c r="FK28" i="4"/>
  <c r="FL28" i="4"/>
  <c r="FM28" i="4"/>
  <c r="FN28" i="4"/>
  <c r="EV29" i="4"/>
  <c r="EW29" i="4"/>
  <c r="EX29" i="4"/>
  <c r="EY29" i="4"/>
  <c r="EZ29" i="4"/>
  <c r="FA29" i="4"/>
  <c r="FB29" i="4"/>
  <c r="FC29" i="4"/>
  <c r="FD29" i="4"/>
  <c r="FE29" i="4"/>
  <c r="FF29" i="4"/>
  <c r="FG29" i="4"/>
  <c r="FH29" i="4"/>
  <c r="FI29" i="4"/>
  <c r="FJ29" i="4"/>
  <c r="FK29" i="4"/>
  <c r="FL29" i="4"/>
  <c r="FM29" i="4"/>
  <c r="FN29" i="4"/>
  <c r="EV30" i="4"/>
  <c r="EW30" i="4"/>
  <c r="EX30" i="4"/>
  <c r="EY30" i="4"/>
  <c r="EZ30" i="4"/>
  <c r="FA30" i="4"/>
  <c r="FB30" i="4"/>
  <c r="FC30" i="4"/>
  <c r="FD30" i="4"/>
  <c r="FE30" i="4"/>
  <c r="FF30" i="4"/>
  <c r="FG30" i="4"/>
  <c r="FH30" i="4"/>
  <c r="FI30" i="4"/>
  <c r="FJ30" i="4"/>
  <c r="FK30" i="4"/>
  <c r="FL30" i="4"/>
  <c r="FM30" i="4"/>
  <c r="FN30" i="4"/>
  <c r="EV31" i="4"/>
  <c r="EW31" i="4"/>
  <c r="EX31" i="4"/>
  <c r="EY31" i="4"/>
  <c r="EZ31" i="4"/>
  <c r="FA31" i="4"/>
  <c r="FB31" i="4"/>
  <c r="FC31" i="4"/>
  <c r="FD31" i="4"/>
  <c r="FE31" i="4"/>
  <c r="FF31" i="4"/>
  <c r="FG31" i="4"/>
  <c r="FH31" i="4"/>
  <c r="FI31" i="4"/>
  <c r="FJ31" i="4"/>
  <c r="FK31" i="4"/>
  <c r="FL31" i="4"/>
  <c r="FM31" i="4"/>
  <c r="FN31" i="4"/>
  <c r="EV32" i="4"/>
  <c r="EW32" i="4"/>
  <c r="EX32" i="4"/>
  <c r="EY32" i="4"/>
  <c r="EZ32" i="4"/>
  <c r="FA32" i="4"/>
  <c r="FB32" i="4"/>
  <c r="FC32" i="4"/>
  <c r="FD32" i="4"/>
  <c r="FE32" i="4"/>
  <c r="FF32" i="4"/>
  <c r="FG32" i="4"/>
  <c r="FH32" i="4"/>
  <c r="FI32" i="4"/>
  <c r="FJ32" i="4"/>
  <c r="FK32" i="4"/>
  <c r="FL32" i="4"/>
  <c r="FM32" i="4"/>
  <c r="FN32" i="4"/>
  <c r="EV33" i="4"/>
  <c r="EW33" i="4"/>
  <c r="EX33" i="4"/>
  <c r="EY33" i="4"/>
  <c r="EZ33" i="4"/>
  <c r="FA33" i="4"/>
  <c r="FB33" i="4"/>
  <c r="FC33" i="4"/>
  <c r="FD33" i="4"/>
  <c r="FE33" i="4"/>
  <c r="FF33" i="4"/>
  <c r="FG33" i="4"/>
  <c r="FH33" i="4"/>
  <c r="FI33" i="4"/>
  <c r="FJ33" i="4"/>
  <c r="FK33" i="4"/>
  <c r="FL33" i="4"/>
  <c r="FM33" i="4"/>
  <c r="FN33" i="4"/>
  <c r="EV34" i="4"/>
  <c r="EW34" i="4"/>
  <c r="EX34" i="4"/>
  <c r="EY34" i="4"/>
  <c r="EZ34" i="4"/>
  <c r="FA34" i="4"/>
  <c r="FB34" i="4"/>
  <c r="FC34" i="4"/>
  <c r="FD34" i="4"/>
  <c r="FE34" i="4"/>
  <c r="FF34" i="4"/>
  <c r="FG34" i="4"/>
  <c r="FH34" i="4"/>
  <c r="FI34" i="4"/>
  <c r="FJ34" i="4"/>
  <c r="FK34" i="4"/>
  <c r="FL34" i="4"/>
  <c r="FM34" i="4"/>
  <c r="FN34" i="4"/>
  <c r="EV35" i="4"/>
  <c r="EW35" i="4"/>
  <c r="EX35" i="4"/>
  <c r="EY35" i="4"/>
  <c r="EZ35" i="4"/>
  <c r="FA35" i="4"/>
  <c r="FB35" i="4"/>
  <c r="FC35" i="4"/>
  <c r="FD35" i="4"/>
  <c r="FE35" i="4"/>
  <c r="FF35" i="4"/>
  <c r="FG35" i="4"/>
  <c r="FH35" i="4"/>
  <c r="FI35" i="4"/>
  <c r="FJ35" i="4"/>
  <c r="FK35" i="4"/>
  <c r="FL35" i="4"/>
  <c r="FM35" i="4"/>
  <c r="FN35" i="4"/>
  <c r="EV36" i="4"/>
  <c r="EW36" i="4"/>
  <c r="EX36" i="4"/>
  <c r="EY36" i="4"/>
  <c r="EZ36" i="4"/>
  <c r="FA36" i="4"/>
  <c r="FB36" i="4"/>
  <c r="FC36" i="4"/>
  <c r="FD36" i="4"/>
  <c r="FE36" i="4"/>
  <c r="FF36" i="4"/>
  <c r="FG36" i="4"/>
  <c r="FH36" i="4"/>
  <c r="FI36" i="4"/>
  <c r="FJ36" i="4"/>
  <c r="FK36" i="4"/>
  <c r="FL36" i="4"/>
  <c r="FM36" i="4"/>
  <c r="FN36" i="4"/>
  <c r="EV37" i="4"/>
  <c r="EW37" i="4"/>
  <c r="EX37" i="4"/>
  <c r="EY37" i="4"/>
  <c r="EZ37" i="4"/>
  <c r="FA37" i="4"/>
  <c r="FB37" i="4"/>
  <c r="FC37" i="4"/>
  <c r="FD37" i="4"/>
  <c r="FE37" i="4"/>
  <c r="FF37" i="4"/>
  <c r="FG37" i="4"/>
  <c r="FH37" i="4"/>
  <c r="FI37" i="4"/>
  <c r="FJ37" i="4"/>
  <c r="FK37" i="4"/>
  <c r="FL37" i="4"/>
  <c r="FM37" i="4"/>
  <c r="FN37" i="4"/>
  <c r="EV38" i="4"/>
  <c r="EW38" i="4"/>
  <c r="EX38" i="4"/>
  <c r="EY38" i="4"/>
  <c r="EZ38" i="4"/>
  <c r="FA38" i="4"/>
  <c r="FB38" i="4"/>
  <c r="FC38" i="4"/>
  <c r="FD38" i="4"/>
  <c r="FE38" i="4"/>
  <c r="FF38" i="4"/>
  <c r="FG38" i="4"/>
  <c r="FH38" i="4"/>
  <c r="FI38" i="4"/>
  <c r="FJ38" i="4"/>
  <c r="FK38" i="4"/>
  <c r="FL38" i="4"/>
  <c r="FM38" i="4"/>
  <c r="FN38" i="4"/>
  <c r="EV39" i="4"/>
  <c r="EW39" i="4"/>
  <c r="EX39" i="4"/>
  <c r="EY39" i="4"/>
  <c r="EZ39" i="4"/>
  <c r="FA39" i="4"/>
  <c r="FB39" i="4"/>
  <c r="FC39" i="4"/>
  <c r="FD39" i="4"/>
  <c r="FE39" i="4"/>
  <c r="FF39" i="4"/>
  <c r="FG39" i="4"/>
  <c r="FH39" i="4"/>
  <c r="FI39" i="4"/>
  <c r="FJ39" i="4"/>
  <c r="FK39" i="4"/>
  <c r="FL39" i="4"/>
  <c r="FM39" i="4"/>
  <c r="FN39" i="4"/>
  <c r="EV40" i="4"/>
  <c r="EW40" i="4"/>
  <c r="EX40" i="4"/>
  <c r="EY40" i="4"/>
  <c r="EZ40" i="4"/>
  <c r="FA40" i="4"/>
  <c r="FB40" i="4"/>
  <c r="FC40" i="4"/>
  <c r="FD40" i="4"/>
  <c r="FE40" i="4"/>
  <c r="FF40" i="4"/>
  <c r="FG40" i="4"/>
  <c r="FH40" i="4"/>
  <c r="FI40" i="4"/>
  <c r="FJ40" i="4"/>
  <c r="FK40" i="4"/>
  <c r="FL40" i="4"/>
  <c r="FM40" i="4"/>
  <c r="FN40" i="4"/>
  <c r="EV41" i="4"/>
  <c r="EW41" i="4"/>
  <c r="EX41" i="4"/>
  <c r="EY41" i="4"/>
  <c r="EZ41" i="4"/>
  <c r="FA41" i="4"/>
  <c r="FB41" i="4"/>
  <c r="FC41" i="4"/>
  <c r="FD41" i="4"/>
  <c r="FE41" i="4"/>
  <c r="FF41" i="4"/>
  <c r="FG41" i="4"/>
  <c r="FH41" i="4"/>
  <c r="FI41" i="4"/>
  <c r="FJ41" i="4"/>
  <c r="FK41" i="4"/>
  <c r="FL41" i="4"/>
  <c r="FM41" i="4"/>
  <c r="FN41" i="4"/>
  <c r="EV42" i="4"/>
  <c r="EW42" i="4"/>
  <c r="EX42" i="4"/>
  <c r="EY42" i="4"/>
  <c r="EZ42" i="4"/>
  <c r="FA42" i="4"/>
  <c r="FB42" i="4"/>
  <c r="FC42" i="4"/>
  <c r="FD42" i="4"/>
  <c r="FE42" i="4"/>
  <c r="FF42" i="4"/>
  <c r="FG42" i="4"/>
  <c r="FH42" i="4"/>
  <c r="FI42" i="4"/>
  <c r="FJ42" i="4"/>
  <c r="FK42" i="4"/>
  <c r="FL42" i="4"/>
  <c r="FM42" i="4"/>
  <c r="FN42" i="4"/>
  <c r="EV43" i="4"/>
  <c r="EW43" i="4"/>
  <c r="EX43" i="4"/>
  <c r="EY43" i="4"/>
  <c r="EZ43" i="4"/>
  <c r="FA43" i="4"/>
  <c r="FB43" i="4"/>
  <c r="FC43" i="4"/>
  <c r="FD43" i="4"/>
  <c r="FE43" i="4"/>
  <c r="FF43" i="4"/>
  <c r="FG43" i="4"/>
  <c r="FH43" i="4"/>
  <c r="FI43" i="4"/>
  <c r="FJ43" i="4"/>
  <c r="FK43" i="4"/>
  <c r="FL43" i="4"/>
  <c r="FM43" i="4"/>
  <c r="FN43" i="4"/>
  <c r="EV44" i="4"/>
  <c r="EW44" i="4"/>
  <c r="EX44" i="4"/>
  <c r="EY44" i="4"/>
  <c r="EZ44" i="4"/>
  <c r="FA44" i="4"/>
  <c r="FB44" i="4"/>
  <c r="FC44" i="4"/>
  <c r="FD44" i="4"/>
  <c r="FE44" i="4"/>
  <c r="FF44" i="4"/>
  <c r="FG44" i="4"/>
  <c r="FH44" i="4"/>
  <c r="FI44" i="4"/>
  <c r="FJ44" i="4"/>
  <c r="FK44" i="4"/>
  <c r="FL44" i="4"/>
  <c r="FM44" i="4"/>
  <c r="FN44" i="4"/>
  <c r="EV45" i="4"/>
  <c r="EW45" i="4"/>
  <c r="EX45" i="4"/>
  <c r="EY45" i="4"/>
  <c r="EZ45" i="4"/>
  <c r="FA45" i="4"/>
  <c r="FB45" i="4"/>
  <c r="FC45" i="4"/>
  <c r="FD45" i="4"/>
  <c r="FE45" i="4"/>
  <c r="FF45" i="4"/>
  <c r="FG45" i="4"/>
  <c r="FH45" i="4"/>
  <c r="FI45" i="4"/>
  <c r="FJ45" i="4"/>
  <c r="FK45" i="4"/>
  <c r="FL45" i="4"/>
  <c r="FM45" i="4"/>
  <c r="FN45" i="4"/>
  <c r="EV46" i="4"/>
  <c r="EW46" i="4"/>
  <c r="EX46" i="4"/>
  <c r="EY46" i="4"/>
  <c r="EZ46" i="4"/>
  <c r="FA46" i="4"/>
  <c r="FB46" i="4"/>
  <c r="FC46" i="4"/>
  <c r="FD46" i="4"/>
  <c r="FE46" i="4"/>
  <c r="FF46" i="4"/>
  <c r="FG46" i="4"/>
  <c r="FH46" i="4"/>
  <c r="FI46" i="4"/>
  <c r="FJ46" i="4"/>
  <c r="FK46" i="4"/>
  <c r="FL46" i="4"/>
  <c r="FM46" i="4"/>
  <c r="FN46" i="4"/>
  <c r="EV47" i="4"/>
  <c r="EW47" i="4"/>
  <c r="EX47" i="4"/>
  <c r="EY47" i="4"/>
  <c r="EZ47" i="4"/>
  <c r="FA47" i="4"/>
  <c r="FB47" i="4"/>
  <c r="FC47" i="4"/>
  <c r="FD47" i="4"/>
  <c r="FE47" i="4"/>
  <c r="FF47" i="4"/>
  <c r="FG47" i="4"/>
  <c r="FH47" i="4"/>
  <c r="FI47" i="4"/>
  <c r="FJ47" i="4"/>
  <c r="FK47" i="4"/>
  <c r="FL47" i="4"/>
  <c r="FM47" i="4"/>
  <c r="FN47" i="4"/>
  <c r="EV48" i="4"/>
  <c r="EW48" i="4"/>
  <c r="EX48" i="4"/>
  <c r="EY48" i="4"/>
  <c r="EZ48" i="4"/>
  <c r="FA48" i="4"/>
  <c r="FB48" i="4"/>
  <c r="FC48" i="4"/>
  <c r="FD48" i="4"/>
  <c r="FE48" i="4"/>
  <c r="FF48" i="4"/>
  <c r="FG48" i="4"/>
  <c r="FH48" i="4"/>
  <c r="FI48" i="4"/>
  <c r="FJ48" i="4"/>
  <c r="FK48" i="4"/>
  <c r="FL48" i="4"/>
  <c r="FM48" i="4"/>
  <c r="FN48" i="4"/>
  <c r="EV49" i="4"/>
  <c r="EW49" i="4"/>
  <c r="EX49" i="4"/>
  <c r="EY49" i="4"/>
  <c r="EZ49" i="4"/>
  <c r="FA49" i="4"/>
  <c r="FB49" i="4"/>
  <c r="FC49" i="4"/>
  <c r="FD49" i="4"/>
  <c r="FE49" i="4"/>
  <c r="FF49" i="4"/>
  <c r="FG49" i="4"/>
  <c r="FH49" i="4"/>
  <c r="FI49" i="4"/>
  <c r="FJ49" i="4"/>
  <c r="FK49" i="4"/>
  <c r="FL49" i="4"/>
  <c r="FM49" i="4"/>
  <c r="FN49" i="4"/>
  <c r="EV50" i="4"/>
  <c r="EW50" i="4"/>
  <c r="EX50" i="4"/>
  <c r="EY50" i="4"/>
  <c r="EZ50" i="4"/>
  <c r="FA50" i="4"/>
  <c r="FB50" i="4"/>
  <c r="FC50" i="4"/>
  <c r="FD50" i="4"/>
  <c r="FE50" i="4"/>
  <c r="FF50" i="4"/>
  <c r="FG50" i="4"/>
  <c r="FH50" i="4"/>
  <c r="FI50" i="4"/>
  <c r="FJ50" i="4"/>
  <c r="FK50" i="4"/>
  <c r="FL50" i="4"/>
  <c r="FM50" i="4"/>
  <c r="FN50" i="4"/>
  <c r="EV51" i="4"/>
  <c r="EW51" i="4"/>
  <c r="EX51" i="4"/>
  <c r="EY51" i="4"/>
  <c r="EZ51" i="4"/>
  <c r="FA51" i="4"/>
  <c r="FB51" i="4"/>
  <c r="FC51" i="4"/>
  <c r="FD51" i="4"/>
  <c r="FE51" i="4"/>
  <c r="FF51" i="4"/>
  <c r="FG51" i="4"/>
  <c r="FH51" i="4"/>
  <c r="FI51" i="4"/>
  <c r="FJ51" i="4"/>
  <c r="FK51" i="4"/>
  <c r="FL51" i="4"/>
  <c r="FM51" i="4"/>
  <c r="FN51" i="4"/>
  <c r="EV52" i="4"/>
  <c r="EW52" i="4"/>
  <c r="EX52" i="4"/>
  <c r="EY52" i="4"/>
  <c r="EZ52" i="4"/>
  <c r="FA52" i="4"/>
  <c r="FB52" i="4"/>
  <c r="FC52" i="4"/>
  <c r="FD52" i="4"/>
  <c r="FE52" i="4"/>
  <c r="FF52" i="4"/>
  <c r="FG52" i="4"/>
  <c r="FH52" i="4"/>
  <c r="FI52" i="4"/>
  <c r="FJ52" i="4"/>
  <c r="FK52" i="4"/>
  <c r="FL52" i="4"/>
  <c r="FM52" i="4"/>
  <c r="FN52" i="4"/>
  <c r="EV53" i="4"/>
  <c r="EW53" i="4"/>
  <c r="EX53" i="4"/>
  <c r="EY53" i="4"/>
  <c r="EZ53" i="4"/>
  <c r="FA53" i="4"/>
  <c r="FB53" i="4"/>
  <c r="FC53" i="4"/>
  <c r="FD53" i="4"/>
  <c r="FE53" i="4"/>
  <c r="FF53" i="4"/>
  <c r="FG53" i="4"/>
  <c r="FH53" i="4"/>
  <c r="FI53" i="4"/>
  <c r="FJ53" i="4"/>
  <c r="FK53" i="4"/>
  <c r="FL53" i="4"/>
  <c r="FM53" i="4"/>
  <c r="FN53" i="4"/>
  <c r="EV54" i="4"/>
  <c r="EW54" i="4"/>
  <c r="EX54" i="4"/>
  <c r="EY54" i="4"/>
  <c r="EZ54" i="4"/>
  <c r="FA54" i="4"/>
  <c r="FB54" i="4"/>
  <c r="FC54" i="4"/>
  <c r="FD54" i="4"/>
  <c r="FE54" i="4"/>
  <c r="FF54" i="4"/>
  <c r="FG54" i="4"/>
  <c r="FH54" i="4"/>
  <c r="FI54" i="4"/>
  <c r="FJ54" i="4"/>
  <c r="FK54" i="4"/>
  <c r="FL54" i="4"/>
  <c r="FM54" i="4"/>
  <c r="FN54" i="4"/>
  <c r="EV55" i="4"/>
  <c r="EW55" i="4"/>
  <c r="EX55" i="4"/>
  <c r="EY55" i="4"/>
  <c r="EZ55" i="4"/>
  <c r="FA55" i="4"/>
  <c r="FB55" i="4"/>
  <c r="FC55" i="4"/>
  <c r="FD55" i="4"/>
  <c r="FE55" i="4"/>
  <c r="FF55" i="4"/>
  <c r="FG55" i="4"/>
  <c r="FH55" i="4"/>
  <c r="FI55" i="4"/>
  <c r="FJ55" i="4"/>
  <c r="FK55" i="4"/>
  <c r="FL55" i="4"/>
  <c r="FM55" i="4"/>
  <c r="FN55" i="4"/>
  <c r="EV56" i="4"/>
  <c r="EW56" i="4"/>
  <c r="EX56" i="4"/>
  <c r="EY56" i="4"/>
  <c r="EZ56" i="4"/>
  <c r="FA56" i="4"/>
  <c r="FB56" i="4"/>
  <c r="FC56" i="4"/>
  <c r="FD56" i="4"/>
  <c r="FE56" i="4"/>
  <c r="FF56" i="4"/>
  <c r="FG56" i="4"/>
  <c r="FH56" i="4"/>
  <c r="FI56" i="4"/>
  <c r="FJ56" i="4"/>
  <c r="FK56" i="4"/>
  <c r="FL56" i="4"/>
  <c r="FM56" i="4"/>
  <c r="FN56" i="4"/>
  <c r="EV57" i="4"/>
  <c r="EW57" i="4"/>
  <c r="EX57" i="4"/>
  <c r="EY57" i="4"/>
  <c r="EZ57" i="4"/>
  <c r="FA57" i="4"/>
  <c r="FB57" i="4"/>
  <c r="FC57" i="4"/>
  <c r="FD57" i="4"/>
  <c r="FE57" i="4"/>
  <c r="FF57" i="4"/>
  <c r="FG57" i="4"/>
  <c r="FH57" i="4"/>
  <c r="FI57" i="4"/>
  <c r="FJ57" i="4"/>
  <c r="FK57" i="4"/>
  <c r="FL57" i="4"/>
  <c r="FM57" i="4"/>
  <c r="FN57" i="4"/>
  <c r="EV58" i="4"/>
  <c r="EW58" i="4"/>
  <c r="EX58" i="4"/>
  <c r="EY58" i="4"/>
  <c r="EZ58" i="4"/>
  <c r="FA58" i="4"/>
  <c r="FB58" i="4"/>
  <c r="FC58" i="4"/>
  <c r="FD58" i="4"/>
  <c r="FE58" i="4"/>
  <c r="FF58" i="4"/>
  <c r="FG58" i="4"/>
  <c r="FH58" i="4"/>
  <c r="FI58" i="4"/>
  <c r="FJ58" i="4"/>
  <c r="FK58" i="4"/>
  <c r="FL58" i="4"/>
  <c r="FM58" i="4"/>
  <c r="FN58" i="4"/>
  <c r="EV59" i="4"/>
  <c r="EW59" i="4"/>
  <c r="EX59" i="4"/>
  <c r="EY59" i="4"/>
  <c r="EZ59" i="4"/>
  <c r="FA59" i="4"/>
  <c r="FB59" i="4"/>
  <c r="FC59" i="4"/>
  <c r="FD59" i="4"/>
  <c r="FE59" i="4"/>
  <c r="FF59" i="4"/>
  <c r="FG59" i="4"/>
  <c r="FH59" i="4"/>
  <c r="FI59" i="4"/>
  <c r="FJ59" i="4"/>
  <c r="FK59" i="4"/>
  <c r="FL59" i="4"/>
  <c r="FM59" i="4"/>
  <c r="FN59" i="4"/>
  <c r="EV60" i="4"/>
  <c r="EW60" i="4"/>
  <c r="EX60" i="4"/>
  <c r="EY60" i="4"/>
  <c r="EZ60" i="4"/>
  <c r="FA60" i="4"/>
  <c r="FB60" i="4"/>
  <c r="FC60" i="4"/>
  <c r="FD60" i="4"/>
  <c r="FE60" i="4"/>
  <c r="FF60" i="4"/>
  <c r="FG60" i="4"/>
  <c r="FH60" i="4"/>
  <c r="FI60" i="4"/>
  <c r="FJ60" i="4"/>
  <c r="FK60" i="4"/>
  <c r="FL60" i="4"/>
  <c r="FM60" i="4"/>
  <c r="FN60" i="4"/>
  <c r="EV61" i="4"/>
  <c r="EW61" i="4"/>
  <c r="EX61" i="4"/>
  <c r="EY61" i="4"/>
  <c r="EZ61" i="4"/>
  <c r="FA61" i="4"/>
  <c r="FB61" i="4"/>
  <c r="FC61" i="4"/>
  <c r="FD61" i="4"/>
  <c r="FE61" i="4"/>
  <c r="FF61" i="4"/>
  <c r="FG61" i="4"/>
  <c r="FH61" i="4"/>
  <c r="FI61" i="4"/>
  <c r="FJ61" i="4"/>
  <c r="FK61" i="4"/>
  <c r="FL61" i="4"/>
  <c r="FM61" i="4"/>
  <c r="FN61" i="4"/>
  <c r="EV62" i="4"/>
  <c r="EW62" i="4"/>
  <c r="EX62" i="4"/>
  <c r="EY62" i="4"/>
  <c r="EZ62" i="4"/>
  <c r="FA62" i="4"/>
  <c r="FB62" i="4"/>
  <c r="FC62" i="4"/>
  <c r="FD62" i="4"/>
  <c r="FE62" i="4"/>
  <c r="FF62" i="4"/>
  <c r="FG62" i="4"/>
  <c r="FH62" i="4"/>
  <c r="FI62" i="4"/>
  <c r="FJ62" i="4"/>
  <c r="FK62" i="4"/>
  <c r="FL62" i="4"/>
  <c r="FM62" i="4"/>
  <c r="FN62" i="4"/>
  <c r="EV63" i="4"/>
  <c r="EW63" i="4"/>
  <c r="EX63" i="4"/>
  <c r="EY63" i="4"/>
  <c r="EZ63" i="4"/>
  <c r="FA63" i="4"/>
  <c r="FB63" i="4"/>
  <c r="FC63" i="4"/>
  <c r="FD63" i="4"/>
  <c r="FE63" i="4"/>
  <c r="FF63" i="4"/>
  <c r="FG63" i="4"/>
  <c r="FH63" i="4"/>
  <c r="FI63" i="4"/>
  <c r="FJ63" i="4"/>
  <c r="FK63" i="4"/>
  <c r="FL63" i="4"/>
  <c r="FM63" i="4"/>
  <c r="FN63" i="4"/>
  <c r="EV64" i="4"/>
  <c r="EW64" i="4"/>
  <c r="EX64" i="4"/>
  <c r="EY64" i="4"/>
  <c r="EZ64" i="4"/>
  <c r="FA64" i="4"/>
  <c r="FB64" i="4"/>
  <c r="FC64" i="4"/>
  <c r="FD64" i="4"/>
  <c r="FE64" i="4"/>
  <c r="FF64" i="4"/>
  <c r="FG64" i="4"/>
  <c r="FH64" i="4"/>
  <c r="FI64" i="4"/>
  <c r="FJ64" i="4"/>
  <c r="FK64" i="4"/>
  <c r="FL64" i="4"/>
  <c r="FM64" i="4"/>
  <c r="FN64" i="4"/>
  <c r="EV65" i="4"/>
  <c r="EW65" i="4"/>
  <c r="EX65" i="4"/>
  <c r="EY65" i="4"/>
  <c r="EZ65" i="4"/>
  <c r="FA65" i="4"/>
  <c r="FB65" i="4"/>
  <c r="FC65" i="4"/>
  <c r="FD65" i="4"/>
  <c r="FE65" i="4"/>
  <c r="FF65" i="4"/>
  <c r="FG65" i="4"/>
  <c r="FH65" i="4"/>
  <c r="FI65" i="4"/>
  <c r="FJ65" i="4"/>
  <c r="FK65" i="4"/>
  <c r="FL65" i="4"/>
  <c r="FM65" i="4"/>
  <c r="FN65" i="4"/>
  <c r="EV66" i="4"/>
  <c r="EW66" i="4"/>
  <c r="EX66" i="4"/>
  <c r="EY66" i="4"/>
  <c r="EZ66" i="4"/>
  <c r="FA66" i="4"/>
  <c r="FB66" i="4"/>
  <c r="FC66" i="4"/>
  <c r="FD66" i="4"/>
  <c r="FE66" i="4"/>
  <c r="FF66" i="4"/>
  <c r="FG66" i="4"/>
  <c r="FH66" i="4"/>
  <c r="FI66" i="4"/>
  <c r="FJ66" i="4"/>
  <c r="FK66" i="4"/>
  <c r="FL66" i="4"/>
  <c r="FM66" i="4"/>
  <c r="FN66" i="4"/>
  <c r="EV67" i="4"/>
  <c r="EW67" i="4"/>
  <c r="EX67" i="4"/>
  <c r="EY67" i="4"/>
  <c r="EZ67" i="4"/>
  <c r="FA67" i="4"/>
  <c r="FB67" i="4"/>
  <c r="FC67" i="4"/>
  <c r="FD67" i="4"/>
  <c r="FE67" i="4"/>
  <c r="FF67" i="4"/>
  <c r="FG67" i="4"/>
  <c r="FH67" i="4"/>
  <c r="FI67" i="4"/>
  <c r="FJ67" i="4"/>
  <c r="FK67" i="4"/>
  <c r="FL67" i="4"/>
  <c r="FM67" i="4"/>
  <c r="FN67" i="4"/>
  <c r="EV68" i="4"/>
  <c r="EW68" i="4"/>
  <c r="EX68" i="4"/>
  <c r="EY68" i="4"/>
  <c r="EZ68" i="4"/>
  <c r="FA68" i="4"/>
  <c r="FB68" i="4"/>
  <c r="FC68" i="4"/>
  <c r="FD68" i="4"/>
  <c r="FE68" i="4"/>
  <c r="FF68" i="4"/>
  <c r="FG68" i="4"/>
  <c r="FH68" i="4"/>
  <c r="FI68" i="4"/>
  <c r="FJ68" i="4"/>
  <c r="FK68" i="4"/>
  <c r="FL68" i="4"/>
  <c r="FM68" i="4"/>
  <c r="FN68" i="4"/>
  <c r="EV69" i="4"/>
  <c r="EW69" i="4"/>
  <c r="EX69" i="4"/>
  <c r="EY69" i="4"/>
  <c r="EZ69" i="4"/>
  <c r="FA69" i="4"/>
  <c r="FB69" i="4"/>
  <c r="FC69" i="4"/>
  <c r="FD69" i="4"/>
  <c r="FE69" i="4"/>
  <c r="FF69" i="4"/>
  <c r="FG69" i="4"/>
  <c r="FH69" i="4"/>
  <c r="FI69" i="4"/>
  <c r="FJ69" i="4"/>
  <c r="FK69" i="4"/>
  <c r="FL69" i="4"/>
  <c r="FM69" i="4"/>
  <c r="FN69" i="4"/>
  <c r="EV70" i="4"/>
  <c r="EW70" i="4"/>
  <c r="EX70" i="4"/>
  <c r="EY70" i="4"/>
  <c r="EZ70" i="4"/>
  <c r="FA70" i="4"/>
  <c r="FB70" i="4"/>
  <c r="FC70" i="4"/>
  <c r="FD70" i="4"/>
  <c r="FE70" i="4"/>
  <c r="FF70" i="4"/>
  <c r="FG70" i="4"/>
  <c r="FH70" i="4"/>
  <c r="FI70" i="4"/>
  <c r="FJ70" i="4"/>
  <c r="FK70" i="4"/>
  <c r="FL70" i="4"/>
  <c r="FM70" i="4"/>
  <c r="FN70" i="4"/>
  <c r="EV71" i="4"/>
  <c r="EW71" i="4"/>
  <c r="EX71" i="4"/>
  <c r="EY71" i="4"/>
  <c r="EZ71" i="4"/>
  <c r="FA71" i="4"/>
  <c r="FB71" i="4"/>
  <c r="FC71" i="4"/>
  <c r="FD71" i="4"/>
  <c r="FE71" i="4"/>
  <c r="FF71" i="4"/>
  <c r="FG71" i="4"/>
  <c r="FH71" i="4"/>
  <c r="FI71" i="4"/>
  <c r="FJ71" i="4"/>
  <c r="FK71" i="4"/>
  <c r="FL71" i="4"/>
  <c r="FM71" i="4"/>
  <c r="FN71" i="4"/>
  <c r="EV72" i="4"/>
  <c r="EW72" i="4"/>
  <c r="EX72" i="4"/>
  <c r="EY72" i="4"/>
  <c r="EZ72" i="4"/>
  <c r="FA72" i="4"/>
  <c r="FB72" i="4"/>
  <c r="FC72" i="4"/>
  <c r="FD72" i="4"/>
  <c r="FE72" i="4"/>
  <c r="FF72" i="4"/>
  <c r="FG72" i="4"/>
  <c r="FH72" i="4"/>
  <c r="FI72" i="4"/>
  <c r="FJ72" i="4"/>
  <c r="FK72" i="4"/>
  <c r="FL72" i="4"/>
  <c r="FM72" i="4"/>
  <c r="FN72" i="4"/>
  <c r="EV73" i="4"/>
  <c r="EW73" i="4"/>
  <c r="EX73" i="4"/>
  <c r="EY73" i="4"/>
  <c r="EZ73" i="4"/>
  <c r="FA73" i="4"/>
  <c r="FB73" i="4"/>
  <c r="FC73" i="4"/>
  <c r="FD73" i="4"/>
  <c r="FE73" i="4"/>
  <c r="FF73" i="4"/>
  <c r="FG73" i="4"/>
  <c r="FH73" i="4"/>
  <c r="FI73" i="4"/>
  <c r="FJ73" i="4"/>
  <c r="FK73" i="4"/>
  <c r="FL73" i="4"/>
  <c r="FM73" i="4"/>
  <c r="FN73" i="4"/>
  <c r="EV74" i="4"/>
  <c r="EW74" i="4"/>
  <c r="EX74" i="4"/>
  <c r="EY74" i="4"/>
  <c r="EZ74" i="4"/>
  <c r="FA74" i="4"/>
  <c r="FB74" i="4"/>
  <c r="FC74" i="4"/>
  <c r="FD74" i="4"/>
  <c r="FE74" i="4"/>
  <c r="FF74" i="4"/>
  <c r="FG74" i="4"/>
  <c r="FH74" i="4"/>
  <c r="FI74" i="4"/>
  <c r="FJ74" i="4"/>
  <c r="FK74" i="4"/>
  <c r="FL74" i="4"/>
  <c r="FM74" i="4"/>
  <c r="FN74" i="4"/>
  <c r="EV75" i="4"/>
  <c r="EW75" i="4"/>
  <c r="EX75" i="4"/>
  <c r="EY75" i="4"/>
  <c r="EZ75" i="4"/>
  <c r="FA75" i="4"/>
  <c r="FB75" i="4"/>
  <c r="FC75" i="4"/>
  <c r="FD75" i="4"/>
  <c r="FE75" i="4"/>
  <c r="FF75" i="4"/>
  <c r="FG75" i="4"/>
  <c r="FH75" i="4"/>
  <c r="FI75" i="4"/>
  <c r="FJ75" i="4"/>
  <c r="FK75" i="4"/>
  <c r="FL75" i="4"/>
  <c r="FM75" i="4"/>
  <c r="FN75" i="4"/>
  <c r="EV76" i="4"/>
  <c r="EW76" i="4"/>
  <c r="EX76" i="4"/>
  <c r="EY76" i="4"/>
  <c r="EZ76" i="4"/>
  <c r="FA76" i="4"/>
  <c r="FB76" i="4"/>
  <c r="FC76" i="4"/>
  <c r="FD76" i="4"/>
  <c r="FE76" i="4"/>
  <c r="FF76" i="4"/>
  <c r="FG76" i="4"/>
  <c r="FH76" i="4"/>
  <c r="FI76" i="4"/>
  <c r="FJ76" i="4"/>
  <c r="FK76" i="4"/>
  <c r="FL76" i="4"/>
  <c r="FM76" i="4"/>
  <c r="FN76" i="4"/>
  <c r="EV77" i="4"/>
  <c r="EW77" i="4"/>
  <c r="EX77" i="4"/>
  <c r="EY77" i="4"/>
  <c r="EZ77" i="4"/>
  <c r="FA77" i="4"/>
  <c r="FB77" i="4"/>
  <c r="FC77" i="4"/>
  <c r="FD77" i="4"/>
  <c r="FE77" i="4"/>
  <c r="FF77" i="4"/>
  <c r="FG77" i="4"/>
  <c r="FH77" i="4"/>
  <c r="FI77" i="4"/>
  <c r="FJ77" i="4"/>
  <c r="FK77" i="4"/>
  <c r="FL77" i="4"/>
  <c r="FM77" i="4"/>
  <c r="FN77" i="4"/>
  <c r="EV78" i="4"/>
  <c r="EW78" i="4"/>
  <c r="EX78" i="4"/>
  <c r="EY78" i="4"/>
  <c r="EZ78" i="4"/>
  <c r="FA78" i="4"/>
  <c r="FB78" i="4"/>
  <c r="FC78" i="4"/>
  <c r="FD78" i="4"/>
  <c r="FE78" i="4"/>
  <c r="FF78" i="4"/>
  <c r="FG78" i="4"/>
  <c r="FH78" i="4"/>
  <c r="FI78" i="4"/>
  <c r="FJ78" i="4"/>
  <c r="FK78" i="4"/>
  <c r="FL78" i="4"/>
  <c r="FM78" i="4"/>
  <c r="FN78" i="4"/>
  <c r="EV79" i="4"/>
  <c r="EW79" i="4"/>
  <c r="EX79" i="4"/>
  <c r="EY79" i="4"/>
  <c r="EZ79" i="4"/>
  <c r="FA79" i="4"/>
  <c r="FB79" i="4"/>
  <c r="FC79" i="4"/>
  <c r="FD79" i="4"/>
  <c r="FE79" i="4"/>
  <c r="FF79" i="4"/>
  <c r="FG79" i="4"/>
  <c r="FH79" i="4"/>
  <c r="FI79" i="4"/>
  <c r="FJ79" i="4"/>
  <c r="FK79" i="4"/>
  <c r="FL79" i="4"/>
  <c r="FM79" i="4"/>
  <c r="FN79" i="4"/>
  <c r="EV80" i="4"/>
  <c r="EW80" i="4"/>
  <c r="EX80" i="4"/>
  <c r="EY80" i="4"/>
  <c r="EZ80" i="4"/>
  <c r="FA80" i="4"/>
  <c r="FB80" i="4"/>
  <c r="FC80" i="4"/>
  <c r="FD80" i="4"/>
  <c r="FE80" i="4"/>
  <c r="FF80" i="4"/>
  <c r="FG80" i="4"/>
  <c r="FH80" i="4"/>
  <c r="FI80" i="4"/>
  <c r="FJ80" i="4"/>
  <c r="FK80" i="4"/>
  <c r="FL80" i="4"/>
  <c r="FM80" i="4"/>
  <c r="FN80" i="4"/>
  <c r="EV81" i="4"/>
  <c r="EW81" i="4"/>
  <c r="EX81" i="4"/>
  <c r="EY81" i="4"/>
  <c r="EZ81" i="4"/>
  <c r="FA81" i="4"/>
  <c r="FB81" i="4"/>
  <c r="FC81" i="4"/>
  <c r="FD81" i="4"/>
  <c r="FE81" i="4"/>
  <c r="FF81" i="4"/>
  <c r="FG81" i="4"/>
  <c r="FH81" i="4"/>
  <c r="FI81" i="4"/>
  <c r="FJ81" i="4"/>
  <c r="FK81" i="4"/>
  <c r="FL81" i="4"/>
  <c r="FM81" i="4"/>
  <c r="FN81" i="4"/>
  <c r="EV82" i="4"/>
  <c r="EW82" i="4"/>
  <c r="EX82" i="4"/>
  <c r="EY82" i="4"/>
  <c r="EZ82" i="4"/>
  <c r="FA82" i="4"/>
  <c r="FB82" i="4"/>
  <c r="FC82" i="4"/>
  <c r="FD82" i="4"/>
  <c r="FE82" i="4"/>
  <c r="FF82" i="4"/>
  <c r="FG82" i="4"/>
  <c r="FH82" i="4"/>
  <c r="FI82" i="4"/>
  <c r="FJ82" i="4"/>
  <c r="FK82" i="4"/>
  <c r="FL82" i="4"/>
  <c r="FM82" i="4"/>
  <c r="FN82" i="4"/>
  <c r="EV83" i="4"/>
  <c r="EW83" i="4"/>
  <c r="EX83" i="4"/>
  <c r="EY83" i="4"/>
  <c r="EZ83" i="4"/>
  <c r="FA83" i="4"/>
  <c r="FB83" i="4"/>
  <c r="FC83" i="4"/>
  <c r="FD83" i="4"/>
  <c r="FE83" i="4"/>
  <c r="FF83" i="4"/>
  <c r="FG83" i="4"/>
  <c r="FH83" i="4"/>
  <c r="FI83" i="4"/>
  <c r="FJ83" i="4"/>
  <c r="FK83" i="4"/>
  <c r="FL83" i="4"/>
  <c r="FM83" i="4"/>
  <c r="FN83" i="4"/>
  <c r="EV84" i="4"/>
  <c r="EW84" i="4"/>
  <c r="EX84" i="4"/>
  <c r="EY84" i="4"/>
  <c r="EZ84" i="4"/>
  <c r="FA84" i="4"/>
  <c r="FB84" i="4"/>
  <c r="FC84" i="4"/>
  <c r="FD84" i="4"/>
  <c r="FE84" i="4"/>
  <c r="FF84" i="4"/>
  <c r="FG84" i="4"/>
  <c r="FH84" i="4"/>
  <c r="FI84" i="4"/>
  <c r="FJ84" i="4"/>
  <c r="FK84" i="4"/>
  <c r="FL84" i="4"/>
  <c r="FM84" i="4"/>
  <c r="FN84" i="4"/>
  <c r="EV85" i="4"/>
  <c r="EW85" i="4"/>
  <c r="EX85" i="4"/>
  <c r="EY85" i="4"/>
  <c r="EZ85" i="4"/>
  <c r="FA85" i="4"/>
  <c r="FB85" i="4"/>
  <c r="FC85" i="4"/>
  <c r="FD85" i="4"/>
  <c r="FE85" i="4"/>
  <c r="FF85" i="4"/>
  <c r="FG85" i="4"/>
  <c r="FH85" i="4"/>
  <c r="FI85" i="4"/>
  <c r="FJ85" i="4"/>
  <c r="FK85" i="4"/>
  <c r="FL85" i="4"/>
  <c r="FM85" i="4"/>
  <c r="FN85" i="4"/>
  <c r="EV86" i="4"/>
  <c r="EW86" i="4"/>
  <c r="EX86" i="4"/>
  <c r="EY86" i="4"/>
  <c r="EZ86" i="4"/>
  <c r="FA86" i="4"/>
  <c r="FB86" i="4"/>
  <c r="FC86" i="4"/>
  <c r="FD86" i="4"/>
  <c r="FE86" i="4"/>
  <c r="FF86" i="4"/>
  <c r="FG86" i="4"/>
  <c r="FH86" i="4"/>
  <c r="FI86" i="4"/>
  <c r="FJ86" i="4"/>
  <c r="FK86" i="4"/>
  <c r="FL86" i="4"/>
  <c r="FM86" i="4"/>
  <c r="FN86" i="4"/>
  <c r="EV87" i="4"/>
  <c r="EW87" i="4"/>
  <c r="EX87" i="4"/>
  <c r="EY87" i="4"/>
  <c r="EZ87" i="4"/>
  <c r="FA87" i="4"/>
  <c r="FB87" i="4"/>
  <c r="FC87" i="4"/>
  <c r="FD87" i="4"/>
  <c r="FE87" i="4"/>
  <c r="FF87" i="4"/>
  <c r="FG87" i="4"/>
  <c r="FH87" i="4"/>
  <c r="FI87" i="4"/>
  <c r="FJ87" i="4"/>
  <c r="FK87" i="4"/>
  <c r="FL87" i="4"/>
  <c r="FM87" i="4"/>
  <c r="FN87" i="4"/>
  <c r="EV88" i="4"/>
  <c r="EW88" i="4"/>
  <c r="EX88" i="4"/>
  <c r="EY88" i="4"/>
  <c r="EZ88" i="4"/>
  <c r="FA88" i="4"/>
  <c r="FB88" i="4"/>
  <c r="FC88" i="4"/>
  <c r="FD88" i="4"/>
  <c r="FE88" i="4"/>
  <c r="FF88" i="4"/>
  <c r="FG88" i="4"/>
  <c r="FH88" i="4"/>
  <c r="FI88" i="4"/>
  <c r="FJ88" i="4"/>
  <c r="FK88" i="4"/>
  <c r="FL88" i="4"/>
  <c r="FM88" i="4"/>
  <c r="FN88" i="4"/>
  <c r="EV89" i="4"/>
  <c r="EW89" i="4"/>
  <c r="EX89" i="4"/>
  <c r="EY89" i="4"/>
  <c r="EZ89" i="4"/>
  <c r="FA89" i="4"/>
  <c r="FB89" i="4"/>
  <c r="FC89" i="4"/>
  <c r="FD89" i="4"/>
  <c r="FE89" i="4"/>
  <c r="FF89" i="4"/>
  <c r="FG89" i="4"/>
  <c r="FH89" i="4"/>
  <c r="FI89" i="4"/>
  <c r="FJ89" i="4"/>
  <c r="FK89" i="4"/>
  <c r="FL89" i="4"/>
  <c r="FM89" i="4"/>
  <c r="FN89" i="4"/>
  <c r="EV90" i="4"/>
  <c r="EW90" i="4"/>
  <c r="EX90" i="4"/>
  <c r="EY90" i="4"/>
  <c r="EZ90" i="4"/>
  <c r="FA90" i="4"/>
  <c r="FB90" i="4"/>
  <c r="FC90" i="4"/>
  <c r="FD90" i="4"/>
  <c r="FE90" i="4"/>
  <c r="FF90" i="4"/>
  <c r="FG90" i="4"/>
  <c r="FH90" i="4"/>
  <c r="FI90" i="4"/>
  <c r="FJ90" i="4"/>
  <c r="FK90" i="4"/>
  <c r="FL90" i="4"/>
  <c r="FM90" i="4"/>
  <c r="FN90" i="4"/>
  <c r="EV91" i="4"/>
  <c r="EW91" i="4"/>
  <c r="EX91" i="4"/>
  <c r="EY91" i="4"/>
  <c r="EZ91" i="4"/>
  <c r="FA91" i="4"/>
  <c r="FB91" i="4"/>
  <c r="FC91" i="4"/>
  <c r="FD91" i="4"/>
  <c r="FE91" i="4"/>
  <c r="FF91" i="4"/>
  <c r="FG91" i="4"/>
  <c r="FH91" i="4"/>
  <c r="FI91" i="4"/>
  <c r="FJ91" i="4"/>
  <c r="FK91" i="4"/>
  <c r="FL91" i="4"/>
  <c r="FM91" i="4"/>
  <c r="FN91" i="4"/>
  <c r="EV92" i="4"/>
  <c r="EW92" i="4"/>
  <c r="EX92" i="4"/>
  <c r="EY92" i="4"/>
  <c r="EZ92" i="4"/>
  <c r="FA92" i="4"/>
  <c r="FB92" i="4"/>
  <c r="FC92" i="4"/>
  <c r="FD92" i="4"/>
  <c r="FE92" i="4"/>
  <c r="FF92" i="4"/>
  <c r="FG92" i="4"/>
  <c r="FH92" i="4"/>
  <c r="FI92" i="4"/>
  <c r="FJ92" i="4"/>
  <c r="FK92" i="4"/>
  <c r="FL92" i="4"/>
  <c r="FM92" i="4"/>
  <c r="FN92" i="4"/>
  <c r="EV93" i="4"/>
  <c r="EW93" i="4"/>
  <c r="EX93" i="4"/>
  <c r="EY93" i="4"/>
  <c r="EZ93" i="4"/>
  <c r="FA93" i="4"/>
  <c r="FB93" i="4"/>
  <c r="FC93" i="4"/>
  <c r="FD93" i="4"/>
  <c r="FE93" i="4"/>
  <c r="FF93" i="4"/>
  <c r="FG93" i="4"/>
  <c r="FH93" i="4"/>
  <c r="FI93" i="4"/>
  <c r="FJ93" i="4"/>
  <c r="FK93" i="4"/>
  <c r="FL93" i="4"/>
  <c r="FM93" i="4"/>
  <c r="FN93" i="4"/>
  <c r="EV94" i="4"/>
  <c r="EW94" i="4"/>
  <c r="EX94" i="4"/>
  <c r="EY94" i="4"/>
  <c r="EZ94" i="4"/>
  <c r="FA94" i="4"/>
  <c r="FB94" i="4"/>
  <c r="FC94" i="4"/>
  <c r="FD94" i="4"/>
  <c r="FE94" i="4"/>
  <c r="FF94" i="4"/>
  <c r="FG94" i="4"/>
  <c r="FH94" i="4"/>
  <c r="FI94" i="4"/>
  <c r="FJ94" i="4"/>
  <c r="FK94" i="4"/>
  <c r="FL94" i="4"/>
  <c r="FM94" i="4"/>
  <c r="FN94" i="4"/>
  <c r="EV95" i="4"/>
  <c r="EW95" i="4"/>
  <c r="EX95" i="4"/>
  <c r="EY95" i="4"/>
  <c r="EZ95" i="4"/>
  <c r="FA95" i="4"/>
  <c r="FB95" i="4"/>
  <c r="FC95" i="4"/>
  <c r="FD95" i="4"/>
  <c r="FE95" i="4"/>
  <c r="FF95" i="4"/>
  <c r="FG95" i="4"/>
  <c r="FH95" i="4"/>
  <c r="FI95" i="4"/>
  <c r="FJ95" i="4"/>
  <c r="FK95" i="4"/>
  <c r="FL95" i="4"/>
  <c r="FM95" i="4"/>
  <c r="FN95" i="4"/>
  <c r="EV96" i="4"/>
  <c r="EW96" i="4"/>
  <c r="EX96" i="4"/>
  <c r="EY96" i="4"/>
  <c r="EZ96" i="4"/>
  <c r="FA96" i="4"/>
  <c r="FB96" i="4"/>
  <c r="FC96" i="4"/>
  <c r="FD96" i="4"/>
  <c r="FE96" i="4"/>
  <c r="FF96" i="4"/>
  <c r="FG96" i="4"/>
  <c r="FH96" i="4"/>
  <c r="FI96" i="4"/>
  <c r="FJ96" i="4"/>
  <c r="FK96" i="4"/>
  <c r="FL96" i="4"/>
  <c r="FM96" i="4"/>
  <c r="FN96" i="4"/>
  <c r="EV97" i="4"/>
  <c r="EW97" i="4"/>
  <c r="EX97" i="4"/>
  <c r="EY97" i="4"/>
  <c r="EZ97" i="4"/>
  <c r="FA97" i="4"/>
  <c r="FB97" i="4"/>
  <c r="FC97" i="4"/>
  <c r="FD97" i="4"/>
  <c r="FE97" i="4"/>
  <c r="FF97" i="4"/>
  <c r="FG97" i="4"/>
  <c r="FH97" i="4"/>
  <c r="FI97" i="4"/>
  <c r="FJ97" i="4"/>
  <c r="FK97" i="4"/>
  <c r="FL97" i="4"/>
  <c r="FM97" i="4"/>
  <c r="FN97" i="4"/>
  <c r="EV98" i="4"/>
  <c r="EW98" i="4"/>
  <c r="EX98" i="4"/>
  <c r="EY98" i="4"/>
  <c r="EZ98" i="4"/>
  <c r="FA98" i="4"/>
  <c r="FB98" i="4"/>
  <c r="FC98" i="4"/>
  <c r="FD98" i="4"/>
  <c r="FE98" i="4"/>
  <c r="FF98" i="4"/>
  <c r="FG98" i="4"/>
  <c r="FH98" i="4"/>
  <c r="FI98" i="4"/>
  <c r="FJ98" i="4"/>
  <c r="FK98" i="4"/>
  <c r="FL98" i="4"/>
  <c r="FM98" i="4"/>
  <c r="FN98" i="4"/>
  <c r="EV99" i="4"/>
  <c r="EW99" i="4"/>
  <c r="EX99" i="4"/>
  <c r="EY99" i="4"/>
  <c r="EZ99" i="4"/>
  <c r="FA99" i="4"/>
  <c r="FB99" i="4"/>
  <c r="FC99" i="4"/>
  <c r="FD99" i="4"/>
  <c r="FE99" i="4"/>
  <c r="FF99" i="4"/>
  <c r="FG99" i="4"/>
  <c r="FH99" i="4"/>
  <c r="FI99" i="4"/>
  <c r="FJ99" i="4"/>
  <c r="FK99" i="4"/>
  <c r="FL99" i="4"/>
  <c r="FM99" i="4"/>
  <c r="FN99" i="4"/>
  <c r="EV100" i="4"/>
  <c r="EW100" i="4"/>
  <c r="EX100" i="4"/>
  <c r="EY100" i="4"/>
  <c r="EZ100" i="4"/>
  <c r="FA100" i="4"/>
  <c r="FB100" i="4"/>
  <c r="FC100" i="4"/>
  <c r="FD100" i="4"/>
  <c r="FE100" i="4"/>
  <c r="FF100" i="4"/>
  <c r="FG100" i="4"/>
  <c r="FH100" i="4"/>
  <c r="FI100" i="4"/>
  <c r="FJ100" i="4"/>
  <c r="FK100" i="4"/>
  <c r="FL100" i="4"/>
  <c r="FM100" i="4"/>
  <c r="FN100" i="4"/>
  <c r="EV101" i="4"/>
  <c r="EW101" i="4"/>
  <c r="EX101" i="4"/>
  <c r="EY101" i="4"/>
  <c r="EZ101" i="4"/>
  <c r="FA101" i="4"/>
  <c r="FB101" i="4"/>
  <c r="FC101" i="4"/>
  <c r="FD101" i="4"/>
  <c r="FE101" i="4"/>
  <c r="FF101" i="4"/>
  <c r="FG101" i="4"/>
  <c r="FH101" i="4"/>
  <c r="FI101" i="4"/>
  <c r="FJ101" i="4"/>
  <c r="FK101" i="4"/>
  <c r="FL101" i="4"/>
  <c r="FM101" i="4"/>
  <c r="FN101" i="4"/>
  <c r="EV102" i="4"/>
  <c r="EW102" i="4"/>
  <c r="EX102" i="4"/>
  <c r="EY102" i="4"/>
  <c r="EZ102" i="4"/>
  <c r="FA102" i="4"/>
  <c r="FB102" i="4"/>
  <c r="FC102" i="4"/>
  <c r="FD102" i="4"/>
  <c r="FE102" i="4"/>
  <c r="FF102" i="4"/>
  <c r="FG102" i="4"/>
  <c r="FH102" i="4"/>
  <c r="FI102" i="4"/>
  <c r="FJ102" i="4"/>
  <c r="FK102" i="4"/>
  <c r="FL102" i="4"/>
  <c r="FM102" i="4"/>
  <c r="FN102" i="4"/>
  <c r="EV103" i="4"/>
  <c r="EW103" i="4"/>
  <c r="EX103" i="4"/>
  <c r="EY103" i="4"/>
  <c r="EZ103" i="4"/>
  <c r="FA103" i="4"/>
  <c r="FB103" i="4"/>
  <c r="FC103" i="4"/>
  <c r="FD103" i="4"/>
  <c r="FE103" i="4"/>
  <c r="FF103" i="4"/>
  <c r="FG103" i="4"/>
  <c r="FH103" i="4"/>
  <c r="FI103" i="4"/>
  <c r="FJ103" i="4"/>
  <c r="FK103" i="4"/>
  <c r="FL103" i="4"/>
  <c r="FM103" i="4"/>
  <c r="FN103" i="4"/>
  <c r="EV104" i="4"/>
  <c r="EW104" i="4"/>
  <c r="EX104" i="4"/>
  <c r="EY104" i="4"/>
  <c r="EZ104" i="4"/>
  <c r="FA104" i="4"/>
  <c r="FB104" i="4"/>
  <c r="FC104" i="4"/>
  <c r="FD104" i="4"/>
  <c r="FE104" i="4"/>
  <c r="FF104" i="4"/>
  <c r="FG104" i="4"/>
  <c r="FH104" i="4"/>
  <c r="FI104" i="4"/>
  <c r="FJ104" i="4"/>
  <c r="FK104" i="4"/>
  <c r="FL104" i="4"/>
  <c r="FM104" i="4"/>
  <c r="FN104" i="4"/>
  <c r="EV105" i="4"/>
  <c r="EW105" i="4"/>
  <c r="EX105" i="4"/>
  <c r="EY105" i="4"/>
  <c r="EZ105" i="4"/>
  <c r="FA105" i="4"/>
  <c r="FB105" i="4"/>
  <c r="FC105" i="4"/>
  <c r="FD105" i="4"/>
  <c r="FE105" i="4"/>
  <c r="FF105" i="4"/>
  <c r="FG105" i="4"/>
  <c r="FH105" i="4"/>
  <c r="FI105" i="4"/>
  <c r="FJ105" i="4"/>
  <c r="FK105" i="4"/>
  <c r="FL105" i="4"/>
  <c r="FM105" i="4"/>
  <c r="FN105" i="4"/>
  <c r="EV106" i="4"/>
  <c r="EW106" i="4"/>
  <c r="EX106" i="4"/>
  <c r="EY106" i="4"/>
  <c r="EZ106" i="4"/>
  <c r="FA106" i="4"/>
  <c r="FB106" i="4"/>
  <c r="FC106" i="4"/>
  <c r="FD106" i="4"/>
  <c r="FE106" i="4"/>
  <c r="FF106" i="4"/>
  <c r="FG106" i="4"/>
  <c r="FH106" i="4"/>
  <c r="FI106" i="4"/>
  <c r="FJ106" i="4"/>
  <c r="FK106" i="4"/>
  <c r="FL106" i="4"/>
  <c r="FM106" i="4"/>
  <c r="FN106" i="4"/>
  <c r="FL7" i="4"/>
  <c r="FM7" i="4"/>
  <c r="FN7" i="4"/>
  <c r="EW7" i="4"/>
  <c r="EX7" i="4"/>
  <c r="EY7" i="4"/>
  <c r="EZ7" i="4"/>
  <c r="FA7" i="4"/>
  <c r="FB7" i="4"/>
  <c r="FC7" i="4"/>
  <c r="FD7" i="4"/>
  <c r="FE7" i="4"/>
  <c r="FF7" i="4"/>
  <c r="FG7" i="4"/>
  <c r="FH7" i="4"/>
  <c r="FI7" i="4"/>
  <c r="FJ7" i="4"/>
  <c r="FK7" i="4"/>
  <c r="EV7" i="4"/>
  <c r="EA8" i="4"/>
  <c r="EB8" i="4"/>
  <c r="EC8" i="4"/>
  <c r="ED8" i="4"/>
  <c r="EE8" i="4"/>
  <c r="EF8" i="4"/>
  <c r="EG8" i="4"/>
  <c r="EH8" i="4"/>
  <c r="EI8" i="4"/>
  <c r="EJ8" i="4"/>
  <c r="EK8" i="4"/>
  <c r="EL8" i="4"/>
  <c r="EM8" i="4"/>
  <c r="EN8" i="4"/>
  <c r="EO8" i="4"/>
  <c r="EP8" i="4"/>
  <c r="EQ8" i="4"/>
  <c r="ER8" i="4"/>
  <c r="ES8" i="4"/>
  <c r="ET8" i="4"/>
  <c r="EA9" i="4"/>
  <c r="EB9" i="4"/>
  <c r="EC9" i="4"/>
  <c r="ED9" i="4"/>
  <c r="EE9" i="4"/>
  <c r="EF9" i="4"/>
  <c r="EG9" i="4"/>
  <c r="EH9" i="4"/>
  <c r="EI9" i="4"/>
  <c r="EJ9" i="4"/>
  <c r="EK9" i="4"/>
  <c r="EL9" i="4"/>
  <c r="EM9" i="4"/>
  <c r="EN9" i="4"/>
  <c r="EO9" i="4"/>
  <c r="EP9" i="4"/>
  <c r="EQ9" i="4"/>
  <c r="ER9" i="4"/>
  <c r="ES9" i="4"/>
  <c r="ET9" i="4"/>
  <c r="EA10" i="4"/>
  <c r="EB10" i="4"/>
  <c r="EC10" i="4"/>
  <c r="ED10" i="4"/>
  <c r="EE10" i="4"/>
  <c r="EF10" i="4"/>
  <c r="EG10" i="4"/>
  <c r="EH10" i="4"/>
  <c r="EI10" i="4"/>
  <c r="EJ10" i="4"/>
  <c r="EK10" i="4"/>
  <c r="EL10" i="4"/>
  <c r="EM10" i="4"/>
  <c r="EN10" i="4"/>
  <c r="EO10" i="4"/>
  <c r="EP10" i="4"/>
  <c r="EQ10" i="4"/>
  <c r="ER10" i="4"/>
  <c r="ES10" i="4"/>
  <c r="ET10" i="4"/>
  <c r="EA11" i="4"/>
  <c r="EB11" i="4"/>
  <c r="EC11" i="4"/>
  <c r="ED11" i="4"/>
  <c r="EE11" i="4"/>
  <c r="EF11" i="4"/>
  <c r="EG11" i="4"/>
  <c r="EH11" i="4"/>
  <c r="EI11" i="4"/>
  <c r="EJ11" i="4"/>
  <c r="EK11" i="4"/>
  <c r="EL11" i="4"/>
  <c r="EM11" i="4"/>
  <c r="EN11" i="4"/>
  <c r="EO11" i="4"/>
  <c r="EP11" i="4"/>
  <c r="EQ11" i="4"/>
  <c r="ER11" i="4"/>
  <c r="ES11" i="4"/>
  <c r="ET11" i="4"/>
  <c r="EA12" i="4"/>
  <c r="EB12" i="4"/>
  <c r="EC12" i="4"/>
  <c r="ED12" i="4"/>
  <c r="EE12" i="4"/>
  <c r="EF12" i="4"/>
  <c r="EG12" i="4"/>
  <c r="EH12" i="4"/>
  <c r="EI12" i="4"/>
  <c r="EJ12" i="4"/>
  <c r="EK12" i="4"/>
  <c r="EL12" i="4"/>
  <c r="EM12" i="4"/>
  <c r="EN12" i="4"/>
  <c r="EO12" i="4"/>
  <c r="EP12" i="4"/>
  <c r="EQ12" i="4"/>
  <c r="ER12" i="4"/>
  <c r="ES12" i="4"/>
  <c r="ET12" i="4"/>
  <c r="EA13" i="4"/>
  <c r="EB13" i="4"/>
  <c r="EC13" i="4"/>
  <c r="ED13" i="4"/>
  <c r="EE13" i="4"/>
  <c r="EF13" i="4"/>
  <c r="EG13" i="4"/>
  <c r="EH13" i="4"/>
  <c r="EI13" i="4"/>
  <c r="EJ13" i="4"/>
  <c r="EK13" i="4"/>
  <c r="EL13" i="4"/>
  <c r="EM13" i="4"/>
  <c r="EN13" i="4"/>
  <c r="EO13" i="4"/>
  <c r="EP13" i="4"/>
  <c r="EQ13" i="4"/>
  <c r="ER13" i="4"/>
  <c r="ES13" i="4"/>
  <c r="ET13" i="4"/>
  <c r="EA14" i="4"/>
  <c r="EB14" i="4"/>
  <c r="EC14" i="4"/>
  <c r="ED14" i="4"/>
  <c r="EE14" i="4"/>
  <c r="EF14" i="4"/>
  <c r="EG14" i="4"/>
  <c r="EH14" i="4"/>
  <c r="EI14" i="4"/>
  <c r="EJ14" i="4"/>
  <c r="EK14" i="4"/>
  <c r="EL14" i="4"/>
  <c r="EM14" i="4"/>
  <c r="EN14" i="4"/>
  <c r="EO14" i="4"/>
  <c r="EP14" i="4"/>
  <c r="EQ14" i="4"/>
  <c r="ER14" i="4"/>
  <c r="ES14" i="4"/>
  <c r="ET14" i="4"/>
  <c r="EA15" i="4"/>
  <c r="EB15" i="4"/>
  <c r="EC15" i="4"/>
  <c r="ED15" i="4"/>
  <c r="EE15" i="4"/>
  <c r="EF15" i="4"/>
  <c r="EG15" i="4"/>
  <c r="EH15" i="4"/>
  <c r="EI15" i="4"/>
  <c r="EJ15" i="4"/>
  <c r="EK15" i="4"/>
  <c r="EL15" i="4"/>
  <c r="EM15" i="4"/>
  <c r="EN15" i="4"/>
  <c r="EO15" i="4"/>
  <c r="EP15" i="4"/>
  <c r="EQ15" i="4"/>
  <c r="ER15" i="4"/>
  <c r="ES15" i="4"/>
  <c r="ET15" i="4"/>
  <c r="EA16" i="4"/>
  <c r="EB16" i="4"/>
  <c r="EC16" i="4"/>
  <c r="ED16" i="4"/>
  <c r="EE16" i="4"/>
  <c r="EF16" i="4"/>
  <c r="EG16" i="4"/>
  <c r="EH16" i="4"/>
  <c r="EI16" i="4"/>
  <c r="EJ16" i="4"/>
  <c r="EK16" i="4"/>
  <c r="EL16" i="4"/>
  <c r="EM16" i="4"/>
  <c r="EN16" i="4"/>
  <c r="EO16" i="4"/>
  <c r="EP16" i="4"/>
  <c r="EQ16" i="4"/>
  <c r="ER16" i="4"/>
  <c r="ES16" i="4"/>
  <c r="ET16" i="4"/>
  <c r="EA17" i="4"/>
  <c r="EB17" i="4"/>
  <c r="EC17" i="4"/>
  <c r="ED17" i="4"/>
  <c r="EE17" i="4"/>
  <c r="EF17" i="4"/>
  <c r="EG17" i="4"/>
  <c r="EH17" i="4"/>
  <c r="EI17" i="4"/>
  <c r="EJ17" i="4"/>
  <c r="EK17" i="4"/>
  <c r="EL17" i="4"/>
  <c r="EM17" i="4"/>
  <c r="EN17" i="4"/>
  <c r="EO17" i="4"/>
  <c r="EP17" i="4"/>
  <c r="EQ17" i="4"/>
  <c r="ER17" i="4"/>
  <c r="ES17" i="4"/>
  <c r="ET17" i="4"/>
  <c r="EA18" i="4"/>
  <c r="EB18" i="4"/>
  <c r="EC18" i="4"/>
  <c r="ED18" i="4"/>
  <c r="EE18" i="4"/>
  <c r="EF18" i="4"/>
  <c r="EG18" i="4"/>
  <c r="EH18" i="4"/>
  <c r="EI18" i="4"/>
  <c r="EJ18" i="4"/>
  <c r="EK18" i="4"/>
  <c r="EL18" i="4"/>
  <c r="EM18" i="4"/>
  <c r="EN18" i="4"/>
  <c r="EO18" i="4"/>
  <c r="EP18" i="4"/>
  <c r="EQ18" i="4"/>
  <c r="ER18" i="4"/>
  <c r="ES18" i="4"/>
  <c r="ET18" i="4"/>
  <c r="EA19" i="4"/>
  <c r="EB19" i="4"/>
  <c r="EC19" i="4"/>
  <c r="ED19" i="4"/>
  <c r="EE19" i="4"/>
  <c r="EF19" i="4"/>
  <c r="EG19" i="4"/>
  <c r="EH19" i="4"/>
  <c r="EI19" i="4"/>
  <c r="EJ19" i="4"/>
  <c r="EK19" i="4"/>
  <c r="EL19" i="4"/>
  <c r="EM19" i="4"/>
  <c r="EN19" i="4"/>
  <c r="EO19" i="4"/>
  <c r="EP19" i="4"/>
  <c r="EQ19" i="4"/>
  <c r="ER19" i="4"/>
  <c r="ES19" i="4"/>
  <c r="ET19" i="4"/>
  <c r="EA20" i="4"/>
  <c r="EB20" i="4"/>
  <c r="EC20" i="4"/>
  <c r="ED20" i="4"/>
  <c r="EE20" i="4"/>
  <c r="EF20" i="4"/>
  <c r="EG20" i="4"/>
  <c r="EH20" i="4"/>
  <c r="EI20" i="4"/>
  <c r="EJ20" i="4"/>
  <c r="EK20" i="4"/>
  <c r="EL20" i="4"/>
  <c r="EM20" i="4"/>
  <c r="EN20" i="4"/>
  <c r="EO20" i="4"/>
  <c r="EP20" i="4"/>
  <c r="EQ20" i="4"/>
  <c r="ER20" i="4"/>
  <c r="ES20" i="4"/>
  <c r="ET20" i="4"/>
  <c r="EA21" i="4"/>
  <c r="EB21" i="4"/>
  <c r="EC21" i="4"/>
  <c r="ED21" i="4"/>
  <c r="EE21" i="4"/>
  <c r="EF21" i="4"/>
  <c r="EG21" i="4"/>
  <c r="EH21" i="4"/>
  <c r="EI21" i="4"/>
  <c r="EJ21" i="4"/>
  <c r="EK21" i="4"/>
  <c r="EL21" i="4"/>
  <c r="EM21" i="4"/>
  <c r="EN21" i="4"/>
  <c r="EO21" i="4"/>
  <c r="EP21" i="4"/>
  <c r="EQ21" i="4"/>
  <c r="ER21" i="4"/>
  <c r="ES21" i="4"/>
  <c r="ET21" i="4"/>
  <c r="EA22" i="4"/>
  <c r="EB22" i="4"/>
  <c r="EC22" i="4"/>
  <c r="ED22" i="4"/>
  <c r="EE22" i="4"/>
  <c r="EF22" i="4"/>
  <c r="EG22" i="4"/>
  <c r="EH22" i="4"/>
  <c r="EI22" i="4"/>
  <c r="EJ22" i="4"/>
  <c r="EK22" i="4"/>
  <c r="EL22" i="4"/>
  <c r="EM22" i="4"/>
  <c r="EN22" i="4"/>
  <c r="EO22" i="4"/>
  <c r="EP22" i="4"/>
  <c r="EQ22" i="4"/>
  <c r="ER22" i="4"/>
  <c r="ES22" i="4"/>
  <c r="ET22" i="4"/>
  <c r="EA23" i="4"/>
  <c r="EB23" i="4"/>
  <c r="EC23" i="4"/>
  <c r="ED23" i="4"/>
  <c r="EE23" i="4"/>
  <c r="EF23" i="4"/>
  <c r="EG23" i="4"/>
  <c r="EH23" i="4"/>
  <c r="EI23" i="4"/>
  <c r="EJ23" i="4"/>
  <c r="EK23" i="4"/>
  <c r="EL23" i="4"/>
  <c r="EM23" i="4"/>
  <c r="EN23" i="4"/>
  <c r="EO23" i="4"/>
  <c r="EP23" i="4"/>
  <c r="EQ23" i="4"/>
  <c r="ER23" i="4"/>
  <c r="ES23" i="4"/>
  <c r="ET23" i="4"/>
  <c r="EA24" i="4"/>
  <c r="EB24" i="4"/>
  <c r="EC24" i="4"/>
  <c r="ED24" i="4"/>
  <c r="EE24" i="4"/>
  <c r="EF24" i="4"/>
  <c r="EG24" i="4"/>
  <c r="EH24" i="4"/>
  <c r="EI24" i="4"/>
  <c r="EJ24" i="4"/>
  <c r="EK24" i="4"/>
  <c r="EL24" i="4"/>
  <c r="EM24" i="4"/>
  <c r="EN24" i="4"/>
  <c r="EO24" i="4"/>
  <c r="EP24" i="4"/>
  <c r="EQ24" i="4"/>
  <c r="ER24" i="4"/>
  <c r="ES24" i="4"/>
  <c r="ET24" i="4"/>
  <c r="EA25" i="4"/>
  <c r="EB25" i="4"/>
  <c r="EC25" i="4"/>
  <c r="ED25" i="4"/>
  <c r="EE25" i="4"/>
  <c r="EF25" i="4"/>
  <c r="EG25" i="4"/>
  <c r="EH25" i="4"/>
  <c r="EI25" i="4"/>
  <c r="EJ25" i="4"/>
  <c r="EK25" i="4"/>
  <c r="EL25" i="4"/>
  <c r="EM25" i="4"/>
  <c r="EN25" i="4"/>
  <c r="EO25" i="4"/>
  <c r="EP25" i="4"/>
  <c r="EQ25" i="4"/>
  <c r="ER25" i="4"/>
  <c r="ES25" i="4"/>
  <c r="ET25" i="4"/>
  <c r="EA26" i="4"/>
  <c r="EB26" i="4"/>
  <c r="EC26" i="4"/>
  <c r="ED26" i="4"/>
  <c r="EE26" i="4"/>
  <c r="EF26" i="4"/>
  <c r="EG26" i="4"/>
  <c r="EH26" i="4"/>
  <c r="EI26" i="4"/>
  <c r="EJ26" i="4"/>
  <c r="EK26" i="4"/>
  <c r="EL26" i="4"/>
  <c r="EM26" i="4"/>
  <c r="EN26" i="4"/>
  <c r="EO26" i="4"/>
  <c r="EP26" i="4"/>
  <c r="EQ26" i="4"/>
  <c r="ER26" i="4"/>
  <c r="ES26" i="4"/>
  <c r="ET26" i="4"/>
  <c r="EA27" i="4"/>
  <c r="EB27" i="4"/>
  <c r="EC27" i="4"/>
  <c r="ED27" i="4"/>
  <c r="EE27" i="4"/>
  <c r="EF27" i="4"/>
  <c r="EG27" i="4"/>
  <c r="EH27" i="4"/>
  <c r="EI27" i="4"/>
  <c r="EJ27" i="4"/>
  <c r="EK27" i="4"/>
  <c r="EL27" i="4"/>
  <c r="EM27" i="4"/>
  <c r="EN27" i="4"/>
  <c r="EO27" i="4"/>
  <c r="EP27" i="4"/>
  <c r="EQ27" i="4"/>
  <c r="ER27" i="4"/>
  <c r="ES27" i="4"/>
  <c r="ET27" i="4"/>
  <c r="EA28" i="4"/>
  <c r="EB28" i="4"/>
  <c r="EC28" i="4"/>
  <c r="ED28" i="4"/>
  <c r="EE28" i="4"/>
  <c r="EF28" i="4"/>
  <c r="EG28" i="4"/>
  <c r="EH28" i="4"/>
  <c r="EI28" i="4"/>
  <c r="EJ28" i="4"/>
  <c r="EK28" i="4"/>
  <c r="EL28" i="4"/>
  <c r="EM28" i="4"/>
  <c r="EN28" i="4"/>
  <c r="EO28" i="4"/>
  <c r="EP28" i="4"/>
  <c r="EQ28" i="4"/>
  <c r="ER28" i="4"/>
  <c r="ES28" i="4"/>
  <c r="ET28" i="4"/>
  <c r="EA29" i="4"/>
  <c r="EB29" i="4"/>
  <c r="EC29" i="4"/>
  <c r="ED29" i="4"/>
  <c r="EE29" i="4"/>
  <c r="EF29" i="4"/>
  <c r="EG29" i="4"/>
  <c r="EH29" i="4"/>
  <c r="EI29" i="4"/>
  <c r="EJ29" i="4"/>
  <c r="EK29" i="4"/>
  <c r="EL29" i="4"/>
  <c r="EM29" i="4"/>
  <c r="EN29" i="4"/>
  <c r="EO29" i="4"/>
  <c r="EP29" i="4"/>
  <c r="EQ29" i="4"/>
  <c r="ER29" i="4"/>
  <c r="ES29" i="4"/>
  <c r="ET29" i="4"/>
  <c r="EA30" i="4"/>
  <c r="EB30" i="4"/>
  <c r="EC30" i="4"/>
  <c r="ED30" i="4"/>
  <c r="EE30" i="4"/>
  <c r="EF30" i="4"/>
  <c r="EG30" i="4"/>
  <c r="EH30" i="4"/>
  <c r="EI30" i="4"/>
  <c r="EJ30" i="4"/>
  <c r="EK30" i="4"/>
  <c r="EL30" i="4"/>
  <c r="EM30" i="4"/>
  <c r="EN30" i="4"/>
  <c r="EO30" i="4"/>
  <c r="EP30" i="4"/>
  <c r="EQ30" i="4"/>
  <c r="ER30" i="4"/>
  <c r="ES30" i="4"/>
  <c r="ET30" i="4"/>
  <c r="EA31" i="4"/>
  <c r="EB31" i="4"/>
  <c r="EC31" i="4"/>
  <c r="ED31" i="4"/>
  <c r="EE31" i="4"/>
  <c r="EF31" i="4"/>
  <c r="EG31" i="4"/>
  <c r="EH31" i="4"/>
  <c r="EI31" i="4"/>
  <c r="EJ31" i="4"/>
  <c r="EK31" i="4"/>
  <c r="EL31" i="4"/>
  <c r="EM31" i="4"/>
  <c r="EN31" i="4"/>
  <c r="EO31" i="4"/>
  <c r="EP31" i="4"/>
  <c r="EQ31" i="4"/>
  <c r="ER31" i="4"/>
  <c r="ES31" i="4"/>
  <c r="ET31" i="4"/>
  <c r="EA32" i="4"/>
  <c r="EB32" i="4"/>
  <c r="EC32" i="4"/>
  <c r="ED32" i="4"/>
  <c r="EE32" i="4"/>
  <c r="EF32" i="4"/>
  <c r="EG32" i="4"/>
  <c r="EH32" i="4"/>
  <c r="EI32" i="4"/>
  <c r="EJ32" i="4"/>
  <c r="EK32" i="4"/>
  <c r="EL32" i="4"/>
  <c r="EM32" i="4"/>
  <c r="EN32" i="4"/>
  <c r="EO32" i="4"/>
  <c r="EP32" i="4"/>
  <c r="EQ32" i="4"/>
  <c r="ER32" i="4"/>
  <c r="ES32" i="4"/>
  <c r="ET32" i="4"/>
  <c r="EA33" i="4"/>
  <c r="EB33" i="4"/>
  <c r="EC33" i="4"/>
  <c r="ED33" i="4"/>
  <c r="EE33" i="4"/>
  <c r="EF33" i="4"/>
  <c r="EG33" i="4"/>
  <c r="EH33" i="4"/>
  <c r="EI33" i="4"/>
  <c r="EJ33" i="4"/>
  <c r="EK33" i="4"/>
  <c r="EL33" i="4"/>
  <c r="EM33" i="4"/>
  <c r="EN33" i="4"/>
  <c r="EO33" i="4"/>
  <c r="EP33" i="4"/>
  <c r="EQ33" i="4"/>
  <c r="ER33" i="4"/>
  <c r="ES33" i="4"/>
  <c r="ET33" i="4"/>
  <c r="EA34" i="4"/>
  <c r="EB34" i="4"/>
  <c r="EC34" i="4"/>
  <c r="ED34" i="4"/>
  <c r="EE34" i="4"/>
  <c r="EF34" i="4"/>
  <c r="EG34" i="4"/>
  <c r="EH34" i="4"/>
  <c r="EI34" i="4"/>
  <c r="EJ34" i="4"/>
  <c r="EK34" i="4"/>
  <c r="EL34" i="4"/>
  <c r="EM34" i="4"/>
  <c r="EN34" i="4"/>
  <c r="EO34" i="4"/>
  <c r="EP34" i="4"/>
  <c r="EQ34" i="4"/>
  <c r="ER34" i="4"/>
  <c r="ES34" i="4"/>
  <c r="ET34" i="4"/>
  <c r="EA35" i="4"/>
  <c r="EB35" i="4"/>
  <c r="EC35" i="4"/>
  <c r="ED35" i="4"/>
  <c r="EE35" i="4"/>
  <c r="EF35" i="4"/>
  <c r="EG35" i="4"/>
  <c r="EH35" i="4"/>
  <c r="EI35" i="4"/>
  <c r="EJ35" i="4"/>
  <c r="EK35" i="4"/>
  <c r="EL35" i="4"/>
  <c r="EM35" i="4"/>
  <c r="EN35" i="4"/>
  <c r="EO35" i="4"/>
  <c r="EP35" i="4"/>
  <c r="EQ35" i="4"/>
  <c r="ER35" i="4"/>
  <c r="ES35" i="4"/>
  <c r="ET35" i="4"/>
  <c r="EA36" i="4"/>
  <c r="EB36" i="4"/>
  <c r="EC36" i="4"/>
  <c r="ED36" i="4"/>
  <c r="EE36" i="4"/>
  <c r="EF36" i="4"/>
  <c r="EG36" i="4"/>
  <c r="EH36" i="4"/>
  <c r="EI36" i="4"/>
  <c r="EJ36" i="4"/>
  <c r="EK36" i="4"/>
  <c r="EL36" i="4"/>
  <c r="EM36" i="4"/>
  <c r="EN36" i="4"/>
  <c r="EO36" i="4"/>
  <c r="EP36" i="4"/>
  <c r="EQ36" i="4"/>
  <c r="ER36" i="4"/>
  <c r="ES36" i="4"/>
  <c r="ET36" i="4"/>
  <c r="EA37" i="4"/>
  <c r="EB37" i="4"/>
  <c r="EC37" i="4"/>
  <c r="ED37" i="4"/>
  <c r="EE37" i="4"/>
  <c r="EF37" i="4"/>
  <c r="EG37" i="4"/>
  <c r="EH37" i="4"/>
  <c r="EI37" i="4"/>
  <c r="EJ37" i="4"/>
  <c r="EK37" i="4"/>
  <c r="EL37" i="4"/>
  <c r="EM37" i="4"/>
  <c r="EN37" i="4"/>
  <c r="EO37" i="4"/>
  <c r="EP37" i="4"/>
  <c r="EQ37" i="4"/>
  <c r="ER37" i="4"/>
  <c r="ES37" i="4"/>
  <c r="ET37" i="4"/>
  <c r="EA38" i="4"/>
  <c r="EB38" i="4"/>
  <c r="EC38" i="4"/>
  <c r="ED38" i="4"/>
  <c r="EE38" i="4"/>
  <c r="EF38" i="4"/>
  <c r="EG38" i="4"/>
  <c r="EH38" i="4"/>
  <c r="EI38" i="4"/>
  <c r="EJ38" i="4"/>
  <c r="EK38" i="4"/>
  <c r="EL38" i="4"/>
  <c r="EM38" i="4"/>
  <c r="EN38" i="4"/>
  <c r="EO38" i="4"/>
  <c r="EP38" i="4"/>
  <c r="EQ38" i="4"/>
  <c r="ER38" i="4"/>
  <c r="ES38" i="4"/>
  <c r="ET38" i="4"/>
  <c r="EA39" i="4"/>
  <c r="EB39" i="4"/>
  <c r="EC39" i="4"/>
  <c r="ED39" i="4"/>
  <c r="EE39" i="4"/>
  <c r="EF39" i="4"/>
  <c r="EG39" i="4"/>
  <c r="EH39" i="4"/>
  <c r="EI39" i="4"/>
  <c r="EJ39" i="4"/>
  <c r="EK39" i="4"/>
  <c r="EL39" i="4"/>
  <c r="EM39" i="4"/>
  <c r="EN39" i="4"/>
  <c r="EO39" i="4"/>
  <c r="EP39" i="4"/>
  <c r="EQ39" i="4"/>
  <c r="ER39" i="4"/>
  <c r="ES39" i="4"/>
  <c r="ET39" i="4"/>
  <c r="EA40" i="4"/>
  <c r="EB40" i="4"/>
  <c r="EC40" i="4"/>
  <c r="ED40" i="4"/>
  <c r="EE40" i="4"/>
  <c r="EF40" i="4"/>
  <c r="EG40" i="4"/>
  <c r="EH40" i="4"/>
  <c r="EI40" i="4"/>
  <c r="EJ40" i="4"/>
  <c r="EK40" i="4"/>
  <c r="EL40" i="4"/>
  <c r="EM40" i="4"/>
  <c r="EN40" i="4"/>
  <c r="EO40" i="4"/>
  <c r="EP40" i="4"/>
  <c r="EQ40" i="4"/>
  <c r="ER40" i="4"/>
  <c r="ES40" i="4"/>
  <c r="ET40" i="4"/>
  <c r="EA41" i="4"/>
  <c r="EB41" i="4"/>
  <c r="EC41" i="4"/>
  <c r="ED41" i="4"/>
  <c r="EE41" i="4"/>
  <c r="EF41" i="4"/>
  <c r="EG41" i="4"/>
  <c r="EH41" i="4"/>
  <c r="EI41" i="4"/>
  <c r="EJ41" i="4"/>
  <c r="EK41" i="4"/>
  <c r="EL41" i="4"/>
  <c r="EM41" i="4"/>
  <c r="EN41" i="4"/>
  <c r="EO41" i="4"/>
  <c r="EP41" i="4"/>
  <c r="EQ41" i="4"/>
  <c r="ER41" i="4"/>
  <c r="ES41" i="4"/>
  <c r="ET41" i="4"/>
  <c r="EA42" i="4"/>
  <c r="EB42" i="4"/>
  <c r="EC42" i="4"/>
  <c r="ED42" i="4"/>
  <c r="EE42" i="4"/>
  <c r="EF42" i="4"/>
  <c r="EG42" i="4"/>
  <c r="EH42" i="4"/>
  <c r="EI42" i="4"/>
  <c r="EJ42" i="4"/>
  <c r="EK42" i="4"/>
  <c r="EL42" i="4"/>
  <c r="EM42" i="4"/>
  <c r="EN42" i="4"/>
  <c r="EO42" i="4"/>
  <c r="EP42" i="4"/>
  <c r="EQ42" i="4"/>
  <c r="ER42" i="4"/>
  <c r="ES42" i="4"/>
  <c r="ET42" i="4"/>
  <c r="EA43" i="4"/>
  <c r="EB43" i="4"/>
  <c r="EC43" i="4"/>
  <c r="ED43" i="4"/>
  <c r="EE43" i="4"/>
  <c r="EF43" i="4"/>
  <c r="EG43" i="4"/>
  <c r="EH43" i="4"/>
  <c r="EI43" i="4"/>
  <c r="EJ43" i="4"/>
  <c r="EK43" i="4"/>
  <c r="EL43" i="4"/>
  <c r="EM43" i="4"/>
  <c r="EN43" i="4"/>
  <c r="EO43" i="4"/>
  <c r="EP43" i="4"/>
  <c r="EQ43" i="4"/>
  <c r="ER43" i="4"/>
  <c r="ES43" i="4"/>
  <c r="ET43" i="4"/>
  <c r="EA44" i="4"/>
  <c r="EB44" i="4"/>
  <c r="EC44" i="4"/>
  <c r="ED44" i="4"/>
  <c r="EE44" i="4"/>
  <c r="EF44" i="4"/>
  <c r="EG44" i="4"/>
  <c r="EH44" i="4"/>
  <c r="EI44" i="4"/>
  <c r="EJ44" i="4"/>
  <c r="EK44" i="4"/>
  <c r="EL44" i="4"/>
  <c r="EM44" i="4"/>
  <c r="EN44" i="4"/>
  <c r="EO44" i="4"/>
  <c r="EP44" i="4"/>
  <c r="EQ44" i="4"/>
  <c r="ER44" i="4"/>
  <c r="ES44" i="4"/>
  <c r="ET44" i="4"/>
  <c r="EA45" i="4"/>
  <c r="EB45" i="4"/>
  <c r="EC45" i="4"/>
  <c r="ED45" i="4"/>
  <c r="EE45" i="4"/>
  <c r="EF45" i="4"/>
  <c r="EG45" i="4"/>
  <c r="EH45" i="4"/>
  <c r="EI45" i="4"/>
  <c r="EJ45" i="4"/>
  <c r="EK45" i="4"/>
  <c r="EL45" i="4"/>
  <c r="EM45" i="4"/>
  <c r="EN45" i="4"/>
  <c r="EO45" i="4"/>
  <c r="EP45" i="4"/>
  <c r="EQ45" i="4"/>
  <c r="ER45" i="4"/>
  <c r="ES45" i="4"/>
  <c r="ET45" i="4"/>
  <c r="EA46" i="4"/>
  <c r="EB46" i="4"/>
  <c r="EC46" i="4"/>
  <c r="ED46" i="4"/>
  <c r="EE46" i="4"/>
  <c r="EF46" i="4"/>
  <c r="EG46" i="4"/>
  <c r="EH46" i="4"/>
  <c r="EI46" i="4"/>
  <c r="EJ46" i="4"/>
  <c r="EK46" i="4"/>
  <c r="EL46" i="4"/>
  <c r="EM46" i="4"/>
  <c r="EN46" i="4"/>
  <c r="EO46" i="4"/>
  <c r="EP46" i="4"/>
  <c r="EQ46" i="4"/>
  <c r="ER46" i="4"/>
  <c r="ES46" i="4"/>
  <c r="ET46" i="4"/>
  <c r="EA47" i="4"/>
  <c r="EB47" i="4"/>
  <c r="EC47" i="4"/>
  <c r="ED47" i="4"/>
  <c r="EE47" i="4"/>
  <c r="EF47" i="4"/>
  <c r="EG47" i="4"/>
  <c r="EH47" i="4"/>
  <c r="EI47" i="4"/>
  <c r="EJ47" i="4"/>
  <c r="EK47" i="4"/>
  <c r="EL47" i="4"/>
  <c r="EM47" i="4"/>
  <c r="EN47" i="4"/>
  <c r="EO47" i="4"/>
  <c r="EP47" i="4"/>
  <c r="EQ47" i="4"/>
  <c r="ER47" i="4"/>
  <c r="ES47" i="4"/>
  <c r="ET47" i="4"/>
  <c r="EA48" i="4"/>
  <c r="EB48" i="4"/>
  <c r="EC48" i="4"/>
  <c r="ED48" i="4"/>
  <c r="EE48" i="4"/>
  <c r="EF48" i="4"/>
  <c r="EG48" i="4"/>
  <c r="EH48" i="4"/>
  <c r="EI48" i="4"/>
  <c r="EJ48" i="4"/>
  <c r="EK48" i="4"/>
  <c r="EL48" i="4"/>
  <c r="EM48" i="4"/>
  <c r="EN48" i="4"/>
  <c r="EO48" i="4"/>
  <c r="EP48" i="4"/>
  <c r="EQ48" i="4"/>
  <c r="ER48" i="4"/>
  <c r="ES48" i="4"/>
  <c r="ET48" i="4"/>
  <c r="EA49" i="4"/>
  <c r="EB49" i="4"/>
  <c r="EC49" i="4"/>
  <c r="ED49" i="4"/>
  <c r="EE49" i="4"/>
  <c r="EF49" i="4"/>
  <c r="EG49" i="4"/>
  <c r="EH49" i="4"/>
  <c r="EI49" i="4"/>
  <c r="EJ49" i="4"/>
  <c r="EK49" i="4"/>
  <c r="EL49" i="4"/>
  <c r="EM49" i="4"/>
  <c r="EN49" i="4"/>
  <c r="EO49" i="4"/>
  <c r="EP49" i="4"/>
  <c r="EQ49" i="4"/>
  <c r="ER49" i="4"/>
  <c r="ES49" i="4"/>
  <c r="ET49" i="4"/>
  <c r="EA50" i="4"/>
  <c r="EB50" i="4"/>
  <c r="EC50" i="4"/>
  <c r="ED50" i="4"/>
  <c r="EE50" i="4"/>
  <c r="EF50" i="4"/>
  <c r="EG50" i="4"/>
  <c r="EH50" i="4"/>
  <c r="EI50" i="4"/>
  <c r="EJ50" i="4"/>
  <c r="EK50" i="4"/>
  <c r="EL50" i="4"/>
  <c r="EM50" i="4"/>
  <c r="EN50" i="4"/>
  <c r="EO50" i="4"/>
  <c r="EP50" i="4"/>
  <c r="EQ50" i="4"/>
  <c r="ER50" i="4"/>
  <c r="ES50" i="4"/>
  <c r="ET50" i="4"/>
  <c r="EA51" i="4"/>
  <c r="EB51" i="4"/>
  <c r="EC51" i="4"/>
  <c r="ED51" i="4"/>
  <c r="EE51" i="4"/>
  <c r="EF51" i="4"/>
  <c r="EG51" i="4"/>
  <c r="EH51" i="4"/>
  <c r="EI51" i="4"/>
  <c r="EJ51" i="4"/>
  <c r="EK51" i="4"/>
  <c r="EL51" i="4"/>
  <c r="EM51" i="4"/>
  <c r="EN51" i="4"/>
  <c r="EO51" i="4"/>
  <c r="EP51" i="4"/>
  <c r="EQ51" i="4"/>
  <c r="ER51" i="4"/>
  <c r="ES51" i="4"/>
  <c r="ET51" i="4"/>
  <c r="EA52" i="4"/>
  <c r="EB52" i="4"/>
  <c r="EC52" i="4"/>
  <c r="ED52" i="4"/>
  <c r="EE52" i="4"/>
  <c r="EF52" i="4"/>
  <c r="EG52" i="4"/>
  <c r="EH52" i="4"/>
  <c r="EI52" i="4"/>
  <c r="EJ52" i="4"/>
  <c r="EK52" i="4"/>
  <c r="EL52" i="4"/>
  <c r="EM52" i="4"/>
  <c r="EN52" i="4"/>
  <c r="EO52" i="4"/>
  <c r="EP52" i="4"/>
  <c r="EQ52" i="4"/>
  <c r="ER52" i="4"/>
  <c r="ES52" i="4"/>
  <c r="ET52" i="4"/>
  <c r="EA53" i="4"/>
  <c r="EB53" i="4"/>
  <c r="EC53" i="4"/>
  <c r="ED53" i="4"/>
  <c r="EE53" i="4"/>
  <c r="EF53" i="4"/>
  <c r="EG53" i="4"/>
  <c r="EH53" i="4"/>
  <c r="EI53" i="4"/>
  <c r="EJ53" i="4"/>
  <c r="EK53" i="4"/>
  <c r="EL53" i="4"/>
  <c r="EM53" i="4"/>
  <c r="EN53" i="4"/>
  <c r="EO53" i="4"/>
  <c r="EP53" i="4"/>
  <c r="EQ53" i="4"/>
  <c r="ER53" i="4"/>
  <c r="ES53" i="4"/>
  <c r="ET53" i="4"/>
  <c r="EA54" i="4"/>
  <c r="EB54" i="4"/>
  <c r="EC54" i="4"/>
  <c r="ED54" i="4"/>
  <c r="EE54" i="4"/>
  <c r="EF54" i="4"/>
  <c r="EG54" i="4"/>
  <c r="EH54" i="4"/>
  <c r="EI54" i="4"/>
  <c r="EJ54" i="4"/>
  <c r="EK54" i="4"/>
  <c r="EL54" i="4"/>
  <c r="EM54" i="4"/>
  <c r="EN54" i="4"/>
  <c r="EO54" i="4"/>
  <c r="EP54" i="4"/>
  <c r="EQ54" i="4"/>
  <c r="ER54" i="4"/>
  <c r="ES54" i="4"/>
  <c r="ET54" i="4"/>
  <c r="EA55" i="4"/>
  <c r="EB55" i="4"/>
  <c r="EC55" i="4"/>
  <c r="ED55" i="4"/>
  <c r="EE55" i="4"/>
  <c r="EF55" i="4"/>
  <c r="EG55" i="4"/>
  <c r="EH55" i="4"/>
  <c r="EI55" i="4"/>
  <c r="EJ55" i="4"/>
  <c r="EK55" i="4"/>
  <c r="EL55" i="4"/>
  <c r="EM55" i="4"/>
  <c r="EN55" i="4"/>
  <c r="EO55" i="4"/>
  <c r="EP55" i="4"/>
  <c r="EQ55" i="4"/>
  <c r="ER55" i="4"/>
  <c r="ES55" i="4"/>
  <c r="ET55" i="4"/>
  <c r="EA56" i="4"/>
  <c r="EB56" i="4"/>
  <c r="EC56" i="4"/>
  <c r="ED56" i="4"/>
  <c r="EE56" i="4"/>
  <c r="EF56" i="4"/>
  <c r="EG56" i="4"/>
  <c r="EH56" i="4"/>
  <c r="EI56" i="4"/>
  <c r="EJ56" i="4"/>
  <c r="EK56" i="4"/>
  <c r="EL56" i="4"/>
  <c r="EM56" i="4"/>
  <c r="EN56" i="4"/>
  <c r="EO56" i="4"/>
  <c r="EP56" i="4"/>
  <c r="EQ56" i="4"/>
  <c r="ER56" i="4"/>
  <c r="ES56" i="4"/>
  <c r="ET56" i="4"/>
  <c r="EA57" i="4"/>
  <c r="EB57" i="4"/>
  <c r="EC57" i="4"/>
  <c r="ED57" i="4"/>
  <c r="EE57" i="4"/>
  <c r="EF57" i="4"/>
  <c r="EG57" i="4"/>
  <c r="EH57" i="4"/>
  <c r="EI57" i="4"/>
  <c r="EJ57" i="4"/>
  <c r="EK57" i="4"/>
  <c r="EL57" i="4"/>
  <c r="EM57" i="4"/>
  <c r="EN57" i="4"/>
  <c r="EO57" i="4"/>
  <c r="EP57" i="4"/>
  <c r="EQ57" i="4"/>
  <c r="ER57" i="4"/>
  <c r="ES57" i="4"/>
  <c r="ET57" i="4"/>
  <c r="EA58" i="4"/>
  <c r="EB58" i="4"/>
  <c r="EC58" i="4"/>
  <c r="ED58" i="4"/>
  <c r="EE58" i="4"/>
  <c r="EF58" i="4"/>
  <c r="EG58" i="4"/>
  <c r="EH58" i="4"/>
  <c r="EI58" i="4"/>
  <c r="EJ58" i="4"/>
  <c r="EK58" i="4"/>
  <c r="EL58" i="4"/>
  <c r="EM58" i="4"/>
  <c r="EN58" i="4"/>
  <c r="EO58" i="4"/>
  <c r="EP58" i="4"/>
  <c r="EQ58" i="4"/>
  <c r="ER58" i="4"/>
  <c r="ES58" i="4"/>
  <c r="ET58" i="4"/>
  <c r="EA59" i="4"/>
  <c r="EB59" i="4"/>
  <c r="EC59" i="4"/>
  <c r="ED59" i="4"/>
  <c r="EE59" i="4"/>
  <c r="EF59" i="4"/>
  <c r="EG59" i="4"/>
  <c r="EH59" i="4"/>
  <c r="EI59" i="4"/>
  <c r="EJ59" i="4"/>
  <c r="EK59" i="4"/>
  <c r="EL59" i="4"/>
  <c r="EM59" i="4"/>
  <c r="EN59" i="4"/>
  <c r="EO59" i="4"/>
  <c r="EP59" i="4"/>
  <c r="EQ59" i="4"/>
  <c r="ER59" i="4"/>
  <c r="ES59" i="4"/>
  <c r="ET59" i="4"/>
  <c r="EA60" i="4"/>
  <c r="EB60" i="4"/>
  <c r="EC60" i="4"/>
  <c r="ED60" i="4"/>
  <c r="EE60" i="4"/>
  <c r="EF60" i="4"/>
  <c r="EG60" i="4"/>
  <c r="EH60" i="4"/>
  <c r="EI60" i="4"/>
  <c r="EJ60" i="4"/>
  <c r="EK60" i="4"/>
  <c r="EL60" i="4"/>
  <c r="EM60" i="4"/>
  <c r="EN60" i="4"/>
  <c r="EO60" i="4"/>
  <c r="EP60" i="4"/>
  <c r="EQ60" i="4"/>
  <c r="ER60" i="4"/>
  <c r="ES60" i="4"/>
  <c r="ET60" i="4"/>
  <c r="EA61" i="4"/>
  <c r="EB61" i="4"/>
  <c r="EC61" i="4"/>
  <c r="ED61" i="4"/>
  <c r="EE61" i="4"/>
  <c r="EF61" i="4"/>
  <c r="EG61" i="4"/>
  <c r="EH61" i="4"/>
  <c r="EI61" i="4"/>
  <c r="EJ61" i="4"/>
  <c r="EK61" i="4"/>
  <c r="EL61" i="4"/>
  <c r="EM61" i="4"/>
  <c r="EN61" i="4"/>
  <c r="EO61" i="4"/>
  <c r="EP61" i="4"/>
  <c r="EQ61" i="4"/>
  <c r="ER61" i="4"/>
  <c r="ES61" i="4"/>
  <c r="ET61" i="4"/>
  <c r="EA62" i="4"/>
  <c r="EB62" i="4"/>
  <c r="EC62" i="4"/>
  <c r="ED62" i="4"/>
  <c r="EE62" i="4"/>
  <c r="EF62" i="4"/>
  <c r="EG62" i="4"/>
  <c r="EH62" i="4"/>
  <c r="EI62" i="4"/>
  <c r="EJ62" i="4"/>
  <c r="EK62" i="4"/>
  <c r="EL62" i="4"/>
  <c r="EM62" i="4"/>
  <c r="EN62" i="4"/>
  <c r="EO62" i="4"/>
  <c r="EP62" i="4"/>
  <c r="EQ62" i="4"/>
  <c r="ER62" i="4"/>
  <c r="ES62" i="4"/>
  <c r="ET62" i="4"/>
  <c r="EA63" i="4"/>
  <c r="EB63" i="4"/>
  <c r="EC63" i="4"/>
  <c r="ED63" i="4"/>
  <c r="EE63" i="4"/>
  <c r="EF63" i="4"/>
  <c r="EG63" i="4"/>
  <c r="EH63" i="4"/>
  <c r="EI63" i="4"/>
  <c r="EJ63" i="4"/>
  <c r="EK63" i="4"/>
  <c r="EL63" i="4"/>
  <c r="EM63" i="4"/>
  <c r="EN63" i="4"/>
  <c r="EO63" i="4"/>
  <c r="EP63" i="4"/>
  <c r="EQ63" i="4"/>
  <c r="ER63" i="4"/>
  <c r="ES63" i="4"/>
  <c r="ET63" i="4"/>
  <c r="EA64" i="4"/>
  <c r="EB64" i="4"/>
  <c r="EC64" i="4"/>
  <c r="ED64" i="4"/>
  <c r="EE64" i="4"/>
  <c r="EF64" i="4"/>
  <c r="EG64" i="4"/>
  <c r="EH64" i="4"/>
  <c r="EI64" i="4"/>
  <c r="EJ64" i="4"/>
  <c r="EK64" i="4"/>
  <c r="EL64" i="4"/>
  <c r="EM64" i="4"/>
  <c r="EN64" i="4"/>
  <c r="EO64" i="4"/>
  <c r="EP64" i="4"/>
  <c r="EQ64" i="4"/>
  <c r="ER64" i="4"/>
  <c r="ES64" i="4"/>
  <c r="ET64" i="4"/>
  <c r="EA65" i="4"/>
  <c r="EB65" i="4"/>
  <c r="EC65" i="4"/>
  <c r="ED65" i="4"/>
  <c r="EE65" i="4"/>
  <c r="EF65" i="4"/>
  <c r="EG65" i="4"/>
  <c r="EH65" i="4"/>
  <c r="EI65" i="4"/>
  <c r="EJ65" i="4"/>
  <c r="EK65" i="4"/>
  <c r="EL65" i="4"/>
  <c r="EM65" i="4"/>
  <c r="EN65" i="4"/>
  <c r="EO65" i="4"/>
  <c r="EP65" i="4"/>
  <c r="EQ65" i="4"/>
  <c r="ER65" i="4"/>
  <c r="ES65" i="4"/>
  <c r="ET65" i="4"/>
  <c r="EA66" i="4"/>
  <c r="EB66" i="4"/>
  <c r="EC66" i="4"/>
  <c r="ED66" i="4"/>
  <c r="EE66" i="4"/>
  <c r="EF66" i="4"/>
  <c r="EG66" i="4"/>
  <c r="EH66" i="4"/>
  <c r="EI66" i="4"/>
  <c r="EJ66" i="4"/>
  <c r="EK66" i="4"/>
  <c r="EL66" i="4"/>
  <c r="EM66" i="4"/>
  <c r="EN66" i="4"/>
  <c r="EO66" i="4"/>
  <c r="EP66" i="4"/>
  <c r="EQ66" i="4"/>
  <c r="ER66" i="4"/>
  <c r="ES66" i="4"/>
  <c r="ET66" i="4"/>
  <c r="EA67" i="4"/>
  <c r="EB67" i="4"/>
  <c r="EC67" i="4"/>
  <c r="ED67" i="4"/>
  <c r="EE67" i="4"/>
  <c r="EF67" i="4"/>
  <c r="EG67" i="4"/>
  <c r="EH67" i="4"/>
  <c r="EI67" i="4"/>
  <c r="EJ67" i="4"/>
  <c r="EK67" i="4"/>
  <c r="EL67" i="4"/>
  <c r="EM67" i="4"/>
  <c r="EN67" i="4"/>
  <c r="EO67" i="4"/>
  <c r="EP67" i="4"/>
  <c r="EQ67" i="4"/>
  <c r="ER67" i="4"/>
  <c r="ES67" i="4"/>
  <c r="ET67" i="4"/>
  <c r="EA68" i="4"/>
  <c r="EB68" i="4"/>
  <c r="EC68" i="4"/>
  <c r="ED68" i="4"/>
  <c r="EE68" i="4"/>
  <c r="EF68" i="4"/>
  <c r="EG68" i="4"/>
  <c r="EH68" i="4"/>
  <c r="EI68" i="4"/>
  <c r="EJ68" i="4"/>
  <c r="EK68" i="4"/>
  <c r="EL68" i="4"/>
  <c r="EM68" i="4"/>
  <c r="EN68" i="4"/>
  <c r="EO68" i="4"/>
  <c r="EP68" i="4"/>
  <c r="EQ68" i="4"/>
  <c r="ER68" i="4"/>
  <c r="ES68" i="4"/>
  <c r="ET68" i="4"/>
  <c r="EA69" i="4"/>
  <c r="EB69" i="4"/>
  <c r="EC69" i="4"/>
  <c r="ED69" i="4"/>
  <c r="EE69" i="4"/>
  <c r="EF69" i="4"/>
  <c r="EG69" i="4"/>
  <c r="EH69" i="4"/>
  <c r="EI69" i="4"/>
  <c r="EJ69" i="4"/>
  <c r="EK69" i="4"/>
  <c r="EL69" i="4"/>
  <c r="EM69" i="4"/>
  <c r="EN69" i="4"/>
  <c r="EO69" i="4"/>
  <c r="EP69" i="4"/>
  <c r="EQ69" i="4"/>
  <c r="ER69" i="4"/>
  <c r="ES69" i="4"/>
  <c r="ET69" i="4"/>
  <c r="EA70" i="4"/>
  <c r="EB70" i="4"/>
  <c r="EC70" i="4"/>
  <c r="ED70" i="4"/>
  <c r="EE70" i="4"/>
  <c r="EF70" i="4"/>
  <c r="EG70" i="4"/>
  <c r="EH70" i="4"/>
  <c r="EI70" i="4"/>
  <c r="EJ70" i="4"/>
  <c r="EK70" i="4"/>
  <c r="EL70" i="4"/>
  <c r="EM70" i="4"/>
  <c r="EN70" i="4"/>
  <c r="EO70" i="4"/>
  <c r="EP70" i="4"/>
  <c r="EQ70" i="4"/>
  <c r="ER70" i="4"/>
  <c r="ES70" i="4"/>
  <c r="ET70" i="4"/>
  <c r="EA71" i="4"/>
  <c r="EB71" i="4"/>
  <c r="EC71" i="4"/>
  <c r="ED71" i="4"/>
  <c r="EE71" i="4"/>
  <c r="EF71" i="4"/>
  <c r="EG71" i="4"/>
  <c r="EH71" i="4"/>
  <c r="EI71" i="4"/>
  <c r="EJ71" i="4"/>
  <c r="EK71" i="4"/>
  <c r="EL71" i="4"/>
  <c r="EM71" i="4"/>
  <c r="EN71" i="4"/>
  <c r="EO71" i="4"/>
  <c r="EP71" i="4"/>
  <c r="EQ71" i="4"/>
  <c r="ER71" i="4"/>
  <c r="ES71" i="4"/>
  <c r="ET71" i="4"/>
  <c r="EA72" i="4"/>
  <c r="EB72" i="4"/>
  <c r="EC72" i="4"/>
  <c r="ED72" i="4"/>
  <c r="EE72" i="4"/>
  <c r="EF72" i="4"/>
  <c r="EG72" i="4"/>
  <c r="EH72" i="4"/>
  <c r="EI72" i="4"/>
  <c r="EJ72" i="4"/>
  <c r="EK72" i="4"/>
  <c r="EL72" i="4"/>
  <c r="EM72" i="4"/>
  <c r="EN72" i="4"/>
  <c r="EO72" i="4"/>
  <c r="EP72" i="4"/>
  <c r="EQ72" i="4"/>
  <c r="ER72" i="4"/>
  <c r="ES72" i="4"/>
  <c r="ET72" i="4"/>
  <c r="EA73" i="4"/>
  <c r="EB73" i="4"/>
  <c r="EC73" i="4"/>
  <c r="ED73" i="4"/>
  <c r="EE73" i="4"/>
  <c r="EF73" i="4"/>
  <c r="EG73" i="4"/>
  <c r="EH73" i="4"/>
  <c r="EI73" i="4"/>
  <c r="EJ73" i="4"/>
  <c r="EK73" i="4"/>
  <c r="EL73" i="4"/>
  <c r="EM73" i="4"/>
  <c r="EN73" i="4"/>
  <c r="EO73" i="4"/>
  <c r="EP73" i="4"/>
  <c r="EQ73" i="4"/>
  <c r="ER73" i="4"/>
  <c r="ES73" i="4"/>
  <c r="ET73" i="4"/>
  <c r="EA74" i="4"/>
  <c r="EB74" i="4"/>
  <c r="EC74" i="4"/>
  <c r="ED74" i="4"/>
  <c r="EE74" i="4"/>
  <c r="EF74" i="4"/>
  <c r="EG74" i="4"/>
  <c r="EH74" i="4"/>
  <c r="EI74" i="4"/>
  <c r="EJ74" i="4"/>
  <c r="EK74" i="4"/>
  <c r="EL74" i="4"/>
  <c r="EM74" i="4"/>
  <c r="EN74" i="4"/>
  <c r="EO74" i="4"/>
  <c r="EP74" i="4"/>
  <c r="EQ74" i="4"/>
  <c r="ER74" i="4"/>
  <c r="ES74" i="4"/>
  <c r="ET74" i="4"/>
  <c r="EA75" i="4"/>
  <c r="EB75" i="4"/>
  <c r="EC75" i="4"/>
  <c r="ED75" i="4"/>
  <c r="EE75" i="4"/>
  <c r="EF75" i="4"/>
  <c r="EG75" i="4"/>
  <c r="EH75" i="4"/>
  <c r="EI75" i="4"/>
  <c r="EJ75" i="4"/>
  <c r="EK75" i="4"/>
  <c r="EL75" i="4"/>
  <c r="EM75" i="4"/>
  <c r="EN75" i="4"/>
  <c r="EO75" i="4"/>
  <c r="EP75" i="4"/>
  <c r="EQ75" i="4"/>
  <c r="ER75" i="4"/>
  <c r="ES75" i="4"/>
  <c r="ET75" i="4"/>
  <c r="EA76" i="4"/>
  <c r="EB76" i="4"/>
  <c r="EC76" i="4"/>
  <c r="ED76" i="4"/>
  <c r="EE76" i="4"/>
  <c r="EF76" i="4"/>
  <c r="EG76" i="4"/>
  <c r="EH76" i="4"/>
  <c r="EI76" i="4"/>
  <c r="EJ76" i="4"/>
  <c r="EK76" i="4"/>
  <c r="EL76" i="4"/>
  <c r="EM76" i="4"/>
  <c r="EN76" i="4"/>
  <c r="EO76" i="4"/>
  <c r="EP76" i="4"/>
  <c r="EQ76" i="4"/>
  <c r="ER76" i="4"/>
  <c r="ES76" i="4"/>
  <c r="ET76" i="4"/>
  <c r="EA77" i="4"/>
  <c r="EB77" i="4"/>
  <c r="EC77" i="4"/>
  <c r="ED77" i="4"/>
  <c r="EE77" i="4"/>
  <c r="EF77" i="4"/>
  <c r="EG77" i="4"/>
  <c r="EH77" i="4"/>
  <c r="EI77" i="4"/>
  <c r="EJ77" i="4"/>
  <c r="EK77" i="4"/>
  <c r="EL77" i="4"/>
  <c r="EM77" i="4"/>
  <c r="EN77" i="4"/>
  <c r="EO77" i="4"/>
  <c r="EP77" i="4"/>
  <c r="EQ77" i="4"/>
  <c r="ER77" i="4"/>
  <c r="ES77" i="4"/>
  <c r="ET77" i="4"/>
  <c r="EA78" i="4"/>
  <c r="EB78" i="4"/>
  <c r="EC78" i="4"/>
  <c r="ED78" i="4"/>
  <c r="EE78" i="4"/>
  <c r="EF78" i="4"/>
  <c r="EG78" i="4"/>
  <c r="EH78" i="4"/>
  <c r="EI78" i="4"/>
  <c r="EJ78" i="4"/>
  <c r="EK78" i="4"/>
  <c r="EL78" i="4"/>
  <c r="EM78" i="4"/>
  <c r="EN78" i="4"/>
  <c r="EO78" i="4"/>
  <c r="EP78" i="4"/>
  <c r="EQ78" i="4"/>
  <c r="ER78" i="4"/>
  <c r="ES78" i="4"/>
  <c r="ET78" i="4"/>
  <c r="EA79" i="4"/>
  <c r="EB79" i="4"/>
  <c r="EC79" i="4"/>
  <c r="ED79" i="4"/>
  <c r="EE79" i="4"/>
  <c r="EF79" i="4"/>
  <c r="EG79" i="4"/>
  <c r="EH79" i="4"/>
  <c r="EI79" i="4"/>
  <c r="EJ79" i="4"/>
  <c r="EK79" i="4"/>
  <c r="EL79" i="4"/>
  <c r="EM79" i="4"/>
  <c r="EN79" i="4"/>
  <c r="EO79" i="4"/>
  <c r="EP79" i="4"/>
  <c r="EQ79" i="4"/>
  <c r="ER79" i="4"/>
  <c r="ES79" i="4"/>
  <c r="ET79" i="4"/>
  <c r="EA80" i="4"/>
  <c r="EB80" i="4"/>
  <c r="EC80" i="4"/>
  <c r="ED80" i="4"/>
  <c r="EE80" i="4"/>
  <c r="EF80" i="4"/>
  <c r="EG80" i="4"/>
  <c r="EH80" i="4"/>
  <c r="EI80" i="4"/>
  <c r="EJ80" i="4"/>
  <c r="EK80" i="4"/>
  <c r="EL80" i="4"/>
  <c r="EM80" i="4"/>
  <c r="EN80" i="4"/>
  <c r="EO80" i="4"/>
  <c r="EP80" i="4"/>
  <c r="EQ80" i="4"/>
  <c r="ER80" i="4"/>
  <c r="ES80" i="4"/>
  <c r="ET80" i="4"/>
  <c r="EA81" i="4"/>
  <c r="EB81" i="4"/>
  <c r="EC81" i="4"/>
  <c r="ED81" i="4"/>
  <c r="EE81" i="4"/>
  <c r="EF81" i="4"/>
  <c r="EG81" i="4"/>
  <c r="EH81" i="4"/>
  <c r="EI81" i="4"/>
  <c r="EJ81" i="4"/>
  <c r="EK81" i="4"/>
  <c r="EL81" i="4"/>
  <c r="EM81" i="4"/>
  <c r="EN81" i="4"/>
  <c r="EO81" i="4"/>
  <c r="EP81" i="4"/>
  <c r="EQ81" i="4"/>
  <c r="ER81" i="4"/>
  <c r="ES81" i="4"/>
  <c r="ET81" i="4"/>
  <c r="EA82" i="4"/>
  <c r="EB82" i="4"/>
  <c r="EC82" i="4"/>
  <c r="ED82" i="4"/>
  <c r="EE82" i="4"/>
  <c r="EF82" i="4"/>
  <c r="EG82" i="4"/>
  <c r="EH82" i="4"/>
  <c r="EI82" i="4"/>
  <c r="EJ82" i="4"/>
  <c r="EK82" i="4"/>
  <c r="EL82" i="4"/>
  <c r="EM82" i="4"/>
  <c r="EN82" i="4"/>
  <c r="EO82" i="4"/>
  <c r="EP82" i="4"/>
  <c r="EQ82" i="4"/>
  <c r="ER82" i="4"/>
  <c r="ES82" i="4"/>
  <c r="ET82" i="4"/>
  <c r="EA83" i="4"/>
  <c r="EB83" i="4"/>
  <c r="EC83" i="4"/>
  <c r="ED83" i="4"/>
  <c r="EE83" i="4"/>
  <c r="EF83" i="4"/>
  <c r="EG83" i="4"/>
  <c r="EH83" i="4"/>
  <c r="EI83" i="4"/>
  <c r="EJ83" i="4"/>
  <c r="EK83" i="4"/>
  <c r="EL83" i="4"/>
  <c r="EM83" i="4"/>
  <c r="EN83" i="4"/>
  <c r="EO83" i="4"/>
  <c r="EP83" i="4"/>
  <c r="EQ83" i="4"/>
  <c r="ER83" i="4"/>
  <c r="ES83" i="4"/>
  <c r="ET83" i="4"/>
  <c r="EA84" i="4"/>
  <c r="EB84" i="4"/>
  <c r="EC84" i="4"/>
  <c r="ED84" i="4"/>
  <c r="EE84" i="4"/>
  <c r="EF84" i="4"/>
  <c r="EG84" i="4"/>
  <c r="EH84" i="4"/>
  <c r="EI84" i="4"/>
  <c r="EJ84" i="4"/>
  <c r="EK84" i="4"/>
  <c r="EL84" i="4"/>
  <c r="EM84" i="4"/>
  <c r="EN84" i="4"/>
  <c r="EO84" i="4"/>
  <c r="EP84" i="4"/>
  <c r="EQ84" i="4"/>
  <c r="ER84" i="4"/>
  <c r="ES84" i="4"/>
  <c r="ET84" i="4"/>
  <c r="EA85" i="4"/>
  <c r="EB85" i="4"/>
  <c r="EC85" i="4"/>
  <c r="ED85" i="4"/>
  <c r="EE85" i="4"/>
  <c r="EF85" i="4"/>
  <c r="EG85" i="4"/>
  <c r="EH85" i="4"/>
  <c r="EI85" i="4"/>
  <c r="EJ85" i="4"/>
  <c r="EK85" i="4"/>
  <c r="EL85" i="4"/>
  <c r="EM85" i="4"/>
  <c r="EN85" i="4"/>
  <c r="EO85" i="4"/>
  <c r="EP85" i="4"/>
  <c r="EQ85" i="4"/>
  <c r="ER85" i="4"/>
  <c r="ES85" i="4"/>
  <c r="ET85" i="4"/>
  <c r="EA86" i="4"/>
  <c r="EB86" i="4"/>
  <c r="EC86" i="4"/>
  <c r="ED86" i="4"/>
  <c r="EE86" i="4"/>
  <c r="EF86" i="4"/>
  <c r="EG86" i="4"/>
  <c r="EH86" i="4"/>
  <c r="EI86" i="4"/>
  <c r="EJ86" i="4"/>
  <c r="EK86" i="4"/>
  <c r="EL86" i="4"/>
  <c r="EM86" i="4"/>
  <c r="EN86" i="4"/>
  <c r="EO86" i="4"/>
  <c r="EP86" i="4"/>
  <c r="EQ86" i="4"/>
  <c r="ER86" i="4"/>
  <c r="ES86" i="4"/>
  <c r="ET86" i="4"/>
  <c r="EA87" i="4"/>
  <c r="EB87" i="4"/>
  <c r="EC87" i="4"/>
  <c r="ED87" i="4"/>
  <c r="EE87" i="4"/>
  <c r="EF87" i="4"/>
  <c r="EG87" i="4"/>
  <c r="EH87" i="4"/>
  <c r="EI87" i="4"/>
  <c r="EJ87" i="4"/>
  <c r="EK87" i="4"/>
  <c r="EL87" i="4"/>
  <c r="EM87" i="4"/>
  <c r="EN87" i="4"/>
  <c r="EO87" i="4"/>
  <c r="EP87" i="4"/>
  <c r="EQ87" i="4"/>
  <c r="ER87" i="4"/>
  <c r="ES87" i="4"/>
  <c r="ET87" i="4"/>
  <c r="EA88" i="4"/>
  <c r="EB88" i="4"/>
  <c r="EC88" i="4"/>
  <c r="ED88" i="4"/>
  <c r="EE88" i="4"/>
  <c r="EF88" i="4"/>
  <c r="EG88" i="4"/>
  <c r="EH88" i="4"/>
  <c r="EI88" i="4"/>
  <c r="EJ88" i="4"/>
  <c r="EK88" i="4"/>
  <c r="EL88" i="4"/>
  <c r="EM88" i="4"/>
  <c r="EN88" i="4"/>
  <c r="EO88" i="4"/>
  <c r="EP88" i="4"/>
  <c r="EQ88" i="4"/>
  <c r="ER88" i="4"/>
  <c r="ES88" i="4"/>
  <c r="ET88" i="4"/>
  <c r="EA89" i="4"/>
  <c r="EB89" i="4"/>
  <c r="EC89" i="4"/>
  <c r="ED89" i="4"/>
  <c r="EE89" i="4"/>
  <c r="EF89" i="4"/>
  <c r="EG89" i="4"/>
  <c r="EH89" i="4"/>
  <c r="EI89" i="4"/>
  <c r="EJ89" i="4"/>
  <c r="EK89" i="4"/>
  <c r="EL89" i="4"/>
  <c r="EM89" i="4"/>
  <c r="EN89" i="4"/>
  <c r="EO89" i="4"/>
  <c r="EP89" i="4"/>
  <c r="EQ89" i="4"/>
  <c r="ER89" i="4"/>
  <c r="ES89" i="4"/>
  <c r="ET89" i="4"/>
  <c r="EA90" i="4"/>
  <c r="EB90" i="4"/>
  <c r="EC90" i="4"/>
  <c r="ED90" i="4"/>
  <c r="EE90" i="4"/>
  <c r="EF90" i="4"/>
  <c r="EG90" i="4"/>
  <c r="EH90" i="4"/>
  <c r="EI90" i="4"/>
  <c r="EJ90" i="4"/>
  <c r="EK90" i="4"/>
  <c r="EL90" i="4"/>
  <c r="EM90" i="4"/>
  <c r="EN90" i="4"/>
  <c r="EO90" i="4"/>
  <c r="EP90" i="4"/>
  <c r="EQ90" i="4"/>
  <c r="ER90" i="4"/>
  <c r="ES90" i="4"/>
  <c r="ET90" i="4"/>
  <c r="EA91" i="4"/>
  <c r="EB91" i="4"/>
  <c r="EC91" i="4"/>
  <c r="ED91" i="4"/>
  <c r="EE91" i="4"/>
  <c r="EF91" i="4"/>
  <c r="EG91" i="4"/>
  <c r="EH91" i="4"/>
  <c r="EI91" i="4"/>
  <c r="EJ91" i="4"/>
  <c r="EK91" i="4"/>
  <c r="EL91" i="4"/>
  <c r="EM91" i="4"/>
  <c r="EN91" i="4"/>
  <c r="EO91" i="4"/>
  <c r="EP91" i="4"/>
  <c r="EQ91" i="4"/>
  <c r="ER91" i="4"/>
  <c r="ES91" i="4"/>
  <c r="ET91" i="4"/>
  <c r="EA92" i="4"/>
  <c r="EB92" i="4"/>
  <c r="EC92" i="4"/>
  <c r="ED92" i="4"/>
  <c r="EE92" i="4"/>
  <c r="EF92" i="4"/>
  <c r="EG92" i="4"/>
  <c r="EH92" i="4"/>
  <c r="EI92" i="4"/>
  <c r="EJ92" i="4"/>
  <c r="EK92" i="4"/>
  <c r="EL92" i="4"/>
  <c r="EM92" i="4"/>
  <c r="EN92" i="4"/>
  <c r="EO92" i="4"/>
  <c r="EP92" i="4"/>
  <c r="EQ92" i="4"/>
  <c r="ER92" i="4"/>
  <c r="ES92" i="4"/>
  <c r="ET92" i="4"/>
  <c r="EA93" i="4"/>
  <c r="EB93" i="4"/>
  <c r="EC93" i="4"/>
  <c r="ED93" i="4"/>
  <c r="EE93" i="4"/>
  <c r="EF93" i="4"/>
  <c r="EG93" i="4"/>
  <c r="EH93" i="4"/>
  <c r="EI93" i="4"/>
  <c r="EJ93" i="4"/>
  <c r="EK93" i="4"/>
  <c r="EL93" i="4"/>
  <c r="EM93" i="4"/>
  <c r="EN93" i="4"/>
  <c r="EO93" i="4"/>
  <c r="EP93" i="4"/>
  <c r="EQ93" i="4"/>
  <c r="ER93" i="4"/>
  <c r="ES93" i="4"/>
  <c r="ET93" i="4"/>
  <c r="EA94" i="4"/>
  <c r="EB94" i="4"/>
  <c r="EC94" i="4"/>
  <c r="ED94" i="4"/>
  <c r="EE94" i="4"/>
  <c r="EF94" i="4"/>
  <c r="EG94" i="4"/>
  <c r="EH94" i="4"/>
  <c r="EI94" i="4"/>
  <c r="EJ94" i="4"/>
  <c r="EK94" i="4"/>
  <c r="EL94" i="4"/>
  <c r="EM94" i="4"/>
  <c r="EN94" i="4"/>
  <c r="EO94" i="4"/>
  <c r="EP94" i="4"/>
  <c r="EQ94" i="4"/>
  <c r="ER94" i="4"/>
  <c r="ES94" i="4"/>
  <c r="ET94" i="4"/>
  <c r="EA95" i="4"/>
  <c r="EB95" i="4"/>
  <c r="EC95" i="4"/>
  <c r="ED95" i="4"/>
  <c r="EE95" i="4"/>
  <c r="EF95" i="4"/>
  <c r="EG95" i="4"/>
  <c r="EH95" i="4"/>
  <c r="EI95" i="4"/>
  <c r="EJ95" i="4"/>
  <c r="EK95" i="4"/>
  <c r="EL95" i="4"/>
  <c r="EM95" i="4"/>
  <c r="EN95" i="4"/>
  <c r="EO95" i="4"/>
  <c r="EP95" i="4"/>
  <c r="EQ95" i="4"/>
  <c r="ER95" i="4"/>
  <c r="ES95" i="4"/>
  <c r="ET95" i="4"/>
  <c r="EA96" i="4"/>
  <c r="EB96" i="4"/>
  <c r="EC96" i="4"/>
  <c r="ED96" i="4"/>
  <c r="EE96" i="4"/>
  <c r="EF96" i="4"/>
  <c r="EG96" i="4"/>
  <c r="EH96" i="4"/>
  <c r="EI96" i="4"/>
  <c r="EJ96" i="4"/>
  <c r="EK96" i="4"/>
  <c r="EL96" i="4"/>
  <c r="EM96" i="4"/>
  <c r="EN96" i="4"/>
  <c r="EO96" i="4"/>
  <c r="EP96" i="4"/>
  <c r="EQ96" i="4"/>
  <c r="ER96" i="4"/>
  <c r="ES96" i="4"/>
  <c r="ET96" i="4"/>
  <c r="EA97" i="4"/>
  <c r="EB97" i="4"/>
  <c r="EC97" i="4"/>
  <c r="ED97" i="4"/>
  <c r="EE97" i="4"/>
  <c r="EF97" i="4"/>
  <c r="EG97" i="4"/>
  <c r="EH97" i="4"/>
  <c r="EI97" i="4"/>
  <c r="EJ97" i="4"/>
  <c r="EK97" i="4"/>
  <c r="EL97" i="4"/>
  <c r="EM97" i="4"/>
  <c r="EN97" i="4"/>
  <c r="EO97" i="4"/>
  <c r="EP97" i="4"/>
  <c r="EQ97" i="4"/>
  <c r="ER97" i="4"/>
  <c r="ES97" i="4"/>
  <c r="ET97" i="4"/>
  <c r="EA98" i="4"/>
  <c r="EB98" i="4"/>
  <c r="EC98" i="4"/>
  <c r="ED98" i="4"/>
  <c r="EE98" i="4"/>
  <c r="EF98" i="4"/>
  <c r="EG98" i="4"/>
  <c r="EH98" i="4"/>
  <c r="EI98" i="4"/>
  <c r="EJ98" i="4"/>
  <c r="EK98" i="4"/>
  <c r="EL98" i="4"/>
  <c r="EM98" i="4"/>
  <c r="EN98" i="4"/>
  <c r="EO98" i="4"/>
  <c r="EP98" i="4"/>
  <c r="EQ98" i="4"/>
  <c r="ER98" i="4"/>
  <c r="ES98" i="4"/>
  <c r="ET98" i="4"/>
  <c r="EA99" i="4"/>
  <c r="EB99" i="4"/>
  <c r="EC99" i="4"/>
  <c r="ED99" i="4"/>
  <c r="EE99" i="4"/>
  <c r="EF99" i="4"/>
  <c r="EG99" i="4"/>
  <c r="EH99" i="4"/>
  <c r="EI99" i="4"/>
  <c r="EJ99" i="4"/>
  <c r="EK99" i="4"/>
  <c r="EL99" i="4"/>
  <c r="EM99" i="4"/>
  <c r="EN99" i="4"/>
  <c r="EO99" i="4"/>
  <c r="EP99" i="4"/>
  <c r="EQ99" i="4"/>
  <c r="ER99" i="4"/>
  <c r="ES99" i="4"/>
  <c r="ET99" i="4"/>
  <c r="EA100" i="4"/>
  <c r="EB100" i="4"/>
  <c r="EC100" i="4"/>
  <c r="ED100" i="4"/>
  <c r="EE100" i="4"/>
  <c r="EF100" i="4"/>
  <c r="EG100" i="4"/>
  <c r="EH100" i="4"/>
  <c r="EI100" i="4"/>
  <c r="EJ100" i="4"/>
  <c r="EK100" i="4"/>
  <c r="EL100" i="4"/>
  <c r="EM100" i="4"/>
  <c r="EN100" i="4"/>
  <c r="EO100" i="4"/>
  <c r="EP100" i="4"/>
  <c r="EQ100" i="4"/>
  <c r="ER100" i="4"/>
  <c r="ES100" i="4"/>
  <c r="ET100" i="4"/>
  <c r="EA101" i="4"/>
  <c r="EB101" i="4"/>
  <c r="EC101" i="4"/>
  <c r="ED101" i="4"/>
  <c r="EE101" i="4"/>
  <c r="EF101" i="4"/>
  <c r="EG101" i="4"/>
  <c r="EH101" i="4"/>
  <c r="EI101" i="4"/>
  <c r="EJ101" i="4"/>
  <c r="EK101" i="4"/>
  <c r="EL101" i="4"/>
  <c r="EM101" i="4"/>
  <c r="EN101" i="4"/>
  <c r="EO101" i="4"/>
  <c r="EP101" i="4"/>
  <c r="EQ101" i="4"/>
  <c r="ER101" i="4"/>
  <c r="ES101" i="4"/>
  <c r="ET101" i="4"/>
  <c r="EA102" i="4"/>
  <c r="EB102" i="4"/>
  <c r="EC102" i="4"/>
  <c r="ED102" i="4"/>
  <c r="EE102" i="4"/>
  <c r="EF102" i="4"/>
  <c r="EG102" i="4"/>
  <c r="EH102" i="4"/>
  <c r="EI102" i="4"/>
  <c r="EJ102" i="4"/>
  <c r="EK102" i="4"/>
  <c r="EL102" i="4"/>
  <c r="EM102" i="4"/>
  <c r="EN102" i="4"/>
  <c r="EO102" i="4"/>
  <c r="EP102" i="4"/>
  <c r="EQ102" i="4"/>
  <c r="ER102" i="4"/>
  <c r="ES102" i="4"/>
  <c r="ET102" i="4"/>
  <c r="EA103" i="4"/>
  <c r="EB103" i="4"/>
  <c r="EC103" i="4"/>
  <c r="ED103" i="4"/>
  <c r="EE103" i="4"/>
  <c r="EF103" i="4"/>
  <c r="EG103" i="4"/>
  <c r="EH103" i="4"/>
  <c r="EI103" i="4"/>
  <c r="EJ103" i="4"/>
  <c r="EK103" i="4"/>
  <c r="EL103" i="4"/>
  <c r="EM103" i="4"/>
  <c r="EN103" i="4"/>
  <c r="EO103" i="4"/>
  <c r="EP103" i="4"/>
  <c r="EQ103" i="4"/>
  <c r="ER103" i="4"/>
  <c r="ES103" i="4"/>
  <c r="ET103" i="4"/>
  <c r="EA104" i="4"/>
  <c r="EB104" i="4"/>
  <c r="EC104" i="4"/>
  <c r="ED104" i="4"/>
  <c r="EE104" i="4"/>
  <c r="EF104" i="4"/>
  <c r="EG104" i="4"/>
  <c r="EH104" i="4"/>
  <c r="EI104" i="4"/>
  <c r="EJ104" i="4"/>
  <c r="EK104" i="4"/>
  <c r="EL104" i="4"/>
  <c r="EM104" i="4"/>
  <c r="EN104" i="4"/>
  <c r="EO104" i="4"/>
  <c r="EP104" i="4"/>
  <c r="EQ104" i="4"/>
  <c r="ER104" i="4"/>
  <c r="ES104" i="4"/>
  <c r="ET104" i="4"/>
  <c r="EA105" i="4"/>
  <c r="EB105" i="4"/>
  <c r="EC105" i="4"/>
  <c r="ED105" i="4"/>
  <c r="EE105" i="4"/>
  <c r="EF105" i="4"/>
  <c r="EG105" i="4"/>
  <c r="EH105" i="4"/>
  <c r="EI105" i="4"/>
  <c r="EJ105" i="4"/>
  <c r="EK105" i="4"/>
  <c r="EL105" i="4"/>
  <c r="EM105" i="4"/>
  <c r="EN105" i="4"/>
  <c r="EO105" i="4"/>
  <c r="EP105" i="4"/>
  <c r="EQ105" i="4"/>
  <c r="ER105" i="4"/>
  <c r="ES105" i="4"/>
  <c r="ET105" i="4"/>
  <c r="EA106" i="4"/>
  <c r="EB106" i="4"/>
  <c r="EC106" i="4"/>
  <c r="ED106" i="4"/>
  <c r="EE106" i="4"/>
  <c r="EF106" i="4"/>
  <c r="EG106" i="4"/>
  <c r="EH106" i="4"/>
  <c r="EI106" i="4"/>
  <c r="EJ106" i="4"/>
  <c r="EK106" i="4"/>
  <c r="EL106" i="4"/>
  <c r="EM106" i="4"/>
  <c r="EN106" i="4"/>
  <c r="EO106" i="4"/>
  <c r="EP106" i="4"/>
  <c r="EQ106" i="4"/>
  <c r="ER106" i="4"/>
  <c r="ES106" i="4"/>
  <c r="ET106" i="4"/>
  <c r="EB7" i="4"/>
  <c r="EC7" i="4"/>
  <c r="ED7" i="4"/>
  <c r="EE7" i="4"/>
  <c r="EF7" i="4"/>
  <c r="EG7" i="4"/>
  <c r="EH7" i="4"/>
  <c r="EI7" i="4"/>
  <c r="EJ7" i="4"/>
  <c r="EK7" i="4"/>
  <c r="EL7" i="4"/>
  <c r="EM7" i="4"/>
  <c r="EN7" i="4"/>
  <c r="EO7" i="4"/>
  <c r="EP7" i="4"/>
  <c r="EQ7" i="4"/>
  <c r="ER7" i="4"/>
  <c r="ES7" i="4"/>
  <c r="ET7" i="4"/>
  <c r="DZ8" i="4"/>
  <c r="DZ9" i="4"/>
  <c r="DZ10" i="4"/>
  <c r="DZ11" i="4"/>
  <c r="DZ12" i="4"/>
  <c r="DZ13" i="4"/>
  <c r="DZ14" i="4"/>
  <c r="DZ15" i="4"/>
  <c r="DZ16" i="4"/>
  <c r="DZ17" i="4"/>
  <c r="DZ18" i="4"/>
  <c r="DZ19" i="4"/>
  <c r="DZ20" i="4"/>
  <c r="DZ21" i="4"/>
  <c r="DZ22" i="4"/>
  <c r="DZ23" i="4"/>
  <c r="DZ24" i="4"/>
  <c r="DZ25" i="4"/>
  <c r="DZ26" i="4"/>
  <c r="DZ27" i="4"/>
  <c r="DZ28" i="4"/>
  <c r="DZ29" i="4"/>
  <c r="DZ30" i="4"/>
  <c r="DZ31" i="4"/>
  <c r="DZ32" i="4"/>
  <c r="DZ33" i="4"/>
  <c r="DZ34" i="4"/>
  <c r="DZ35" i="4"/>
  <c r="DZ36" i="4"/>
  <c r="DZ37" i="4"/>
  <c r="DZ38" i="4"/>
  <c r="DZ39" i="4"/>
  <c r="DZ40" i="4"/>
  <c r="DZ41" i="4"/>
  <c r="DZ42" i="4"/>
  <c r="DZ43" i="4"/>
  <c r="DZ44" i="4"/>
  <c r="DZ45" i="4"/>
  <c r="DZ46" i="4"/>
  <c r="DZ47" i="4"/>
  <c r="DZ48" i="4"/>
  <c r="DZ49" i="4"/>
  <c r="DZ50" i="4"/>
  <c r="DZ51" i="4"/>
  <c r="DZ52" i="4"/>
  <c r="DZ53" i="4"/>
  <c r="DZ54" i="4"/>
  <c r="DZ55" i="4"/>
  <c r="DZ56" i="4"/>
  <c r="DZ57" i="4"/>
  <c r="DZ58" i="4"/>
  <c r="DZ59" i="4"/>
  <c r="DZ60" i="4"/>
  <c r="DZ61" i="4"/>
  <c r="DZ62" i="4"/>
  <c r="DZ63" i="4"/>
  <c r="DZ64" i="4"/>
  <c r="DZ65" i="4"/>
  <c r="DZ66" i="4"/>
  <c r="DZ67" i="4"/>
  <c r="DZ68" i="4"/>
  <c r="DZ69" i="4"/>
  <c r="DZ70" i="4"/>
  <c r="DZ71" i="4"/>
  <c r="DZ72" i="4"/>
  <c r="DZ73" i="4"/>
  <c r="DZ74" i="4"/>
  <c r="DZ75" i="4"/>
  <c r="DZ76" i="4"/>
  <c r="DZ77" i="4"/>
  <c r="DZ78" i="4"/>
  <c r="DZ79" i="4"/>
  <c r="DZ80" i="4"/>
  <c r="DZ81" i="4"/>
  <c r="DZ82" i="4"/>
  <c r="DZ83" i="4"/>
  <c r="DZ84" i="4"/>
  <c r="DZ85" i="4"/>
  <c r="DZ86" i="4"/>
  <c r="DZ87" i="4"/>
  <c r="DZ88" i="4"/>
  <c r="DZ89" i="4"/>
  <c r="DZ90" i="4"/>
  <c r="DZ91" i="4"/>
  <c r="DZ92" i="4"/>
  <c r="DZ93" i="4"/>
  <c r="DZ94" i="4"/>
  <c r="DZ95" i="4"/>
  <c r="DZ96" i="4"/>
  <c r="DZ97" i="4"/>
  <c r="DZ98" i="4"/>
  <c r="DZ99" i="4"/>
  <c r="DZ100" i="4"/>
  <c r="DZ101" i="4"/>
  <c r="DZ102" i="4"/>
  <c r="DZ103" i="4"/>
  <c r="DZ104" i="4"/>
  <c r="DZ105" i="4"/>
  <c r="DZ106" i="4"/>
  <c r="EA7" i="4"/>
  <c r="DZ7" i="4"/>
  <c r="DI8" i="4"/>
  <c r="DJ8" i="4"/>
  <c r="DK8" i="4"/>
  <c r="DL8" i="4"/>
  <c r="DM8" i="4"/>
  <c r="DN8" i="4"/>
  <c r="DO8" i="4"/>
  <c r="DP8" i="4"/>
  <c r="DQ8" i="4"/>
  <c r="DR8" i="4"/>
  <c r="DS8" i="4"/>
  <c r="DT8" i="4"/>
  <c r="DU8" i="4"/>
  <c r="DV8" i="4"/>
  <c r="DW8" i="4"/>
  <c r="DX8" i="4"/>
  <c r="DY8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DY9" i="4"/>
  <c r="DI10" i="4"/>
  <c r="DJ10" i="4"/>
  <c r="DK10" i="4"/>
  <c r="DL10" i="4"/>
  <c r="DM10" i="4"/>
  <c r="DN10" i="4"/>
  <c r="DO10" i="4"/>
  <c r="DP10" i="4"/>
  <c r="DQ10" i="4"/>
  <c r="DR10" i="4"/>
  <c r="DS10" i="4"/>
  <c r="DT10" i="4"/>
  <c r="DU10" i="4"/>
  <c r="DV10" i="4"/>
  <c r="DW10" i="4"/>
  <c r="DX10" i="4"/>
  <c r="DY10" i="4"/>
  <c r="DI11" i="4"/>
  <c r="DJ11" i="4"/>
  <c r="DK11" i="4"/>
  <c r="DL11" i="4"/>
  <c r="DM11" i="4"/>
  <c r="DN11" i="4"/>
  <c r="DO11" i="4"/>
  <c r="DP11" i="4"/>
  <c r="DQ11" i="4"/>
  <c r="DR11" i="4"/>
  <c r="DS11" i="4"/>
  <c r="DT11" i="4"/>
  <c r="DU11" i="4"/>
  <c r="DV11" i="4"/>
  <c r="DW11" i="4"/>
  <c r="DX11" i="4"/>
  <c r="DY11" i="4"/>
  <c r="DI12" i="4"/>
  <c r="DJ12" i="4"/>
  <c r="DK12" i="4"/>
  <c r="DL12" i="4"/>
  <c r="DM12" i="4"/>
  <c r="DN12" i="4"/>
  <c r="DO12" i="4"/>
  <c r="DP12" i="4"/>
  <c r="DQ12" i="4"/>
  <c r="DR12" i="4"/>
  <c r="DS12" i="4"/>
  <c r="DT12" i="4"/>
  <c r="DU12" i="4"/>
  <c r="DV12" i="4"/>
  <c r="DW12" i="4"/>
  <c r="DX12" i="4"/>
  <c r="DY12" i="4"/>
  <c r="DI13" i="4"/>
  <c r="DJ13" i="4"/>
  <c r="DK13" i="4"/>
  <c r="DL13" i="4"/>
  <c r="DM13" i="4"/>
  <c r="DN13" i="4"/>
  <c r="DO13" i="4"/>
  <c r="DP13" i="4"/>
  <c r="DQ13" i="4"/>
  <c r="DR13" i="4"/>
  <c r="DS13" i="4"/>
  <c r="DT13" i="4"/>
  <c r="DU13" i="4"/>
  <c r="DV13" i="4"/>
  <c r="DW13" i="4"/>
  <c r="DX13" i="4"/>
  <c r="DY13" i="4"/>
  <c r="DI14" i="4"/>
  <c r="DJ14" i="4"/>
  <c r="DK14" i="4"/>
  <c r="DL14" i="4"/>
  <c r="DM14" i="4"/>
  <c r="DN14" i="4"/>
  <c r="DO14" i="4"/>
  <c r="DP14" i="4"/>
  <c r="DQ14" i="4"/>
  <c r="DR14" i="4"/>
  <c r="DS14" i="4"/>
  <c r="DT14" i="4"/>
  <c r="DU14" i="4"/>
  <c r="DV14" i="4"/>
  <c r="DW14" i="4"/>
  <c r="DX14" i="4"/>
  <c r="DY14" i="4"/>
  <c r="DI15" i="4"/>
  <c r="DJ15" i="4"/>
  <c r="DK15" i="4"/>
  <c r="DL15" i="4"/>
  <c r="DM15" i="4"/>
  <c r="DN15" i="4"/>
  <c r="DO15" i="4"/>
  <c r="DP15" i="4"/>
  <c r="DQ15" i="4"/>
  <c r="DR15" i="4"/>
  <c r="DS15" i="4"/>
  <c r="DT15" i="4"/>
  <c r="DU15" i="4"/>
  <c r="DV15" i="4"/>
  <c r="DW15" i="4"/>
  <c r="DX15" i="4"/>
  <c r="DY15" i="4"/>
  <c r="DI16" i="4"/>
  <c r="DJ16" i="4"/>
  <c r="DK16" i="4"/>
  <c r="DL16" i="4"/>
  <c r="DM16" i="4"/>
  <c r="DN16" i="4"/>
  <c r="DO16" i="4"/>
  <c r="DP16" i="4"/>
  <c r="DQ16" i="4"/>
  <c r="DR16" i="4"/>
  <c r="DS16" i="4"/>
  <c r="DT16" i="4"/>
  <c r="DU16" i="4"/>
  <c r="DV16" i="4"/>
  <c r="DW16" i="4"/>
  <c r="DX16" i="4"/>
  <c r="DY16" i="4"/>
  <c r="DI17" i="4"/>
  <c r="DJ17" i="4"/>
  <c r="DK17" i="4"/>
  <c r="DL17" i="4"/>
  <c r="DM17" i="4"/>
  <c r="DN17" i="4"/>
  <c r="DO17" i="4"/>
  <c r="DP17" i="4"/>
  <c r="DQ17" i="4"/>
  <c r="DR17" i="4"/>
  <c r="DS17" i="4"/>
  <c r="DT17" i="4"/>
  <c r="DU17" i="4"/>
  <c r="DV17" i="4"/>
  <c r="DW17" i="4"/>
  <c r="DX17" i="4"/>
  <c r="DY17" i="4"/>
  <c r="DI18" i="4"/>
  <c r="DJ18" i="4"/>
  <c r="DK18" i="4"/>
  <c r="DL18" i="4"/>
  <c r="DM18" i="4"/>
  <c r="DN18" i="4"/>
  <c r="DO18" i="4"/>
  <c r="DP18" i="4"/>
  <c r="DQ18" i="4"/>
  <c r="DR18" i="4"/>
  <c r="DS18" i="4"/>
  <c r="DT18" i="4"/>
  <c r="DU18" i="4"/>
  <c r="DV18" i="4"/>
  <c r="DW18" i="4"/>
  <c r="DX18" i="4"/>
  <c r="DY18" i="4"/>
  <c r="DI19" i="4"/>
  <c r="DJ19" i="4"/>
  <c r="DK19" i="4"/>
  <c r="DL19" i="4"/>
  <c r="DM19" i="4"/>
  <c r="DN19" i="4"/>
  <c r="DO19" i="4"/>
  <c r="DP19" i="4"/>
  <c r="DQ19" i="4"/>
  <c r="DR19" i="4"/>
  <c r="DS19" i="4"/>
  <c r="DT19" i="4"/>
  <c r="DU19" i="4"/>
  <c r="DV19" i="4"/>
  <c r="DW19" i="4"/>
  <c r="DX19" i="4"/>
  <c r="DY19" i="4"/>
  <c r="DI20" i="4"/>
  <c r="DJ20" i="4"/>
  <c r="DK20" i="4"/>
  <c r="DL20" i="4"/>
  <c r="DM20" i="4"/>
  <c r="DN20" i="4"/>
  <c r="DO20" i="4"/>
  <c r="DP20" i="4"/>
  <c r="DQ20" i="4"/>
  <c r="DR20" i="4"/>
  <c r="DS20" i="4"/>
  <c r="DT20" i="4"/>
  <c r="DU20" i="4"/>
  <c r="DV20" i="4"/>
  <c r="DW20" i="4"/>
  <c r="DX20" i="4"/>
  <c r="DY20" i="4"/>
  <c r="DI21" i="4"/>
  <c r="DJ21" i="4"/>
  <c r="DK21" i="4"/>
  <c r="DL21" i="4"/>
  <c r="DM21" i="4"/>
  <c r="DN21" i="4"/>
  <c r="DO21" i="4"/>
  <c r="DP21" i="4"/>
  <c r="DQ21" i="4"/>
  <c r="DR21" i="4"/>
  <c r="DS21" i="4"/>
  <c r="DT21" i="4"/>
  <c r="DU21" i="4"/>
  <c r="DV21" i="4"/>
  <c r="DW21" i="4"/>
  <c r="DX21" i="4"/>
  <c r="DY21" i="4"/>
  <c r="DI22" i="4"/>
  <c r="DJ22" i="4"/>
  <c r="DK22" i="4"/>
  <c r="DL22" i="4"/>
  <c r="DM22" i="4"/>
  <c r="DN22" i="4"/>
  <c r="DO22" i="4"/>
  <c r="DP22" i="4"/>
  <c r="DQ22" i="4"/>
  <c r="DR22" i="4"/>
  <c r="DS22" i="4"/>
  <c r="DT22" i="4"/>
  <c r="DU22" i="4"/>
  <c r="DV22" i="4"/>
  <c r="DW22" i="4"/>
  <c r="DX22" i="4"/>
  <c r="DY22" i="4"/>
  <c r="DI23" i="4"/>
  <c r="DJ23" i="4"/>
  <c r="DK23" i="4"/>
  <c r="DL23" i="4"/>
  <c r="DM23" i="4"/>
  <c r="DN23" i="4"/>
  <c r="DO23" i="4"/>
  <c r="DP23" i="4"/>
  <c r="DQ23" i="4"/>
  <c r="DR23" i="4"/>
  <c r="DS23" i="4"/>
  <c r="DT23" i="4"/>
  <c r="DU23" i="4"/>
  <c r="DV23" i="4"/>
  <c r="DW23" i="4"/>
  <c r="DX23" i="4"/>
  <c r="DY23" i="4"/>
  <c r="DI24" i="4"/>
  <c r="DJ24" i="4"/>
  <c r="DK24" i="4"/>
  <c r="DL24" i="4"/>
  <c r="DM24" i="4"/>
  <c r="DN24" i="4"/>
  <c r="DO24" i="4"/>
  <c r="DP24" i="4"/>
  <c r="DQ24" i="4"/>
  <c r="DR24" i="4"/>
  <c r="DS24" i="4"/>
  <c r="DT24" i="4"/>
  <c r="DU24" i="4"/>
  <c r="DV24" i="4"/>
  <c r="DW24" i="4"/>
  <c r="DX24" i="4"/>
  <c r="DY24" i="4"/>
  <c r="DI25" i="4"/>
  <c r="DJ25" i="4"/>
  <c r="DK25" i="4"/>
  <c r="DL25" i="4"/>
  <c r="DM25" i="4"/>
  <c r="DN25" i="4"/>
  <c r="DO25" i="4"/>
  <c r="DP25" i="4"/>
  <c r="DQ25" i="4"/>
  <c r="DR25" i="4"/>
  <c r="DS25" i="4"/>
  <c r="DT25" i="4"/>
  <c r="DU25" i="4"/>
  <c r="DV25" i="4"/>
  <c r="DW25" i="4"/>
  <c r="DX25" i="4"/>
  <c r="DY25" i="4"/>
  <c r="DI26" i="4"/>
  <c r="DJ26" i="4"/>
  <c r="DK26" i="4"/>
  <c r="DL26" i="4"/>
  <c r="DM26" i="4"/>
  <c r="DN26" i="4"/>
  <c r="DO26" i="4"/>
  <c r="DP26" i="4"/>
  <c r="DQ26" i="4"/>
  <c r="DR26" i="4"/>
  <c r="DS26" i="4"/>
  <c r="DT26" i="4"/>
  <c r="DU26" i="4"/>
  <c r="DV26" i="4"/>
  <c r="DW26" i="4"/>
  <c r="DX26" i="4"/>
  <c r="DY26" i="4"/>
  <c r="DI27" i="4"/>
  <c r="DJ27" i="4"/>
  <c r="DK27" i="4"/>
  <c r="DL27" i="4"/>
  <c r="DM27" i="4"/>
  <c r="DN27" i="4"/>
  <c r="DO27" i="4"/>
  <c r="DP27" i="4"/>
  <c r="DQ27" i="4"/>
  <c r="DR27" i="4"/>
  <c r="DS27" i="4"/>
  <c r="DT27" i="4"/>
  <c r="DU27" i="4"/>
  <c r="DV27" i="4"/>
  <c r="DW27" i="4"/>
  <c r="DX27" i="4"/>
  <c r="DY27" i="4"/>
  <c r="DI28" i="4"/>
  <c r="DJ28" i="4"/>
  <c r="DK28" i="4"/>
  <c r="DL28" i="4"/>
  <c r="DM28" i="4"/>
  <c r="DN28" i="4"/>
  <c r="DO28" i="4"/>
  <c r="DP28" i="4"/>
  <c r="DQ28" i="4"/>
  <c r="DR28" i="4"/>
  <c r="DS28" i="4"/>
  <c r="DT28" i="4"/>
  <c r="DU28" i="4"/>
  <c r="DV28" i="4"/>
  <c r="DW28" i="4"/>
  <c r="DX28" i="4"/>
  <c r="DY28" i="4"/>
  <c r="DI29" i="4"/>
  <c r="DJ29" i="4"/>
  <c r="DK29" i="4"/>
  <c r="DL29" i="4"/>
  <c r="DM29" i="4"/>
  <c r="DN29" i="4"/>
  <c r="DO29" i="4"/>
  <c r="DP29" i="4"/>
  <c r="DQ29" i="4"/>
  <c r="DR29" i="4"/>
  <c r="DS29" i="4"/>
  <c r="DT29" i="4"/>
  <c r="DU29" i="4"/>
  <c r="DV29" i="4"/>
  <c r="DW29" i="4"/>
  <c r="DX29" i="4"/>
  <c r="DY29" i="4"/>
  <c r="DI30" i="4"/>
  <c r="DJ30" i="4"/>
  <c r="DK30" i="4"/>
  <c r="DL30" i="4"/>
  <c r="DM30" i="4"/>
  <c r="DN30" i="4"/>
  <c r="DO30" i="4"/>
  <c r="DP30" i="4"/>
  <c r="DQ30" i="4"/>
  <c r="DR30" i="4"/>
  <c r="DS30" i="4"/>
  <c r="DT30" i="4"/>
  <c r="DU30" i="4"/>
  <c r="DV30" i="4"/>
  <c r="DW30" i="4"/>
  <c r="DX30" i="4"/>
  <c r="DY30" i="4"/>
  <c r="DI31" i="4"/>
  <c r="DJ31" i="4"/>
  <c r="DK31" i="4"/>
  <c r="DL31" i="4"/>
  <c r="DM31" i="4"/>
  <c r="DN31" i="4"/>
  <c r="DO31" i="4"/>
  <c r="DP31" i="4"/>
  <c r="DQ31" i="4"/>
  <c r="DR31" i="4"/>
  <c r="DS31" i="4"/>
  <c r="DT31" i="4"/>
  <c r="DU31" i="4"/>
  <c r="DV31" i="4"/>
  <c r="DW31" i="4"/>
  <c r="DX31" i="4"/>
  <c r="DY31" i="4"/>
  <c r="DI32" i="4"/>
  <c r="DJ32" i="4"/>
  <c r="DK32" i="4"/>
  <c r="DL32" i="4"/>
  <c r="DM32" i="4"/>
  <c r="DN32" i="4"/>
  <c r="DO32" i="4"/>
  <c r="DP32" i="4"/>
  <c r="DQ32" i="4"/>
  <c r="DR32" i="4"/>
  <c r="DS32" i="4"/>
  <c r="DT32" i="4"/>
  <c r="DU32" i="4"/>
  <c r="DV32" i="4"/>
  <c r="DW32" i="4"/>
  <c r="DX32" i="4"/>
  <c r="DY32" i="4"/>
  <c r="DI33" i="4"/>
  <c r="DJ33" i="4"/>
  <c r="DK33" i="4"/>
  <c r="DL33" i="4"/>
  <c r="DM33" i="4"/>
  <c r="DN33" i="4"/>
  <c r="DO33" i="4"/>
  <c r="DP33" i="4"/>
  <c r="DQ33" i="4"/>
  <c r="DR33" i="4"/>
  <c r="DS33" i="4"/>
  <c r="DT33" i="4"/>
  <c r="DU33" i="4"/>
  <c r="DV33" i="4"/>
  <c r="DW33" i="4"/>
  <c r="DX33" i="4"/>
  <c r="DY33" i="4"/>
  <c r="DI34" i="4"/>
  <c r="DJ34" i="4"/>
  <c r="DK34" i="4"/>
  <c r="DL34" i="4"/>
  <c r="DM34" i="4"/>
  <c r="DN34" i="4"/>
  <c r="DO34" i="4"/>
  <c r="DP34" i="4"/>
  <c r="DQ34" i="4"/>
  <c r="DR34" i="4"/>
  <c r="DS34" i="4"/>
  <c r="DT34" i="4"/>
  <c r="DU34" i="4"/>
  <c r="DV34" i="4"/>
  <c r="DW34" i="4"/>
  <c r="DX34" i="4"/>
  <c r="DY34" i="4"/>
  <c r="DI35" i="4"/>
  <c r="DJ35" i="4"/>
  <c r="DK35" i="4"/>
  <c r="DL35" i="4"/>
  <c r="DM35" i="4"/>
  <c r="DN35" i="4"/>
  <c r="DO35" i="4"/>
  <c r="DP35" i="4"/>
  <c r="DQ35" i="4"/>
  <c r="DR35" i="4"/>
  <c r="DS35" i="4"/>
  <c r="DT35" i="4"/>
  <c r="DU35" i="4"/>
  <c r="DV35" i="4"/>
  <c r="DW35" i="4"/>
  <c r="DX35" i="4"/>
  <c r="DY35" i="4"/>
  <c r="DI36" i="4"/>
  <c r="DJ36" i="4"/>
  <c r="DK36" i="4"/>
  <c r="DL36" i="4"/>
  <c r="DM36" i="4"/>
  <c r="DN36" i="4"/>
  <c r="DO36" i="4"/>
  <c r="DP36" i="4"/>
  <c r="DQ36" i="4"/>
  <c r="DR36" i="4"/>
  <c r="DS36" i="4"/>
  <c r="DT36" i="4"/>
  <c r="DU36" i="4"/>
  <c r="DV36" i="4"/>
  <c r="DW36" i="4"/>
  <c r="DX36" i="4"/>
  <c r="DY36" i="4"/>
  <c r="DI37" i="4"/>
  <c r="DJ37" i="4"/>
  <c r="DK37" i="4"/>
  <c r="DL37" i="4"/>
  <c r="DM37" i="4"/>
  <c r="DN37" i="4"/>
  <c r="DO37" i="4"/>
  <c r="DP37" i="4"/>
  <c r="DQ37" i="4"/>
  <c r="DR37" i="4"/>
  <c r="DS37" i="4"/>
  <c r="DT37" i="4"/>
  <c r="DU37" i="4"/>
  <c r="DV37" i="4"/>
  <c r="DW37" i="4"/>
  <c r="DX37" i="4"/>
  <c r="DY37" i="4"/>
  <c r="DI38" i="4"/>
  <c r="DJ38" i="4"/>
  <c r="DK38" i="4"/>
  <c r="DL38" i="4"/>
  <c r="DM38" i="4"/>
  <c r="DN38" i="4"/>
  <c r="DO38" i="4"/>
  <c r="DP38" i="4"/>
  <c r="DQ38" i="4"/>
  <c r="DR38" i="4"/>
  <c r="DS38" i="4"/>
  <c r="DT38" i="4"/>
  <c r="DU38" i="4"/>
  <c r="DV38" i="4"/>
  <c r="DW38" i="4"/>
  <c r="DX38" i="4"/>
  <c r="DY38" i="4"/>
  <c r="DI39" i="4"/>
  <c r="DJ39" i="4"/>
  <c r="DK39" i="4"/>
  <c r="DL39" i="4"/>
  <c r="DM39" i="4"/>
  <c r="DN39" i="4"/>
  <c r="DO39" i="4"/>
  <c r="DP39" i="4"/>
  <c r="DQ39" i="4"/>
  <c r="DR39" i="4"/>
  <c r="DS39" i="4"/>
  <c r="DT39" i="4"/>
  <c r="DU39" i="4"/>
  <c r="DV39" i="4"/>
  <c r="DW39" i="4"/>
  <c r="DX39" i="4"/>
  <c r="DY39" i="4"/>
  <c r="DI40" i="4"/>
  <c r="DJ40" i="4"/>
  <c r="DK40" i="4"/>
  <c r="DL40" i="4"/>
  <c r="DM40" i="4"/>
  <c r="DN40" i="4"/>
  <c r="DO40" i="4"/>
  <c r="DP40" i="4"/>
  <c r="DQ40" i="4"/>
  <c r="DR40" i="4"/>
  <c r="DS40" i="4"/>
  <c r="DT40" i="4"/>
  <c r="DU40" i="4"/>
  <c r="DV40" i="4"/>
  <c r="DW40" i="4"/>
  <c r="DX40" i="4"/>
  <c r="DY40" i="4"/>
  <c r="DI41" i="4"/>
  <c r="DJ41" i="4"/>
  <c r="DK41" i="4"/>
  <c r="DL41" i="4"/>
  <c r="DM41" i="4"/>
  <c r="DN41" i="4"/>
  <c r="DO41" i="4"/>
  <c r="DP41" i="4"/>
  <c r="DQ41" i="4"/>
  <c r="DR41" i="4"/>
  <c r="DS41" i="4"/>
  <c r="DT41" i="4"/>
  <c r="DU41" i="4"/>
  <c r="DV41" i="4"/>
  <c r="DW41" i="4"/>
  <c r="DX41" i="4"/>
  <c r="DY41" i="4"/>
  <c r="DI42" i="4"/>
  <c r="DJ42" i="4"/>
  <c r="DK42" i="4"/>
  <c r="DL42" i="4"/>
  <c r="DM42" i="4"/>
  <c r="DN42" i="4"/>
  <c r="DO42" i="4"/>
  <c r="DP42" i="4"/>
  <c r="DQ42" i="4"/>
  <c r="DR42" i="4"/>
  <c r="DS42" i="4"/>
  <c r="DT42" i="4"/>
  <c r="DU42" i="4"/>
  <c r="DV42" i="4"/>
  <c r="DW42" i="4"/>
  <c r="DX42" i="4"/>
  <c r="DY42" i="4"/>
  <c r="DI43" i="4"/>
  <c r="DJ43" i="4"/>
  <c r="DK43" i="4"/>
  <c r="DL43" i="4"/>
  <c r="DM43" i="4"/>
  <c r="DN43" i="4"/>
  <c r="DO43" i="4"/>
  <c r="DP43" i="4"/>
  <c r="DQ43" i="4"/>
  <c r="DR43" i="4"/>
  <c r="DS43" i="4"/>
  <c r="DT43" i="4"/>
  <c r="DU43" i="4"/>
  <c r="DV43" i="4"/>
  <c r="DW43" i="4"/>
  <c r="DX43" i="4"/>
  <c r="DY43" i="4"/>
  <c r="DI44" i="4"/>
  <c r="DJ44" i="4"/>
  <c r="DK44" i="4"/>
  <c r="DL44" i="4"/>
  <c r="DM44" i="4"/>
  <c r="DN44" i="4"/>
  <c r="DO44" i="4"/>
  <c r="DP44" i="4"/>
  <c r="DQ44" i="4"/>
  <c r="DR44" i="4"/>
  <c r="DS44" i="4"/>
  <c r="DT44" i="4"/>
  <c r="DU44" i="4"/>
  <c r="DV44" i="4"/>
  <c r="DW44" i="4"/>
  <c r="DX44" i="4"/>
  <c r="DY44" i="4"/>
  <c r="DI45" i="4"/>
  <c r="DJ45" i="4"/>
  <c r="DK45" i="4"/>
  <c r="DL45" i="4"/>
  <c r="DM45" i="4"/>
  <c r="DN45" i="4"/>
  <c r="DO45" i="4"/>
  <c r="DP45" i="4"/>
  <c r="DQ45" i="4"/>
  <c r="DR45" i="4"/>
  <c r="DS45" i="4"/>
  <c r="DT45" i="4"/>
  <c r="DU45" i="4"/>
  <c r="DV45" i="4"/>
  <c r="DW45" i="4"/>
  <c r="DX45" i="4"/>
  <c r="DY45" i="4"/>
  <c r="DI46" i="4"/>
  <c r="DJ46" i="4"/>
  <c r="DK46" i="4"/>
  <c r="DL46" i="4"/>
  <c r="DM46" i="4"/>
  <c r="DN46" i="4"/>
  <c r="DO46" i="4"/>
  <c r="DP46" i="4"/>
  <c r="DQ46" i="4"/>
  <c r="DR46" i="4"/>
  <c r="DS46" i="4"/>
  <c r="DT46" i="4"/>
  <c r="DU46" i="4"/>
  <c r="DV46" i="4"/>
  <c r="DW46" i="4"/>
  <c r="DX46" i="4"/>
  <c r="DY46" i="4"/>
  <c r="DI47" i="4"/>
  <c r="DJ47" i="4"/>
  <c r="DK47" i="4"/>
  <c r="DL47" i="4"/>
  <c r="DM47" i="4"/>
  <c r="DN47" i="4"/>
  <c r="DO47" i="4"/>
  <c r="DP47" i="4"/>
  <c r="DQ47" i="4"/>
  <c r="DR47" i="4"/>
  <c r="DS47" i="4"/>
  <c r="DT47" i="4"/>
  <c r="DU47" i="4"/>
  <c r="DV47" i="4"/>
  <c r="DW47" i="4"/>
  <c r="DX47" i="4"/>
  <c r="DY47" i="4"/>
  <c r="DI48" i="4"/>
  <c r="DJ48" i="4"/>
  <c r="DK48" i="4"/>
  <c r="DL48" i="4"/>
  <c r="DM48" i="4"/>
  <c r="DN48" i="4"/>
  <c r="DO48" i="4"/>
  <c r="DP48" i="4"/>
  <c r="DQ48" i="4"/>
  <c r="DR48" i="4"/>
  <c r="DS48" i="4"/>
  <c r="DT48" i="4"/>
  <c r="DU48" i="4"/>
  <c r="DV48" i="4"/>
  <c r="DW48" i="4"/>
  <c r="DX48" i="4"/>
  <c r="DY48" i="4"/>
  <c r="DI49" i="4"/>
  <c r="DJ49" i="4"/>
  <c r="DK49" i="4"/>
  <c r="DL49" i="4"/>
  <c r="DM49" i="4"/>
  <c r="DN49" i="4"/>
  <c r="DO49" i="4"/>
  <c r="DP49" i="4"/>
  <c r="DQ49" i="4"/>
  <c r="DR49" i="4"/>
  <c r="DS49" i="4"/>
  <c r="DT49" i="4"/>
  <c r="DU49" i="4"/>
  <c r="DV49" i="4"/>
  <c r="DW49" i="4"/>
  <c r="DX49" i="4"/>
  <c r="DY49" i="4"/>
  <c r="DI50" i="4"/>
  <c r="DJ50" i="4"/>
  <c r="DK50" i="4"/>
  <c r="DL50" i="4"/>
  <c r="DM50" i="4"/>
  <c r="DN50" i="4"/>
  <c r="DO50" i="4"/>
  <c r="DP50" i="4"/>
  <c r="DQ50" i="4"/>
  <c r="DR50" i="4"/>
  <c r="DS50" i="4"/>
  <c r="DT50" i="4"/>
  <c r="DU50" i="4"/>
  <c r="DV50" i="4"/>
  <c r="DW50" i="4"/>
  <c r="DX50" i="4"/>
  <c r="DY50" i="4"/>
  <c r="DI51" i="4"/>
  <c r="DJ51" i="4"/>
  <c r="DK51" i="4"/>
  <c r="DL51" i="4"/>
  <c r="DM51" i="4"/>
  <c r="DN51" i="4"/>
  <c r="DO51" i="4"/>
  <c r="DP51" i="4"/>
  <c r="DQ51" i="4"/>
  <c r="DR51" i="4"/>
  <c r="DS51" i="4"/>
  <c r="DT51" i="4"/>
  <c r="DU51" i="4"/>
  <c r="DV51" i="4"/>
  <c r="DW51" i="4"/>
  <c r="DX51" i="4"/>
  <c r="DY51" i="4"/>
  <c r="DI52" i="4"/>
  <c r="DJ52" i="4"/>
  <c r="DK52" i="4"/>
  <c r="DL52" i="4"/>
  <c r="DM52" i="4"/>
  <c r="DN52" i="4"/>
  <c r="DO52" i="4"/>
  <c r="DP52" i="4"/>
  <c r="DQ52" i="4"/>
  <c r="DR52" i="4"/>
  <c r="DS52" i="4"/>
  <c r="DT52" i="4"/>
  <c r="DU52" i="4"/>
  <c r="DV52" i="4"/>
  <c r="DW52" i="4"/>
  <c r="DX52" i="4"/>
  <c r="DY52" i="4"/>
  <c r="DI53" i="4"/>
  <c r="DJ53" i="4"/>
  <c r="DK53" i="4"/>
  <c r="DL53" i="4"/>
  <c r="DM53" i="4"/>
  <c r="DN53" i="4"/>
  <c r="DO53" i="4"/>
  <c r="DP53" i="4"/>
  <c r="DQ53" i="4"/>
  <c r="DR53" i="4"/>
  <c r="DS53" i="4"/>
  <c r="DT53" i="4"/>
  <c r="DU53" i="4"/>
  <c r="DV53" i="4"/>
  <c r="DW53" i="4"/>
  <c r="DX53" i="4"/>
  <c r="DY53" i="4"/>
  <c r="DI54" i="4"/>
  <c r="DJ54" i="4"/>
  <c r="DK54" i="4"/>
  <c r="DL54" i="4"/>
  <c r="DM54" i="4"/>
  <c r="DN54" i="4"/>
  <c r="DO54" i="4"/>
  <c r="DP54" i="4"/>
  <c r="DQ54" i="4"/>
  <c r="DR54" i="4"/>
  <c r="DS54" i="4"/>
  <c r="DT54" i="4"/>
  <c r="DU54" i="4"/>
  <c r="DV54" i="4"/>
  <c r="DW54" i="4"/>
  <c r="DX54" i="4"/>
  <c r="DY54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DV55" i="4"/>
  <c r="DW55" i="4"/>
  <c r="DX55" i="4"/>
  <c r="DY55" i="4"/>
  <c r="DI56" i="4"/>
  <c r="DJ56" i="4"/>
  <c r="DK56" i="4"/>
  <c r="DL56" i="4"/>
  <c r="DM56" i="4"/>
  <c r="DN56" i="4"/>
  <c r="DO56" i="4"/>
  <c r="DP56" i="4"/>
  <c r="DQ56" i="4"/>
  <c r="DR56" i="4"/>
  <c r="DS56" i="4"/>
  <c r="DT56" i="4"/>
  <c r="DU56" i="4"/>
  <c r="DV56" i="4"/>
  <c r="DW56" i="4"/>
  <c r="DX56" i="4"/>
  <c r="DY56" i="4"/>
  <c r="DI57" i="4"/>
  <c r="DJ57" i="4"/>
  <c r="DK57" i="4"/>
  <c r="DL57" i="4"/>
  <c r="DM57" i="4"/>
  <c r="DN57" i="4"/>
  <c r="DO57" i="4"/>
  <c r="DP57" i="4"/>
  <c r="DQ57" i="4"/>
  <c r="DR57" i="4"/>
  <c r="DS57" i="4"/>
  <c r="DT57" i="4"/>
  <c r="DU57" i="4"/>
  <c r="DV57" i="4"/>
  <c r="DW57" i="4"/>
  <c r="DX57" i="4"/>
  <c r="DY57" i="4"/>
  <c r="DI58" i="4"/>
  <c r="DJ58" i="4"/>
  <c r="DK58" i="4"/>
  <c r="DL58" i="4"/>
  <c r="DM58" i="4"/>
  <c r="DN58" i="4"/>
  <c r="DO58" i="4"/>
  <c r="DP58" i="4"/>
  <c r="DQ58" i="4"/>
  <c r="DR58" i="4"/>
  <c r="DS58" i="4"/>
  <c r="DT58" i="4"/>
  <c r="DU58" i="4"/>
  <c r="DV58" i="4"/>
  <c r="DW58" i="4"/>
  <c r="DX58" i="4"/>
  <c r="DY58" i="4"/>
  <c r="DI59" i="4"/>
  <c r="DJ59" i="4"/>
  <c r="DK59" i="4"/>
  <c r="DL59" i="4"/>
  <c r="DM59" i="4"/>
  <c r="DN59" i="4"/>
  <c r="DO59" i="4"/>
  <c r="DP59" i="4"/>
  <c r="DQ59" i="4"/>
  <c r="DR59" i="4"/>
  <c r="DS59" i="4"/>
  <c r="DT59" i="4"/>
  <c r="DU59" i="4"/>
  <c r="DV59" i="4"/>
  <c r="DW59" i="4"/>
  <c r="DX59" i="4"/>
  <c r="DY59" i="4"/>
  <c r="DI60" i="4"/>
  <c r="DJ60" i="4"/>
  <c r="DK60" i="4"/>
  <c r="DL60" i="4"/>
  <c r="DM60" i="4"/>
  <c r="DN60" i="4"/>
  <c r="DO60" i="4"/>
  <c r="DP60" i="4"/>
  <c r="DQ60" i="4"/>
  <c r="DR60" i="4"/>
  <c r="DS60" i="4"/>
  <c r="DT60" i="4"/>
  <c r="DU60" i="4"/>
  <c r="DV60" i="4"/>
  <c r="DW60" i="4"/>
  <c r="DX60" i="4"/>
  <c r="DY60" i="4"/>
  <c r="DI61" i="4"/>
  <c r="DJ61" i="4"/>
  <c r="DK61" i="4"/>
  <c r="DL61" i="4"/>
  <c r="DM61" i="4"/>
  <c r="DN61" i="4"/>
  <c r="DO61" i="4"/>
  <c r="DP61" i="4"/>
  <c r="DQ61" i="4"/>
  <c r="DR61" i="4"/>
  <c r="DS61" i="4"/>
  <c r="DT61" i="4"/>
  <c r="DU61" i="4"/>
  <c r="DV61" i="4"/>
  <c r="DW61" i="4"/>
  <c r="DX61" i="4"/>
  <c r="DY61" i="4"/>
  <c r="DI62" i="4"/>
  <c r="DJ62" i="4"/>
  <c r="DK62" i="4"/>
  <c r="DL62" i="4"/>
  <c r="DM62" i="4"/>
  <c r="DN62" i="4"/>
  <c r="DO62" i="4"/>
  <c r="DP62" i="4"/>
  <c r="DQ62" i="4"/>
  <c r="DR62" i="4"/>
  <c r="DS62" i="4"/>
  <c r="DT62" i="4"/>
  <c r="DU62" i="4"/>
  <c r="DV62" i="4"/>
  <c r="DW62" i="4"/>
  <c r="DX62" i="4"/>
  <c r="DY62" i="4"/>
  <c r="DI63" i="4"/>
  <c r="DJ63" i="4"/>
  <c r="DK63" i="4"/>
  <c r="DL63" i="4"/>
  <c r="DM63" i="4"/>
  <c r="DN63" i="4"/>
  <c r="DO63" i="4"/>
  <c r="DP63" i="4"/>
  <c r="DQ63" i="4"/>
  <c r="DR63" i="4"/>
  <c r="DS63" i="4"/>
  <c r="DT63" i="4"/>
  <c r="DU63" i="4"/>
  <c r="DV63" i="4"/>
  <c r="DW63" i="4"/>
  <c r="DX63" i="4"/>
  <c r="DY63" i="4"/>
  <c r="DI64" i="4"/>
  <c r="DJ64" i="4"/>
  <c r="DK64" i="4"/>
  <c r="DL64" i="4"/>
  <c r="DM64" i="4"/>
  <c r="DN64" i="4"/>
  <c r="DO64" i="4"/>
  <c r="DP64" i="4"/>
  <c r="DQ64" i="4"/>
  <c r="DR64" i="4"/>
  <c r="DS64" i="4"/>
  <c r="DT64" i="4"/>
  <c r="DU64" i="4"/>
  <c r="DV64" i="4"/>
  <c r="DW64" i="4"/>
  <c r="DX64" i="4"/>
  <c r="DY64" i="4"/>
  <c r="DI65" i="4"/>
  <c r="DJ65" i="4"/>
  <c r="DK65" i="4"/>
  <c r="DL65" i="4"/>
  <c r="DM65" i="4"/>
  <c r="DN65" i="4"/>
  <c r="DO65" i="4"/>
  <c r="DP65" i="4"/>
  <c r="DQ65" i="4"/>
  <c r="DR65" i="4"/>
  <c r="DS65" i="4"/>
  <c r="DT65" i="4"/>
  <c r="DU65" i="4"/>
  <c r="DV65" i="4"/>
  <c r="DW65" i="4"/>
  <c r="DX65" i="4"/>
  <c r="DY65" i="4"/>
  <c r="DI66" i="4"/>
  <c r="DJ66" i="4"/>
  <c r="DK66" i="4"/>
  <c r="DL66" i="4"/>
  <c r="DM66" i="4"/>
  <c r="DN66" i="4"/>
  <c r="DO66" i="4"/>
  <c r="DP66" i="4"/>
  <c r="DQ66" i="4"/>
  <c r="DR66" i="4"/>
  <c r="DS66" i="4"/>
  <c r="DT66" i="4"/>
  <c r="DU66" i="4"/>
  <c r="DV66" i="4"/>
  <c r="DW66" i="4"/>
  <c r="DX66" i="4"/>
  <c r="DY66" i="4"/>
  <c r="DI67" i="4"/>
  <c r="DJ67" i="4"/>
  <c r="DK67" i="4"/>
  <c r="DL67" i="4"/>
  <c r="DM67" i="4"/>
  <c r="DN67" i="4"/>
  <c r="DO67" i="4"/>
  <c r="DP67" i="4"/>
  <c r="DQ67" i="4"/>
  <c r="DR67" i="4"/>
  <c r="DS67" i="4"/>
  <c r="DT67" i="4"/>
  <c r="DU67" i="4"/>
  <c r="DV67" i="4"/>
  <c r="DW67" i="4"/>
  <c r="DX67" i="4"/>
  <c r="DY67" i="4"/>
  <c r="DI68" i="4"/>
  <c r="DJ68" i="4"/>
  <c r="DK68" i="4"/>
  <c r="DL68" i="4"/>
  <c r="DM68" i="4"/>
  <c r="DN68" i="4"/>
  <c r="DO68" i="4"/>
  <c r="DP68" i="4"/>
  <c r="DQ68" i="4"/>
  <c r="DR68" i="4"/>
  <c r="DS68" i="4"/>
  <c r="DT68" i="4"/>
  <c r="DU68" i="4"/>
  <c r="DV68" i="4"/>
  <c r="DW68" i="4"/>
  <c r="DX68" i="4"/>
  <c r="DY68" i="4"/>
  <c r="DI69" i="4"/>
  <c r="DJ69" i="4"/>
  <c r="DK69" i="4"/>
  <c r="DL69" i="4"/>
  <c r="DM69" i="4"/>
  <c r="DN69" i="4"/>
  <c r="DO69" i="4"/>
  <c r="DP69" i="4"/>
  <c r="DQ69" i="4"/>
  <c r="DR69" i="4"/>
  <c r="DS69" i="4"/>
  <c r="DT69" i="4"/>
  <c r="DU69" i="4"/>
  <c r="DV69" i="4"/>
  <c r="DW69" i="4"/>
  <c r="DX69" i="4"/>
  <c r="DY69" i="4"/>
  <c r="DI70" i="4"/>
  <c r="DJ70" i="4"/>
  <c r="DK70" i="4"/>
  <c r="DL70" i="4"/>
  <c r="DM70" i="4"/>
  <c r="DN70" i="4"/>
  <c r="DO70" i="4"/>
  <c r="DP70" i="4"/>
  <c r="DQ70" i="4"/>
  <c r="DR70" i="4"/>
  <c r="DS70" i="4"/>
  <c r="DT70" i="4"/>
  <c r="DU70" i="4"/>
  <c r="DV70" i="4"/>
  <c r="DW70" i="4"/>
  <c r="DX70" i="4"/>
  <c r="DY70" i="4"/>
  <c r="DI71" i="4"/>
  <c r="DJ71" i="4"/>
  <c r="DK71" i="4"/>
  <c r="DL71" i="4"/>
  <c r="DM71" i="4"/>
  <c r="DN71" i="4"/>
  <c r="DO71" i="4"/>
  <c r="DP71" i="4"/>
  <c r="DQ71" i="4"/>
  <c r="DR71" i="4"/>
  <c r="DS71" i="4"/>
  <c r="DT71" i="4"/>
  <c r="DU71" i="4"/>
  <c r="DV71" i="4"/>
  <c r="DW71" i="4"/>
  <c r="DX71" i="4"/>
  <c r="DY71" i="4"/>
  <c r="DI72" i="4"/>
  <c r="DJ72" i="4"/>
  <c r="DK72" i="4"/>
  <c r="DL72" i="4"/>
  <c r="DM72" i="4"/>
  <c r="DN72" i="4"/>
  <c r="DO72" i="4"/>
  <c r="DP72" i="4"/>
  <c r="DQ72" i="4"/>
  <c r="DR72" i="4"/>
  <c r="DS72" i="4"/>
  <c r="DT72" i="4"/>
  <c r="DU72" i="4"/>
  <c r="DV72" i="4"/>
  <c r="DW72" i="4"/>
  <c r="DX72" i="4"/>
  <c r="DY72" i="4"/>
  <c r="DI73" i="4"/>
  <c r="DJ73" i="4"/>
  <c r="DK73" i="4"/>
  <c r="DL73" i="4"/>
  <c r="DM73" i="4"/>
  <c r="DN73" i="4"/>
  <c r="DO73" i="4"/>
  <c r="DP73" i="4"/>
  <c r="DQ73" i="4"/>
  <c r="DR73" i="4"/>
  <c r="DS73" i="4"/>
  <c r="DT73" i="4"/>
  <c r="DU73" i="4"/>
  <c r="DV73" i="4"/>
  <c r="DW73" i="4"/>
  <c r="DX73" i="4"/>
  <c r="DY73" i="4"/>
  <c r="DI74" i="4"/>
  <c r="DJ74" i="4"/>
  <c r="DK74" i="4"/>
  <c r="DL74" i="4"/>
  <c r="DM74" i="4"/>
  <c r="DN74" i="4"/>
  <c r="DO74" i="4"/>
  <c r="DP74" i="4"/>
  <c r="DQ74" i="4"/>
  <c r="DR74" i="4"/>
  <c r="DS74" i="4"/>
  <c r="DT74" i="4"/>
  <c r="DU74" i="4"/>
  <c r="DV74" i="4"/>
  <c r="DW74" i="4"/>
  <c r="DX74" i="4"/>
  <c r="DY74" i="4"/>
  <c r="DI75" i="4"/>
  <c r="DJ75" i="4"/>
  <c r="DK75" i="4"/>
  <c r="DL75" i="4"/>
  <c r="DM75" i="4"/>
  <c r="DN75" i="4"/>
  <c r="DO75" i="4"/>
  <c r="DP75" i="4"/>
  <c r="DQ75" i="4"/>
  <c r="DR75" i="4"/>
  <c r="DS75" i="4"/>
  <c r="DT75" i="4"/>
  <c r="DU75" i="4"/>
  <c r="DV75" i="4"/>
  <c r="DW75" i="4"/>
  <c r="DX75" i="4"/>
  <c r="DY75" i="4"/>
  <c r="DI76" i="4"/>
  <c r="DJ76" i="4"/>
  <c r="DK76" i="4"/>
  <c r="DL76" i="4"/>
  <c r="DM76" i="4"/>
  <c r="DN76" i="4"/>
  <c r="DO76" i="4"/>
  <c r="DP76" i="4"/>
  <c r="DQ76" i="4"/>
  <c r="DR76" i="4"/>
  <c r="DS76" i="4"/>
  <c r="DT76" i="4"/>
  <c r="DU76" i="4"/>
  <c r="DV76" i="4"/>
  <c r="DW76" i="4"/>
  <c r="DX76" i="4"/>
  <c r="DY76" i="4"/>
  <c r="DI77" i="4"/>
  <c r="DJ77" i="4"/>
  <c r="DK77" i="4"/>
  <c r="DL77" i="4"/>
  <c r="DM77" i="4"/>
  <c r="DN77" i="4"/>
  <c r="DO77" i="4"/>
  <c r="DP77" i="4"/>
  <c r="DQ77" i="4"/>
  <c r="DR77" i="4"/>
  <c r="DS77" i="4"/>
  <c r="DT77" i="4"/>
  <c r="DU77" i="4"/>
  <c r="DV77" i="4"/>
  <c r="DW77" i="4"/>
  <c r="DX77" i="4"/>
  <c r="DY77" i="4"/>
  <c r="DI78" i="4"/>
  <c r="DJ78" i="4"/>
  <c r="DK78" i="4"/>
  <c r="DL78" i="4"/>
  <c r="DM78" i="4"/>
  <c r="DN78" i="4"/>
  <c r="DO78" i="4"/>
  <c r="DP78" i="4"/>
  <c r="DQ78" i="4"/>
  <c r="DR78" i="4"/>
  <c r="DS78" i="4"/>
  <c r="DT78" i="4"/>
  <c r="DU78" i="4"/>
  <c r="DV78" i="4"/>
  <c r="DW78" i="4"/>
  <c r="DX78" i="4"/>
  <c r="DY78" i="4"/>
  <c r="DI79" i="4"/>
  <c r="DJ79" i="4"/>
  <c r="DK79" i="4"/>
  <c r="DL79" i="4"/>
  <c r="DM79" i="4"/>
  <c r="DN79" i="4"/>
  <c r="DO79" i="4"/>
  <c r="DP79" i="4"/>
  <c r="DQ79" i="4"/>
  <c r="DR79" i="4"/>
  <c r="DS79" i="4"/>
  <c r="DT79" i="4"/>
  <c r="DU79" i="4"/>
  <c r="DV79" i="4"/>
  <c r="DW79" i="4"/>
  <c r="DX79" i="4"/>
  <c r="DY79" i="4"/>
  <c r="DI80" i="4"/>
  <c r="DJ80" i="4"/>
  <c r="DK80" i="4"/>
  <c r="DL80" i="4"/>
  <c r="DM80" i="4"/>
  <c r="DN80" i="4"/>
  <c r="DO80" i="4"/>
  <c r="DP80" i="4"/>
  <c r="DQ80" i="4"/>
  <c r="DR80" i="4"/>
  <c r="DS80" i="4"/>
  <c r="DT80" i="4"/>
  <c r="DU80" i="4"/>
  <c r="DV80" i="4"/>
  <c r="DW80" i="4"/>
  <c r="DX80" i="4"/>
  <c r="DY80" i="4"/>
  <c r="DI81" i="4"/>
  <c r="DJ81" i="4"/>
  <c r="DK81" i="4"/>
  <c r="DL81" i="4"/>
  <c r="DM81" i="4"/>
  <c r="DN81" i="4"/>
  <c r="DO81" i="4"/>
  <c r="DP81" i="4"/>
  <c r="DQ81" i="4"/>
  <c r="DR81" i="4"/>
  <c r="DS81" i="4"/>
  <c r="DT81" i="4"/>
  <c r="DU81" i="4"/>
  <c r="DV81" i="4"/>
  <c r="DW81" i="4"/>
  <c r="DX81" i="4"/>
  <c r="DY81" i="4"/>
  <c r="DI82" i="4"/>
  <c r="DJ82" i="4"/>
  <c r="DK82" i="4"/>
  <c r="DL82" i="4"/>
  <c r="DM82" i="4"/>
  <c r="DN82" i="4"/>
  <c r="DO82" i="4"/>
  <c r="DP82" i="4"/>
  <c r="DQ82" i="4"/>
  <c r="DR82" i="4"/>
  <c r="DS82" i="4"/>
  <c r="DT82" i="4"/>
  <c r="DU82" i="4"/>
  <c r="DV82" i="4"/>
  <c r="DW82" i="4"/>
  <c r="DX82" i="4"/>
  <c r="DY82" i="4"/>
  <c r="DI83" i="4"/>
  <c r="DJ83" i="4"/>
  <c r="DK83" i="4"/>
  <c r="DL83" i="4"/>
  <c r="DM83" i="4"/>
  <c r="DN83" i="4"/>
  <c r="DO83" i="4"/>
  <c r="DP83" i="4"/>
  <c r="DQ83" i="4"/>
  <c r="DR83" i="4"/>
  <c r="DS83" i="4"/>
  <c r="DT83" i="4"/>
  <c r="DU83" i="4"/>
  <c r="DV83" i="4"/>
  <c r="DW83" i="4"/>
  <c r="DX83" i="4"/>
  <c r="DY83" i="4"/>
  <c r="DI84" i="4"/>
  <c r="DJ84" i="4"/>
  <c r="DK84" i="4"/>
  <c r="DL84" i="4"/>
  <c r="DM84" i="4"/>
  <c r="DN84" i="4"/>
  <c r="DO84" i="4"/>
  <c r="DP84" i="4"/>
  <c r="DQ84" i="4"/>
  <c r="DR84" i="4"/>
  <c r="DS84" i="4"/>
  <c r="DT84" i="4"/>
  <c r="DU84" i="4"/>
  <c r="DV84" i="4"/>
  <c r="DW84" i="4"/>
  <c r="DX84" i="4"/>
  <c r="DY84" i="4"/>
  <c r="DI85" i="4"/>
  <c r="DJ85" i="4"/>
  <c r="DK85" i="4"/>
  <c r="DL85" i="4"/>
  <c r="DM85" i="4"/>
  <c r="DN85" i="4"/>
  <c r="DO85" i="4"/>
  <c r="DP85" i="4"/>
  <c r="DQ85" i="4"/>
  <c r="DR85" i="4"/>
  <c r="DS85" i="4"/>
  <c r="DT85" i="4"/>
  <c r="DU85" i="4"/>
  <c r="DV85" i="4"/>
  <c r="DW85" i="4"/>
  <c r="DX85" i="4"/>
  <c r="DY85" i="4"/>
  <c r="DI86" i="4"/>
  <c r="DJ86" i="4"/>
  <c r="DK86" i="4"/>
  <c r="DL86" i="4"/>
  <c r="DM86" i="4"/>
  <c r="DN86" i="4"/>
  <c r="DO86" i="4"/>
  <c r="DP86" i="4"/>
  <c r="DQ86" i="4"/>
  <c r="DR86" i="4"/>
  <c r="DS86" i="4"/>
  <c r="DT86" i="4"/>
  <c r="DU86" i="4"/>
  <c r="DV86" i="4"/>
  <c r="DW86" i="4"/>
  <c r="DX86" i="4"/>
  <c r="DY86" i="4"/>
  <c r="DI87" i="4"/>
  <c r="DJ87" i="4"/>
  <c r="DK87" i="4"/>
  <c r="DL87" i="4"/>
  <c r="DM87" i="4"/>
  <c r="DN87" i="4"/>
  <c r="DO87" i="4"/>
  <c r="DP87" i="4"/>
  <c r="DQ87" i="4"/>
  <c r="DR87" i="4"/>
  <c r="DS87" i="4"/>
  <c r="DT87" i="4"/>
  <c r="DU87" i="4"/>
  <c r="DV87" i="4"/>
  <c r="DW87" i="4"/>
  <c r="DX87" i="4"/>
  <c r="DY87" i="4"/>
  <c r="DI88" i="4"/>
  <c r="DJ88" i="4"/>
  <c r="DK88" i="4"/>
  <c r="DL88" i="4"/>
  <c r="DM88" i="4"/>
  <c r="DN88" i="4"/>
  <c r="DO88" i="4"/>
  <c r="DP88" i="4"/>
  <c r="DQ88" i="4"/>
  <c r="DR88" i="4"/>
  <c r="DS88" i="4"/>
  <c r="DT88" i="4"/>
  <c r="DU88" i="4"/>
  <c r="DV88" i="4"/>
  <c r="DW88" i="4"/>
  <c r="DX88" i="4"/>
  <c r="DY88" i="4"/>
  <c r="DI89" i="4"/>
  <c r="DJ89" i="4"/>
  <c r="DK89" i="4"/>
  <c r="DL89" i="4"/>
  <c r="DM89" i="4"/>
  <c r="DN89" i="4"/>
  <c r="DO89" i="4"/>
  <c r="DP89" i="4"/>
  <c r="DQ89" i="4"/>
  <c r="DR89" i="4"/>
  <c r="DS89" i="4"/>
  <c r="DT89" i="4"/>
  <c r="DU89" i="4"/>
  <c r="DV89" i="4"/>
  <c r="DW89" i="4"/>
  <c r="DX89" i="4"/>
  <c r="DY89" i="4"/>
  <c r="DI90" i="4"/>
  <c r="DJ90" i="4"/>
  <c r="DK90" i="4"/>
  <c r="DL90" i="4"/>
  <c r="DM90" i="4"/>
  <c r="DN90" i="4"/>
  <c r="DO90" i="4"/>
  <c r="DP90" i="4"/>
  <c r="DQ90" i="4"/>
  <c r="DR90" i="4"/>
  <c r="DS90" i="4"/>
  <c r="DT90" i="4"/>
  <c r="DU90" i="4"/>
  <c r="DV90" i="4"/>
  <c r="DW90" i="4"/>
  <c r="DX90" i="4"/>
  <c r="DY90" i="4"/>
  <c r="DI91" i="4"/>
  <c r="DJ91" i="4"/>
  <c r="DK91" i="4"/>
  <c r="DL91" i="4"/>
  <c r="DM91" i="4"/>
  <c r="DN91" i="4"/>
  <c r="DO91" i="4"/>
  <c r="DP91" i="4"/>
  <c r="DQ91" i="4"/>
  <c r="DR91" i="4"/>
  <c r="DS91" i="4"/>
  <c r="DT91" i="4"/>
  <c r="DU91" i="4"/>
  <c r="DV91" i="4"/>
  <c r="DW91" i="4"/>
  <c r="DX91" i="4"/>
  <c r="DY91" i="4"/>
  <c r="DI92" i="4"/>
  <c r="DJ92" i="4"/>
  <c r="DK92" i="4"/>
  <c r="DL92" i="4"/>
  <c r="DM92" i="4"/>
  <c r="DN92" i="4"/>
  <c r="DO92" i="4"/>
  <c r="DP92" i="4"/>
  <c r="DQ92" i="4"/>
  <c r="DR92" i="4"/>
  <c r="DS92" i="4"/>
  <c r="DT92" i="4"/>
  <c r="DU92" i="4"/>
  <c r="DV92" i="4"/>
  <c r="DW92" i="4"/>
  <c r="DX92" i="4"/>
  <c r="DY92" i="4"/>
  <c r="DI93" i="4"/>
  <c r="DJ93" i="4"/>
  <c r="DK93" i="4"/>
  <c r="DL93" i="4"/>
  <c r="DM93" i="4"/>
  <c r="DN93" i="4"/>
  <c r="DO93" i="4"/>
  <c r="DP93" i="4"/>
  <c r="DQ93" i="4"/>
  <c r="DR93" i="4"/>
  <c r="DS93" i="4"/>
  <c r="DT93" i="4"/>
  <c r="DU93" i="4"/>
  <c r="DV93" i="4"/>
  <c r="DW93" i="4"/>
  <c r="DX93" i="4"/>
  <c r="DY93" i="4"/>
  <c r="DI94" i="4"/>
  <c r="DJ94" i="4"/>
  <c r="DK94" i="4"/>
  <c r="DL94" i="4"/>
  <c r="DM94" i="4"/>
  <c r="DN94" i="4"/>
  <c r="DO94" i="4"/>
  <c r="DP94" i="4"/>
  <c r="DQ94" i="4"/>
  <c r="DR94" i="4"/>
  <c r="DS94" i="4"/>
  <c r="DT94" i="4"/>
  <c r="DU94" i="4"/>
  <c r="DV94" i="4"/>
  <c r="DW94" i="4"/>
  <c r="DX94" i="4"/>
  <c r="DY94" i="4"/>
  <c r="DI95" i="4"/>
  <c r="DJ95" i="4"/>
  <c r="DK95" i="4"/>
  <c r="DL95" i="4"/>
  <c r="DM95" i="4"/>
  <c r="DN95" i="4"/>
  <c r="DO95" i="4"/>
  <c r="DP95" i="4"/>
  <c r="DQ95" i="4"/>
  <c r="DR95" i="4"/>
  <c r="DS95" i="4"/>
  <c r="DT95" i="4"/>
  <c r="DU95" i="4"/>
  <c r="DV95" i="4"/>
  <c r="DW95" i="4"/>
  <c r="DX95" i="4"/>
  <c r="DY95" i="4"/>
  <c r="DI96" i="4"/>
  <c r="DJ96" i="4"/>
  <c r="DK96" i="4"/>
  <c r="DL96" i="4"/>
  <c r="DM96" i="4"/>
  <c r="DN96" i="4"/>
  <c r="DO96" i="4"/>
  <c r="DP96" i="4"/>
  <c r="DQ96" i="4"/>
  <c r="DR96" i="4"/>
  <c r="DS96" i="4"/>
  <c r="DT96" i="4"/>
  <c r="DU96" i="4"/>
  <c r="DV96" i="4"/>
  <c r="DW96" i="4"/>
  <c r="DX96" i="4"/>
  <c r="DY96" i="4"/>
  <c r="DI97" i="4"/>
  <c r="DJ97" i="4"/>
  <c r="DK97" i="4"/>
  <c r="DL97" i="4"/>
  <c r="DM97" i="4"/>
  <c r="DN97" i="4"/>
  <c r="DO97" i="4"/>
  <c r="DP97" i="4"/>
  <c r="DQ97" i="4"/>
  <c r="DR97" i="4"/>
  <c r="DS97" i="4"/>
  <c r="DT97" i="4"/>
  <c r="DU97" i="4"/>
  <c r="DV97" i="4"/>
  <c r="DW97" i="4"/>
  <c r="DX97" i="4"/>
  <c r="DY97" i="4"/>
  <c r="DI98" i="4"/>
  <c r="DJ98" i="4"/>
  <c r="DK98" i="4"/>
  <c r="DL98" i="4"/>
  <c r="DM98" i="4"/>
  <c r="DN98" i="4"/>
  <c r="DO98" i="4"/>
  <c r="DP98" i="4"/>
  <c r="DQ98" i="4"/>
  <c r="DR98" i="4"/>
  <c r="DS98" i="4"/>
  <c r="DT98" i="4"/>
  <c r="DU98" i="4"/>
  <c r="DV98" i="4"/>
  <c r="DW98" i="4"/>
  <c r="DX98" i="4"/>
  <c r="DY98" i="4"/>
  <c r="DI99" i="4"/>
  <c r="DJ99" i="4"/>
  <c r="DK99" i="4"/>
  <c r="DL99" i="4"/>
  <c r="DM99" i="4"/>
  <c r="DN99" i="4"/>
  <c r="DO99" i="4"/>
  <c r="DP99" i="4"/>
  <c r="DQ99" i="4"/>
  <c r="DR99" i="4"/>
  <c r="DS99" i="4"/>
  <c r="DT99" i="4"/>
  <c r="DU99" i="4"/>
  <c r="DV99" i="4"/>
  <c r="DW99" i="4"/>
  <c r="DX99" i="4"/>
  <c r="DY99" i="4"/>
  <c r="DI100" i="4"/>
  <c r="DJ100" i="4"/>
  <c r="DK100" i="4"/>
  <c r="DL100" i="4"/>
  <c r="DM100" i="4"/>
  <c r="DN100" i="4"/>
  <c r="DO100" i="4"/>
  <c r="DP100" i="4"/>
  <c r="DQ100" i="4"/>
  <c r="DR100" i="4"/>
  <c r="DS100" i="4"/>
  <c r="DT100" i="4"/>
  <c r="DU100" i="4"/>
  <c r="DV100" i="4"/>
  <c r="DW100" i="4"/>
  <c r="DX100" i="4"/>
  <c r="DY100" i="4"/>
  <c r="DI101" i="4"/>
  <c r="DJ101" i="4"/>
  <c r="DK101" i="4"/>
  <c r="DL101" i="4"/>
  <c r="DM101" i="4"/>
  <c r="DN101" i="4"/>
  <c r="DO101" i="4"/>
  <c r="DP101" i="4"/>
  <c r="DQ101" i="4"/>
  <c r="DR101" i="4"/>
  <c r="DS101" i="4"/>
  <c r="DT101" i="4"/>
  <c r="DU101" i="4"/>
  <c r="DV101" i="4"/>
  <c r="DW101" i="4"/>
  <c r="DX101" i="4"/>
  <c r="DY101" i="4"/>
  <c r="DI102" i="4"/>
  <c r="DJ102" i="4"/>
  <c r="DK102" i="4"/>
  <c r="DL102" i="4"/>
  <c r="DM102" i="4"/>
  <c r="DN102" i="4"/>
  <c r="DO102" i="4"/>
  <c r="DP102" i="4"/>
  <c r="DQ102" i="4"/>
  <c r="DR102" i="4"/>
  <c r="DS102" i="4"/>
  <c r="DT102" i="4"/>
  <c r="DU102" i="4"/>
  <c r="DV102" i="4"/>
  <c r="DW102" i="4"/>
  <c r="DX102" i="4"/>
  <c r="DY102" i="4"/>
  <c r="DI103" i="4"/>
  <c r="DJ103" i="4"/>
  <c r="DK103" i="4"/>
  <c r="DL103" i="4"/>
  <c r="DM103" i="4"/>
  <c r="DN103" i="4"/>
  <c r="DO103" i="4"/>
  <c r="DP103" i="4"/>
  <c r="DQ103" i="4"/>
  <c r="DR103" i="4"/>
  <c r="DS103" i="4"/>
  <c r="DT103" i="4"/>
  <c r="DU103" i="4"/>
  <c r="DV103" i="4"/>
  <c r="DW103" i="4"/>
  <c r="DX103" i="4"/>
  <c r="DY103" i="4"/>
  <c r="DI104" i="4"/>
  <c r="DJ104" i="4"/>
  <c r="DK104" i="4"/>
  <c r="DL104" i="4"/>
  <c r="DM104" i="4"/>
  <c r="DN104" i="4"/>
  <c r="DO104" i="4"/>
  <c r="DP104" i="4"/>
  <c r="DQ104" i="4"/>
  <c r="DR104" i="4"/>
  <c r="DS104" i="4"/>
  <c r="DT104" i="4"/>
  <c r="DU104" i="4"/>
  <c r="DV104" i="4"/>
  <c r="DW104" i="4"/>
  <c r="DX104" i="4"/>
  <c r="DY104" i="4"/>
  <c r="DI105" i="4"/>
  <c r="DJ105" i="4"/>
  <c r="DK105" i="4"/>
  <c r="DL105" i="4"/>
  <c r="DM105" i="4"/>
  <c r="DN105" i="4"/>
  <c r="DO105" i="4"/>
  <c r="DP105" i="4"/>
  <c r="DQ105" i="4"/>
  <c r="DR105" i="4"/>
  <c r="DS105" i="4"/>
  <c r="DT105" i="4"/>
  <c r="DU105" i="4"/>
  <c r="DV105" i="4"/>
  <c r="DW105" i="4"/>
  <c r="DX105" i="4"/>
  <c r="DY105" i="4"/>
  <c r="DI106" i="4"/>
  <c r="DJ106" i="4"/>
  <c r="DK106" i="4"/>
  <c r="DL106" i="4"/>
  <c r="DM106" i="4"/>
  <c r="DN106" i="4"/>
  <c r="DO106" i="4"/>
  <c r="DP106" i="4"/>
  <c r="DQ106" i="4"/>
  <c r="DR106" i="4"/>
  <c r="DS106" i="4"/>
  <c r="DT106" i="4"/>
  <c r="DU106" i="4"/>
  <c r="DV106" i="4"/>
  <c r="DW106" i="4"/>
  <c r="DX106" i="4"/>
  <c r="DY106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DY7" i="4"/>
  <c r="DI7" i="4"/>
  <c r="CN8" i="4"/>
  <c r="CO8" i="4"/>
  <c r="CP8" i="4"/>
  <c r="CQ8" i="4"/>
  <c r="CR8" i="4"/>
  <c r="CS8" i="4"/>
  <c r="CT8" i="4"/>
  <c r="CU8" i="4"/>
  <c r="CV8" i="4"/>
  <c r="CW8" i="4"/>
  <c r="CX8" i="4"/>
  <c r="CY8" i="4"/>
  <c r="CZ8" i="4"/>
  <c r="DA8" i="4"/>
  <c r="DB8" i="4"/>
  <c r="DC8" i="4"/>
  <c r="DD8" i="4"/>
  <c r="DE8" i="4"/>
  <c r="DF8" i="4"/>
  <c r="DG8" i="4"/>
  <c r="CN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CN10" i="4"/>
  <c r="CO10" i="4"/>
  <c r="CP10" i="4"/>
  <c r="CQ10" i="4"/>
  <c r="CR10" i="4"/>
  <c r="CS10" i="4"/>
  <c r="CT10" i="4"/>
  <c r="CU10" i="4"/>
  <c r="CV10" i="4"/>
  <c r="CW10" i="4"/>
  <c r="CX10" i="4"/>
  <c r="CY10" i="4"/>
  <c r="CZ10" i="4"/>
  <c r="DA10" i="4"/>
  <c r="DB10" i="4"/>
  <c r="DC10" i="4"/>
  <c r="DD10" i="4"/>
  <c r="DE10" i="4"/>
  <c r="DF10" i="4"/>
  <c r="DG10" i="4"/>
  <c r="CN11" i="4"/>
  <c r="CO11" i="4"/>
  <c r="CP11" i="4"/>
  <c r="CQ11" i="4"/>
  <c r="CR11" i="4"/>
  <c r="CS11" i="4"/>
  <c r="CT11" i="4"/>
  <c r="CU11" i="4"/>
  <c r="CV11" i="4"/>
  <c r="CW11" i="4"/>
  <c r="CX11" i="4"/>
  <c r="CY11" i="4"/>
  <c r="CZ11" i="4"/>
  <c r="DA11" i="4"/>
  <c r="DB11" i="4"/>
  <c r="DC11" i="4"/>
  <c r="DD11" i="4"/>
  <c r="DE11" i="4"/>
  <c r="DF11" i="4"/>
  <c r="DG11" i="4"/>
  <c r="CN12" i="4"/>
  <c r="CO12" i="4"/>
  <c r="CP12" i="4"/>
  <c r="CQ12" i="4"/>
  <c r="CR12" i="4"/>
  <c r="CS12" i="4"/>
  <c r="CT12" i="4"/>
  <c r="CU12" i="4"/>
  <c r="CV12" i="4"/>
  <c r="CW12" i="4"/>
  <c r="CX12" i="4"/>
  <c r="CY12" i="4"/>
  <c r="CZ12" i="4"/>
  <c r="DA12" i="4"/>
  <c r="DB12" i="4"/>
  <c r="DC12" i="4"/>
  <c r="DD12" i="4"/>
  <c r="DE12" i="4"/>
  <c r="DF12" i="4"/>
  <c r="DG12" i="4"/>
  <c r="CN13" i="4"/>
  <c r="CO13" i="4"/>
  <c r="CP13" i="4"/>
  <c r="CQ13" i="4"/>
  <c r="CR13" i="4"/>
  <c r="CS13" i="4"/>
  <c r="CT13" i="4"/>
  <c r="CU13" i="4"/>
  <c r="CV13" i="4"/>
  <c r="CW13" i="4"/>
  <c r="CX13" i="4"/>
  <c r="CY13" i="4"/>
  <c r="CZ13" i="4"/>
  <c r="DA13" i="4"/>
  <c r="DB13" i="4"/>
  <c r="DC13" i="4"/>
  <c r="DD13" i="4"/>
  <c r="DE13" i="4"/>
  <c r="DF13" i="4"/>
  <c r="DG13" i="4"/>
  <c r="CN14" i="4"/>
  <c r="CO14" i="4"/>
  <c r="CP14" i="4"/>
  <c r="CQ14" i="4"/>
  <c r="CR14" i="4"/>
  <c r="CS14" i="4"/>
  <c r="CT14" i="4"/>
  <c r="CU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CN15" i="4"/>
  <c r="CO15" i="4"/>
  <c r="CP15" i="4"/>
  <c r="CQ15" i="4"/>
  <c r="CR15" i="4"/>
  <c r="CS15" i="4"/>
  <c r="CT15" i="4"/>
  <c r="CU15" i="4"/>
  <c r="CV15" i="4"/>
  <c r="CW15" i="4"/>
  <c r="CX15" i="4"/>
  <c r="CY15" i="4"/>
  <c r="CZ15" i="4"/>
  <c r="DA15" i="4"/>
  <c r="DB15" i="4"/>
  <c r="DC15" i="4"/>
  <c r="DD15" i="4"/>
  <c r="DE15" i="4"/>
  <c r="DF15" i="4"/>
  <c r="DG15" i="4"/>
  <c r="CN16" i="4"/>
  <c r="CO16" i="4"/>
  <c r="CP16" i="4"/>
  <c r="CQ16" i="4"/>
  <c r="CR16" i="4"/>
  <c r="CS16" i="4"/>
  <c r="CT16" i="4"/>
  <c r="CU16" i="4"/>
  <c r="CV16" i="4"/>
  <c r="CW16" i="4"/>
  <c r="CX16" i="4"/>
  <c r="CY16" i="4"/>
  <c r="CZ16" i="4"/>
  <c r="DA16" i="4"/>
  <c r="DB16" i="4"/>
  <c r="DC16" i="4"/>
  <c r="DD16" i="4"/>
  <c r="DE16" i="4"/>
  <c r="DF16" i="4"/>
  <c r="DG16" i="4"/>
  <c r="CN17" i="4"/>
  <c r="CO17" i="4"/>
  <c r="CP17" i="4"/>
  <c r="CQ17" i="4"/>
  <c r="CR17" i="4"/>
  <c r="CS17" i="4"/>
  <c r="CT17" i="4"/>
  <c r="CU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CN18" i="4"/>
  <c r="CO18" i="4"/>
  <c r="CP18" i="4"/>
  <c r="CQ18" i="4"/>
  <c r="CR18" i="4"/>
  <c r="CS18" i="4"/>
  <c r="CT18" i="4"/>
  <c r="CU18" i="4"/>
  <c r="CV18" i="4"/>
  <c r="CW18" i="4"/>
  <c r="CX18" i="4"/>
  <c r="CY18" i="4"/>
  <c r="CZ18" i="4"/>
  <c r="DA18" i="4"/>
  <c r="DB18" i="4"/>
  <c r="DC18" i="4"/>
  <c r="DD18" i="4"/>
  <c r="DE18" i="4"/>
  <c r="DF18" i="4"/>
  <c r="DG18" i="4"/>
  <c r="CN19" i="4"/>
  <c r="CO19" i="4"/>
  <c r="CP19" i="4"/>
  <c r="CQ19" i="4"/>
  <c r="CR19" i="4"/>
  <c r="CS19" i="4"/>
  <c r="CT19" i="4"/>
  <c r="CU19" i="4"/>
  <c r="CV19" i="4"/>
  <c r="CW19" i="4"/>
  <c r="CX19" i="4"/>
  <c r="CY19" i="4"/>
  <c r="CZ19" i="4"/>
  <c r="DA19" i="4"/>
  <c r="DB19" i="4"/>
  <c r="DC19" i="4"/>
  <c r="DD19" i="4"/>
  <c r="DE19" i="4"/>
  <c r="DF19" i="4"/>
  <c r="DG19" i="4"/>
  <c r="CN20" i="4"/>
  <c r="CO20" i="4"/>
  <c r="CP20" i="4"/>
  <c r="CQ20" i="4"/>
  <c r="CR20" i="4"/>
  <c r="CS20" i="4"/>
  <c r="CT20" i="4"/>
  <c r="CU20" i="4"/>
  <c r="CV20" i="4"/>
  <c r="CW20" i="4"/>
  <c r="CX20" i="4"/>
  <c r="CY20" i="4"/>
  <c r="CZ20" i="4"/>
  <c r="DA20" i="4"/>
  <c r="DB20" i="4"/>
  <c r="DC20" i="4"/>
  <c r="DD20" i="4"/>
  <c r="DE20" i="4"/>
  <c r="DF20" i="4"/>
  <c r="DG20" i="4"/>
  <c r="CN21" i="4"/>
  <c r="CO21" i="4"/>
  <c r="CP21" i="4"/>
  <c r="CQ21" i="4"/>
  <c r="CR21" i="4"/>
  <c r="CS21" i="4"/>
  <c r="CT21" i="4"/>
  <c r="CU21" i="4"/>
  <c r="CV21" i="4"/>
  <c r="CW21" i="4"/>
  <c r="CX21" i="4"/>
  <c r="CY21" i="4"/>
  <c r="CZ21" i="4"/>
  <c r="DA21" i="4"/>
  <c r="DB21" i="4"/>
  <c r="DC21" i="4"/>
  <c r="DD21" i="4"/>
  <c r="DE21" i="4"/>
  <c r="DF21" i="4"/>
  <c r="DG21" i="4"/>
  <c r="CN22" i="4"/>
  <c r="CO22" i="4"/>
  <c r="CP22" i="4"/>
  <c r="CQ22" i="4"/>
  <c r="CR22" i="4"/>
  <c r="CS22" i="4"/>
  <c r="CT22" i="4"/>
  <c r="CU22" i="4"/>
  <c r="CV22" i="4"/>
  <c r="CW22" i="4"/>
  <c r="CX22" i="4"/>
  <c r="CY22" i="4"/>
  <c r="CZ22" i="4"/>
  <c r="DA22" i="4"/>
  <c r="DB22" i="4"/>
  <c r="DC22" i="4"/>
  <c r="DD22" i="4"/>
  <c r="DE22" i="4"/>
  <c r="DF22" i="4"/>
  <c r="DG22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DD23" i="4"/>
  <c r="DE23" i="4"/>
  <c r="DF23" i="4"/>
  <c r="DG23" i="4"/>
  <c r="CN24" i="4"/>
  <c r="CO24" i="4"/>
  <c r="CP24" i="4"/>
  <c r="CQ24" i="4"/>
  <c r="CR24" i="4"/>
  <c r="CS24" i="4"/>
  <c r="CT24" i="4"/>
  <c r="CU24" i="4"/>
  <c r="CV24" i="4"/>
  <c r="CW24" i="4"/>
  <c r="CX24" i="4"/>
  <c r="CY24" i="4"/>
  <c r="CZ24" i="4"/>
  <c r="DA24" i="4"/>
  <c r="DB24" i="4"/>
  <c r="DC24" i="4"/>
  <c r="DD24" i="4"/>
  <c r="DE24" i="4"/>
  <c r="DF24" i="4"/>
  <c r="DG24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DD25" i="4"/>
  <c r="DE25" i="4"/>
  <c r="DF25" i="4"/>
  <c r="DG25" i="4"/>
  <c r="CN26" i="4"/>
  <c r="CO26" i="4"/>
  <c r="CP26" i="4"/>
  <c r="CQ26" i="4"/>
  <c r="CR26" i="4"/>
  <c r="CS26" i="4"/>
  <c r="CT26" i="4"/>
  <c r="CU26" i="4"/>
  <c r="CV26" i="4"/>
  <c r="CW26" i="4"/>
  <c r="CX26" i="4"/>
  <c r="CY26" i="4"/>
  <c r="CZ26" i="4"/>
  <c r="DA26" i="4"/>
  <c r="DB26" i="4"/>
  <c r="DC26" i="4"/>
  <c r="DD26" i="4"/>
  <c r="DE26" i="4"/>
  <c r="DF26" i="4"/>
  <c r="DG26" i="4"/>
  <c r="CN27" i="4"/>
  <c r="CO27" i="4"/>
  <c r="CP27" i="4"/>
  <c r="CQ27" i="4"/>
  <c r="CR27" i="4"/>
  <c r="CS27" i="4"/>
  <c r="CT27" i="4"/>
  <c r="CU27" i="4"/>
  <c r="CV27" i="4"/>
  <c r="CW27" i="4"/>
  <c r="CX27" i="4"/>
  <c r="CY27" i="4"/>
  <c r="CZ27" i="4"/>
  <c r="DA27" i="4"/>
  <c r="DB27" i="4"/>
  <c r="DC27" i="4"/>
  <c r="DD27" i="4"/>
  <c r="DE27" i="4"/>
  <c r="DF27" i="4"/>
  <c r="DG27" i="4"/>
  <c r="CN28" i="4"/>
  <c r="CO28" i="4"/>
  <c r="CP28" i="4"/>
  <c r="CQ28" i="4"/>
  <c r="CR28" i="4"/>
  <c r="CS28" i="4"/>
  <c r="CT28" i="4"/>
  <c r="CU28" i="4"/>
  <c r="CV28" i="4"/>
  <c r="CW28" i="4"/>
  <c r="CX28" i="4"/>
  <c r="CY28" i="4"/>
  <c r="CZ28" i="4"/>
  <c r="DA28" i="4"/>
  <c r="DB28" i="4"/>
  <c r="DC28" i="4"/>
  <c r="DD28" i="4"/>
  <c r="DE28" i="4"/>
  <c r="DF28" i="4"/>
  <c r="DG28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DD29" i="4"/>
  <c r="DE29" i="4"/>
  <c r="DF29" i="4"/>
  <c r="DG29" i="4"/>
  <c r="CN30" i="4"/>
  <c r="CO30" i="4"/>
  <c r="CP30" i="4"/>
  <c r="CQ30" i="4"/>
  <c r="CR30" i="4"/>
  <c r="CS30" i="4"/>
  <c r="CT30" i="4"/>
  <c r="CU30" i="4"/>
  <c r="CV30" i="4"/>
  <c r="CW30" i="4"/>
  <c r="CX30" i="4"/>
  <c r="CY30" i="4"/>
  <c r="CZ30" i="4"/>
  <c r="DA30" i="4"/>
  <c r="DB30" i="4"/>
  <c r="DC30" i="4"/>
  <c r="DD30" i="4"/>
  <c r="DE30" i="4"/>
  <c r="DF30" i="4"/>
  <c r="DG30" i="4"/>
  <c r="CN31" i="4"/>
  <c r="CO31" i="4"/>
  <c r="CP31" i="4"/>
  <c r="CQ31" i="4"/>
  <c r="CR31" i="4"/>
  <c r="CS31" i="4"/>
  <c r="CT31" i="4"/>
  <c r="CU31" i="4"/>
  <c r="CV31" i="4"/>
  <c r="CW31" i="4"/>
  <c r="CX31" i="4"/>
  <c r="CY31" i="4"/>
  <c r="CZ31" i="4"/>
  <c r="DA31" i="4"/>
  <c r="DB31" i="4"/>
  <c r="DC31" i="4"/>
  <c r="DD31" i="4"/>
  <c r="DE31" i="4"/>
  <c r="DF31" i="4"/>
  <c r="DG31" i="4"/>
  <c r="CN32" i="4"/>
  <c r="CO32" i="4"/>
  <c r="CP32" i="4"/>
  <c r="CQ32" i="4"/>
  <c r="CR32" i="4"/>
  <c r="CS32" i="4"/>
  <c r="CT32" i="4"/>
  <c r="CU32" i="4"/>
  <c r="CV32" i="4"/>
  <c r="CW32" i="4"/>
  <c r="CX32" i="4"/>
  <c r="CY32" i="4"/>
  <c r="CZ32" i="4"/>
  <c r="DA32" i="4"/>
  <c r="DB32" i="4"/>
  <c r="DC32" i="4"/>
  <c r="DD32" i="4"/>
  <c r="DE32" i="4"/>
  <c r="DF32" i="4"/>
  <c r="DG32" i="4"/>
  <c r="CN33" i="4"/>
  <c r="CO33" i="4"/>
  <c r="CP33" i="4"/>
  <c r="CQ33" i="4"/>
  <c r="CR33" i="4"/>
  <c r="CS33" i="4"/>
  <c r="CT33" i="4"/>
  <c r="CU33" i="4"/>
  <c r="CV33" i="4"/>
  <c r="CW33" i="4"/>
  <c r="CX33" i="4"/>
  <c r="CY33" i="4"/>
  <c r="CZ33" i="4"/>
  <c r="DA33" i="4"/>
  <c r="DB33" i="4"/>
  <c r="DC33" i="4"/>
  <c r="DD33" i="4"/>
  <c r="DE33" i="4"/>
  <c r="DF33" i="4"/>
  <c r="DG33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CN35" i="4"/>
  <c r="CO35" i="4"/>
  <c r="CP35" i="4"/>
  <c r="CQ35" i="4"/>
  <c r="CR35" i="4"/>
  <c r="CS35" i="4"/>
  <c r="CT35" i="4"/>
  <c r="CU35" i="4"/>
  <c r="CV35" i="4"/>
  <c r="CW35" i="4"/>
  <c r="CX35" i="4"/>
  <c r="CY35" i="4"/>
  <c r="CZ35" i="4"/>
  <c r="DA35" i="4"/>
  <c r="DB35" i="4"/>
  <c r="DC35" i="4"/>
  <c r="DD35" i="4"/>
  <c r="DE35" i="4"/>
  <c r="DF35" i="4"/>
  <c r="DG35" i="4"/>
  <c r="CN36" i="4"/>
  <c r="CO36" i="4"/>
  <c r="CP36" i="4"/>
  <c r="CQ36" i="4"/>
  <c r="CR36" i="4"/>
  <c r="CS36" i="4"/>
  <c r="CT36" i="4"/>
  <c r="CU36" i="4"/>
  <c r="CV36" i="4"/>
  <c r="CW36" i="4"/>
  <c r="CX36" i="4"/>
  <c r="CY36" i="4"/>
  <c r="CZ36" i="4"/>
  <c r="DA36" i="4"/>
  <c r="DB36" i="4"/>
  <c r="DC36" i="4"/>
  <c r="DD36" i="4"/>
  <c r="DE36" i="4"/>
  <c r="DF36" i="4"/>
  <c r="DG36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DD37" i="4"/>
  <c r="DE37" i="4"/>
  <c r="DF37" i="4"/>
  <c r="DG37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DD38" i="4"/>
  <c r="DE38" i="4"/>
  <c r="DF38" i="4"/>
  <c r="DG38" i="4"/>
  <c r="CN39" i="4"/>
  <c r="CO39" i="4"/>
  <c r="CP39" i="4"/>
  <c r="CQ39" i="4"/>
  <c r="CR39" i="4"/>
  <c r="CS39" i="4"/>
  <c r="CT39" i="4"/>
  <c r="CU39" i="4"/>
  <c r="CV39" i="4"/>
  <c r="CW39" i="4"/>
  <c r="CX39" i="4"/>
  <c r="CY39" i="4"/>
  <c r="CZ39" i="4"/>
  <c r="DA39" i="4"/>
  <c r="DB39" i="4"/>
  <c r="DC39" i="4"/>
  <c r="DD39" i="4"/>
  <c r="DE39" i="4"/>
  <c r="DF39" i="4"/>
  <c r="DG39" i="4"/>
  <c r="CN40" i="4"/>
  <c r="CO40" i="4"/>
  <c r="CP40" i="4"/>
  <c r="CQ40" i="4"/>
  <c r="CR40" i="4"/>
  <c r="CS40" i="4"/>
  <c r="CT40" i="4"/>
  <c r="CU40" i="4"/>
  <c r="CV40" i="4"/>
  <c r="CW40" i="4"/>
  <c r="CX40" i="4"/>
  <c r="CY40" i="4"/>
  <c r="CZ40" i="4"/>
  <c r="DA40" i="4"/>
  <c r="DB40" i="4"/>
  <c r="DC40" i="4"/>
  <c r="DD40" i="4"/>
  <c r="DE40" i="4"/>
  <c r="DF40" i="4"/>
  <c r="DG40" i="4"/>
  <c r="CN41" i="4"/>
  <c r="CO41" i="4"/>
  <c r="CP41" i="4"/>
  <c r="CQ41" i="4"/>
  <c r="CR41" i="4"/>
  <c r="CS41" i="4"/>
  <c r="CT41" i="4"/>
  <c r="CU41" i="4"/>
  <c r="CV41" i="4"/>
  <c r="CW41" i="4"/>
  <c r="CX41" i="4"/>
  <c r="CY41" i="4"/>
  <c r="CZ41" i="4"/>
  <c r="DA41" i="4"/>
  <c r="DB41" i="4"/>
  <c r="DC41" i="4"/>
  <c r="DD41" i="4"/>
  <c r="DE41" i="4"/>
  <c r="DF41" i="4"/>
  <c r="DG41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CN44" i="4"/>
  <c r="CO44" i="4"/>
  <c r="CP44" i="4"/>
  <c r="CQ44" i="4"/>
  <c r="CR44" i="4"/>
  <c r="CS44" i="4"/>
  <c r="CT44" i="4"/>
  <c r="CU44" i="4"/>
  <c r="CV44" i="4"/>
  <c r="CW44" i="4"/>
  <c r="CX44" i="4"/>
  <c r="CY44" i="4"/>
  <c r="CZ44" i="4"/>
  <c r="DA44" i="4"/>
  <c r="DB44" i="4"/>
  <c r="DC44" i="4"/>
  <c r="DD44" i="4"/>
  <c r="DE44" i="4"/>
  <c r="DF44" i="4"/>
  <c r="DG44" i="4"/>
  <c r="CN45" i="4"/>
  <c r="CO45" i="4"/>
  <c r="CP45" i="4"/>
  <c r="CQ45" i="4"/>
  <c r="CR45" i="4"/>
  <c r="CS45" i="4"/>
  <c r="CT45" i="4"/>
  <c r="CU45" i="4"/>
  <c r="CV45" i="4"/>
  <c r="CW45" i="4"/>
  <c r="CX45" i="4"/>
  <c r="CY45" i="4"/>
  <c r="CZ45" i="4"/>
  <c r="DA45" i="4"/>
  <c r="DB45" i="4"/>
  <c r="DC45" i="4"/>
  <c r="DD45" i="4"/>
  <c r="DE45" i="4"/>
  <c r="DF45" i="4"/>
  <c r="DG45" i="4"/>
  <c r="CN46" i="4"/>
  <c r="CO46" i="4"/>
  <c r="CP46" i="4"/>
  <c r="CQ46" i="4"/>
  <c r="CR46" i="4"/>
  <c r="CS46" i="4"/>
  <c r="CT46" i="4"/>
  <c r="CU46" i="4"/>
  <c r="CV46" i="4"/>
  <c r="CW46" i="4"/>
  <c r="CX46" i="4"/>
  <c r="CY46" i="4"/>
  <c r="CZ46" i="4"/>
  <c r="DA46" i="4"/>
  <c r="DB46" i="4"/>
  <c r="DC46" i="4"/>
  <c r="DD46" i="4"/>
  <c r="DE46" i="4"/>
  <c r="DF46" i="4"/>
  <c r="DG46" i="4"/>
  <c r="CN47" i="4"/>
  <c r="CO47" i="4"/>
  <c r="CP47" i="4"/>
  <c r="CQ47" i="4"/>
  <c r="CR47" i="4"/>
  <c r="CS47" i="4"/>
  <c r="CT47" i="4"/>
  <c r="CU47" i="4"/>
  <c r="CV47" i="4"/>
  <c r="CW47" i="4"/>
  <c r="CX47" i="4"/>
  <c r="CY47" i="4"/>
  <c r="CZ47" i="4"/>
  <c r="DA47" i="4"/>
  <c r="DB47" i="4"/>
  <c r="DC47" i="4"/>
  <c r="DD47" i="4"/>
  <c r="DE47" i="4"/>
  <c r="DF47" i="4"/>
  <c r="DG47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DB48" i="4"/>
  <c r="DC48" i="4"/>
  <c r="DD48" i="4"/>
  <c r="DE48" i="4"/>
  <c r="DF48" i="4"/>
  <c r="DG48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CN50" i="4"/>
  <c r="CO50" i="4"/>
  <c r="CP50" i="4"/>
  <c r="CQ50" i="4"/>
  <c r="CR50" i="4"/>
  <c r="CS50" i="4"/>
  <c r="CT50" i="4"/>
  <c r="CU50" i="4"/>
  <c r="CV50" i="4"/>
  <c r="CW50" i="4"/>
  <c r="CX50" i="4"/>
  <c r="CY50" i="4"/>
  <c r="CZ50" i="4"/>
  <c r="DA50" i="4"/>
  <c r="DB50" i="4"/>
  <c r="DC50" i="4"/>
  <c r="DD50" i="4"/>
  <c r="DE50" i="4"/>
  <c r="DF50" i="4"/>
  <c r="DG50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DB51" i="4"/>
  <c r="DC51" i="4"/>
  <c r="DD51" i="4"/>
  <c r="DE51" i="4"/>
  <c r="DF51" i="4"/>
  <c r="DG51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DD52" i="4"/>
  <c r="DE52" i="4"/>
  <c r="DF52" i="4"/>
  <c r="DG52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DD53" i="4"/>
  <c r="DE53" i="4"/>
  <c r="DF53" i="4"/>
  <c r="DG53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DD56" i="4"/>
  <c r="DE56" i="4"/>
  <c r="DF56" i="4"/>
  <c r="DG56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CN59" i="4"/>
  <c r="CO59" i="4"/>
  <c r="CP59" i="4"/>
  <c r="CQ59" i="4"/>
  <c r="CR59" i="4"/>
  <c r="CS59" i="4"/>
  <c r="CT59" i="4"/>
  <c r="CU59" i="4"/>
  <c r="CV59" i="4"/>
  <c r="CW59" i="4"/>
  <c r="CX59" i="4"/>
  <c r="CY59" i="4"/>
  <c r="CZ59" i="4"/>
  <c r="DA59" i="4"/>
  <c r="DB59" i="4"/>
  <c r="DC59" i="4"/>
  <c r="DD59" i="4"/>
  <c r="DE59" i="4"/>
  <c r="DF59" i="4"/>
  <c r="DG59" i="4"/>
  <c r="CN60" i="4"/>
  <c r="CO60" i="4"/>
  <c r="CP60" i="4"/>
  <c r="CQ60" i="4"/>
  <c r="CR60" i="4"/>
  <c r="CS60" i="4"/>
  <c r="CT60" i="4"/>
  <c r="CU60" i="4"/>
  <c r="CV60" i="4"/>
  <c r="CW60" i="4"/>
  <c r="CX60" i="4"/>
  <c r="CY60" i="4"/>
  <c r="CZ60" i="4"/>
  <c r="DA60" i="4"/>
  <c r="DB60" i="4"/>
  <c r="DC60" i="4"/>
  <c r="DD60" i="4"/>
  <c r="DE60" i="4"/>
  <c r="DF60" i="4"/>
  <c r="DG60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DD61" i="4"/>
  <c r="DE61" i="4"/>
  <c r="DF61" i="4"/>
  <c r="DG61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DD62" i="4"/>
  <c r="DE62" i="4"/>
  <c r="DF62" i="4"/>
  <c r="DG62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DB64" i="4"/>
  <c r="DC64" i="4"/>
  <c r="DD64" i="4"/>
  <c r="DE64" i="4"/>
  <c r="DF64" i="4"/>
  <c r="DG64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DB65" i="4"/>
  <c r="DC65" i="4"/>
  <c r="DD65" i="4"/>
  <c r="DE65" i="4"/>
  <c r="DF65" i="4"/>
  <c r="DG65" i="4"/>
  <c r="CN66" i="4"/>
  <c r="CO66" i="4"/>
  <c r="CP66" i="4"/>
  <c r="CQ66" i="4"/>
  <c r="CR66" i="4"/>
  <c r="CS66" i="4"/>
  <c r="CT66" i="4"/>
  <c r="CU66" i="4"/>
  <c r="CV66" i="4"/>
  <c r="CW66" i="4"/>
  <c r="CX66" i="4"/>
  <c r="CY66" i="4"/>
  <c r="CZ66" i="4"/>
  <c r="DA66" i="4"/>
  <c r="DB66" i="4"/>
  <c r="DC66" i="4"/>
  <c r="DD66" i="4"/>
  <c r="DE66" i="4"/>
  <c r="DF66" i="4"/>
  <c r="DG66" i="4"/>
  <c r="CN67" i="4"/>
  <c r="CO67" i="4"/>
  <c r="CP67" i="4"/>
  <c r="CQ67" i="4"/>
  <c r="CR67" i="4"/>
  <c r="CS67" i="4"/>
  <c r="CT67" i="4"/>
  <c r="CU67" i="4"/>
  <c r="CV67" i="4"/>
  <c r="CW67" i="4"/>
  <c r="CX67" i="4"/>
  <c r="CY67" i="4"/>
  <c r="CZ67" i="4"/>
  <c r="DA67" i="4"/>
  <c r="DB67" i="4"/>
  <c r="DC67" i="4"/>
  <c r="DD67" i="4"/>
  <c r="DE67" i="4"/>
  <c r="DF67" i="4"/>
  <c r="DG67" i="4"/>
  <c r="CN68" i="4"/>
  <c r="CO68" i="4"/>
  <c r="CP68" i="4"/>
  <c r="CQ68" i="4"/>
  <c r="CR68" i="4"/>
  <c r="CS68" i="4"/>
  <c r="CT68" i="4"/>
  <c r="CU68" i="4"/>
  <c r="CV68" i="4"/>
  <c r="CW68" i="4"/>
  <c r="CX68" i="4"/>
  <c r="CY68" i="4"/>
  <c r="CZ68" i="4"/>
  <c r="DA68" i="4"/>
  <c r="DB68" i="4"/>
  <c r="DC68" i="4"/>
  <c r="DD68" i="4"/>
  <c r="DE68" i="4"/>
  <c r="DF68" i="4"/>
  <c r="DG68" i="4"/>
  <c r="CN69" i="4"/>
  <c r="CO69" i="4"/>
  <c r="CP69" i="4"/>
  <c r="CQ69" i="4"/>
  <c r="CR69" i="4"/>
  <c r="CS69" i="4"/>
  <c r="CT69" i="4"/>
  <c r="CU69" i="4"/>
  <c r="CV69" i="4"/>
  <c r="CW69" i="4"/>
  <c r="CX69" i="4"/>
  <c r="CY69" i="4"/>
  <c r="CZ69" i="4"/>
  <c r="DA69" i="4"/>
  <c r="DB69" i="4"/>
  <c r="DC69" i="4"/>
  <c r="DD69" i="4"/>
  <c r="DE69" i="4"/>
  <c r="DF69" i="4"/>
  <c r="DG69" i="4"/>
  <c r="CN70" i="4"/>
  <c r="CO70" i="4"/>
  <c r="CP70" i="4"/>
  <c r="CQ70" i="4"/>
  <c r="CR70" i="4"/>
  <c r="CS70" i="4"/>
  <c r="CT70" i="4"/>
  <c r="CU70" i="4"/>
  <c r="CV70" i="4"/>
  <c r="CW70" i="4"/>
  <c r="CX70" i="4"/>
  <c r="CY70" i="4"/>
  <c r="CZ70" i="4"/>
  <c r="DA70" i="4"/>
  <c r="DB70" i="4"/>
  <c r="DC70" i="4"/>
  <c r="DD70" i="4"/>
  <c r="DE70" i="4"/>
  <c r="DF70" i="4"/>
  <c r="DG70" i="4"/>
  <c r="CN71" i="4"/>
  <c r="CO71" i="4"/>
  <c r="CP71" i="4"/>
  <c r="CQ71" i="4"/>
  <c r="CR71" i="4"/>
  <c r="CS71" i="4"/>
  <c r="CT71" i="4"/>
  <c r="CU71" i="4"/>
  <c r="CV71" i="4"/>
  <c r="CW71" i="4"/>
  <c r="CX71" i="4"/>
  <c r="CY71" i="4"/>
  <c r="CZ71" i="4"/>
  <c r="DA71" i="4"/>
  <c r="DB71" i="4"/>
  <c r="DC71" i="4"/>
  <c r="DD71" i="4"/>
  <c r="DE71" i="4"/>
  <c r="DF71" i="4"/>
  <c r="DG71" i="4"/>
  <c r="CN72" i="4"/>
  <c r="CO72" i="4"/>
  <c r="CP72" i="4"/>
  <c r="CQ72" i="4"/>
  <c r="CR72" i="4"/>
  <c r="CS72" i="4"/>
  <c r="CT72" i="4"/>
  <c r="CU72" i="4"/>
  <c r="CV72" i="4"/>
  <c r="CW72" i="4"/>
  <c r="CX72" i="4"/>
  <c r="CY72" i="4"/>
  <c r="CZ72" i="4"/>
  <c r="DA72" i="4"/>
  <c r="DB72" i="4"/>
  <c r="DC72" i="4"/>
  <c r="DD72" i="4"/>
  <c r="DE72" i="4"/>
  <c r="DF72" i="4"/>
  <c r="DG72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DD73" i="4"/>
  <c r="DE73" i="4"/>
  <c r="DF73" i="4"/>
  <c r="DG73" i="4"/>
  <c r="CN74" i="4"/>
  <c r="CO74" i="4"/>
  <c r="CP74" i="4"/>
  <c r="CQ74" i="4"/>
  <c r="CR74" i="4"/>
  <c r="CS74" i="4"/>
  <c r="CT74" i="4"/>
  <c r="CU74" i="4"/>
  <c r="CV74" i="4"/>
  <c r="CW74" i="4"/>
  <c r="CX74" i="4"/>
  <c r="CY74" i="4"/>
  <c r="CZ74" i="4"/>
  <c r="DA74" i="4"/>
  <c r="DB74" i="4"/>
  <c r="DC74" i="4"/>
  <c r="DD74" i="4"/>
  <c r="DE74" i="4"/>
  <c r="DF74" i="4"/>
  <c r="DG74" i="4"/>
  <c r="CN75" i="4"/>
  <c r="CO75" i="4"/>
  <c r="CP75" i="4"/>
  <c r="CQ75" i="4"/>
  <c r="CR75" i="4"/>
  <c r="CS75" i="4"/>
  <c r="CT75" i="4"/>
  <c r="CU75" i="4"/>
  <c r="CV75" i="4"/>
  <c r="CW75" i="4"/>
  <c r="CX75" i="4"/>
  <c r="CY75" i="4"/>
  <c r="CZ75" i="4"/>
  <c r="DA75" i="4"/>
  <c r="DB75" i="4"/>
  <c r="DC75" i="4"/>
  <c r="DD75" i="4"/>
  <c r="DE75" i="4"/>
  <c r="DF75" i="4"/>
  <c r="DG75" i="4"/>
  <c r="CN76" i="4"/>
  <c r="CO76" i="4"/>
  <c r="CP76" i="4"/>
  <c r="CQ76" i="4"/>
  <c r="CR76" i="4"/>
  <c r="CS76" i="4"/>
  <c r="CT76" i="4"/>
  <c r="CU76" i="4"/>
  <c r="CV76" i="4"/>
  <c r="CW76" i="4"/>
  <c r="CX76" i="4"/>
  <c r="CY76" i="4"/>
  <c r="CZ76" i="4"/>
  <c r="DA76" i="4"/>
  <c r="DB76" i="4"/>
  <c r="DC76" i="4"/>
  <c r="DD76" i="4"/>
  <c r="DE76" i="4"/>
  <c r="DF76" i="4"/>
  <c r="DG76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DD77" i="4"/>
  <c r="DE77" i="4"/>
  <c r="DF77" i="4"/>
  <c r="DG77" i="4"/>
  <c r="CN78" i="4"/>
  <c r="CO78" i="4"/>
  <c r="CP78" i="4"/>
  <c r="CQ78" i="4"/>
  <c r="CR78" i="4"/>
  <c r="CS78" i="4"/>
  <c r="CT78" i="4"/>
  <c r="CU78" i="4"/>
  <c r="CV78" i="4"/>
  <c r="CW78" i="4"/>
  <c r="CX78" i="4"/>
  <c r="CY78" i="4"/>
  <c r="CZ78" i="4"/>
  <c r="DA78" i="4"/>
  <c r="DB78" i="4"/>
  <c r="DC78" i="4"/>
  <c r="DD78" i="4"/>
  <c r="DE78" i="4"/>
  <c r="DF78" i="4"/>
  <c r="DG78" i="4"/>
  <c r="CN79" i="4"/>
  <c r="CO79" i="4"/>
  <c r="CP79" i="4"/>
  <c r="CQ79" i="4"/>
  <c r="CR79" i="4"/>
  <c r="CS79" i="4"/>
  <c r="CT79" i="4"/>
  <c r="CU79" i="4"/>
  <c r="CV79" i="4"/>
  <c r="CW79" i="4"/>
  <c r="CX79" i="4"/>
  <c r="CY79" i="4"/>
  <c r="CZ79" i="4"/>
  <c r="DA79" i="4"/>
  <c r="DB79" i="4"/>
  <c r="DC79" i="4"/>
  <c r="DD79" i="4"/>
  <c r="DE79" i="4"/>
  <c r="DF79" i="4"/>
  <c r="DG79" i="4"/>
  <c r="CN80" i="4"/>
  <c r="CO80" i="4"/>
  <c r="CP80" i="4"/>
  <c r="CQ80" i="4"/>
  <c r="CR80" i="4"/>
  <c r="CS80" i="4"/>
  <c r="CT80" i="4"/>
  <c r="CU80" i="4"/>
  <c r="CV80" i="4"/>
  <c r="CW80" i="4"/>
  <c r="CX80" i="4"/>
  <c r="CY80" i="4"/>
  <c r="CZ80" i="4"/>
  <c r="DA80" i="4"/>
  <c r="DB80" i="4"/>
  <c r="DC80" i="4"/>
  <c r="DD80" i="4"/>
  <c r="DE80" i="4"/>
  <c r="DF80" i="4"/>
  <c r="DG80" i="4"/>
  <c r="CN81" i="4"/>
  <c r="CO81" i="4"/>
  <c r="CP81" i="4"/>
  <c r="CQ81" i="4"/>
  <c r="CR81" i="4"/>
  <c r="CS81" i="4"/>
  <c r="CT81" i="4"/>
  <c r="CU81" i="4"/>
  <c r="CV81" i="4"/>
  <c r="CW81" i="4"/>
  <c r="CX81" i="4"/>
  <c r="CY81" i="4"/>
  <c r="CZ81" i="4"/>
  <c r="DA81" i="4"/>
  <c r="DB81" i="4"/>
  <c r="DC81" i="4"/>
  <c r="DD81" i="4"/>
  <c r="DE81" i="4"/>
  <c r="DF81" i="4"/>
  <c r="DG81" i="4"/>
  <c r="CN82" i="4"/>
  <c r="CO82" i="4"/>
  <c r="CP82" i="4"/>
  <c r="CQ82" i="4"/>
  <c r="CR82" i="4"/>
  <c r="CS82" i="4"/>
  <c r="CT82" i="4"/>
  <c r="CU82" i="4"/>
  <c r="CV82" i="4"/>
  <c r="CW82" i="4"/>
  <c r="CX82" i="4"/>
  <c r="CY82" i="4"/>
  <c r="CZ82" i="4"/>
  <c r="DA82" i="4"/>
  <c r="DB82" i="4"/>
  <c r="DC82" i="4"/>
  <c r="DD82" i="4"/>
  <c r="DE82" i="4"/>
  <c r="DF82" i="4"/>
  <c r="DG82" i="4"/>
  <c r="CN83" i="4"/>
  <c r="CO83" i="4"/>
  <c r="CP83" i="4"/>
  <c r="CQ83" i="4"/>
  <c r="CR83" i="4"/>
  <c r="CS83" i="4"/>
  <c r="CT83" i="4"/>
  <c r="CU83" i="4"/>
  <c r="CV83" i="4"/>
  <c r="CW83" i="4"/>
  <c r="CX83" i="4"/>
  <c r="CY83" i="4"/>
  <c r="CZ83" i="4"/>
  <c r="DA83" i="4"/>
  <c r="DB83" i="4"/>
  <c r="DC83" i="4"/>
  <c r="DD83" i="4"/>
  <c r="DE83" i="4"/>
  <c r="DF83" i="4"/>
  <c r="DG83" i="4"/>
  <c r="CN84" i="4"/>
  <c r="CO84" i="4"/>
  <c r="CP84" i="4"/>
  <c r="CQ84" i="4"/>
  <c r="CR84" i="4"/>
  <c r="CS84" i="4"/>
  <c r="CT84" i="4"/>
  <c r="CU84" i="4"/>
  <c r="CV84" i="4"/>
  <c r="CW84" i="4"/>
  <c r="CX84" i="4"/>
  <c r="CY84" i="4"/>
  <c r="CZ84" i="4"/>
  <c r="DA84" i="4"/>
  <c r="DB84" i="4"/>
  <c r="DC84" i="4"/>
  <c r="DD84" i="4"/>
  <c r="DE84" i="4"/>
  <c r="DF84" i="4"/>
  <c r="DG84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DD85" i="4"/>
  <c r="DE85" i="4"/>
  <c r="DF85" i="4"/>
  <c r="DG85" i="4"/>
  <c r="CN86" i="4"/>
  <c r="CO86" i="4"/>
  <c r="CP86" i="4"/>
  <c r="CQ86" i="4"/>
  <c r="CR86" i="4"/>
  <c r="CS86" i="4"/>
  <c r="CT86" i="4"/>
  <c r="CU86" i="4"/>
  <c r="CV86" i="4"/>
  <c r="CW86" i="4"/>
  <c r="CX86" i="4"/>
  <c r="CY86" i="4"/>
  <c r="CZ86" i="4"/>
  <c r="DA86" i="4"/>
  <c r="DB86" i="4"/>
  <c r="DC86" i="4"/>
  <c r="DD86" i="4"/>
  <c r="DE86" i="4"/>
  <c r="DF86" i="4"/>
  <c r="DG86" i="4"/>
  <c r="CN87" i="4"/>
  <c r="CO87" i="4"/>
  <c r="CP87" i="4"/>
  <c r="CQ87" i="4"/>
  <c r="CR87" i="4"/>
  <c r="CS87" i="4"/>
  <c r="CT87" i="4"/>
  <c r="CU87" i="4"/>
  <c r="CV87" i="4"/>
  <c r="CW87" i="4"/>
  <c r="CX87" i="4"/>
  <c r="CY87" i="4"/>
  <c r="CZ87" i="4"/>
  <c r="DA87" i="4"/>
  <c r="DB87" i="4"/>
  <c r="DC87" i="4"/>
  <c r="DD87" i="4"/>
  <c r="DE87" i="4"/>
  <c r="DF87" i="4"/>
  <c r="DG87" i="4"/>
  <c r="CN88" i="4"/>
  <c r="CO88" i="4"/>
  <c r="CP88" i="4"/>
  <c r="CQ88" i="4"/>
  <c r="CR88" i="4"/>
  <c r="CS88" i="4"/>
  <c r="CT88" i="4"/>
  <c r="CU88" i="4"/>
  <c r="CV88" i="4"/>
  <c r="CW88" i="4"/>
  <c r="CX88" i="4"/>
  <c r="CY88" i="4"/>
  <c r="CZ88" i="4"/>
  <c r="DA88" i="4"/>
  <c r="DB88" i="4"/>
  <c r="DC88" i="4"/>
  <c r="DD88" i="4"/>
  <c r="DE88" i="4"/>
  <c r="DF88" i="4"/>
  <c r="DG88" i="4"/>
  <c r="CN89" i="4"/>
  <c r="CO89" i="4"/>
  <c r="CP89" i="4"/>
  <c r="CQ89" i="4"/>
  <c r="CR89" i="4"/>
  <c r="CS89" i="4"/>
  <c r="CT89" i="4"/>
  <c r="CU89" i="4"/>
  <c r="CV89" i="4"/>
  <c r="CW89" i="4"/>
  <c r="CX89" i="4"/>
  <c r="CY89" i="4"/>
  <c r="CZ89" i="4"/>
  <c r="DA89" i="4"/>
  <c r="DB89" i="4"/>
  <c r="DC89" i="4"/>
  <c r="DD89" i="4"/>
  <c r="DE89" i="4"/>
  <c r="DF89" i="4"/>
  <c r="DG89" i="4"/>
  <c r="CN90" i="4"/>
  <c r="CO90" i="4"/>
  <c r="CP90" i="4"/>
  <c r="CQ90" i="4"/>
  <c r="CR90" i="4"/>
  <c r="CS90" i="4"/>
  <c r="CT90" i="4"/>
  <c r="CU90" i="4"/>
  <c r="CV90" i="4"/>
  <c r="CW90" i="4"/>
  <c r="CX90" i="4"/>
  <c r="CY90" i="4"/>
  <c r="CZ90" i="4"/>
  <c r="DA90" i="4"/>
  <c r="DB90" i="4"/>
  <c r="DC90" i="4"/>
  <c r="DD90" i="4"/>
  <c r="DE90" i="4"/>
  <c r="DF90" i="4"/>
  <c r="DG90" i="4"/>
  <c r="CN91" i="4"/>
  <c r="CO91" i="4"/>
  <c r="CP91" i="4"/>
  <c r="CQ91" i="4"/>
  <c r="CR91" i="4"/>
  <c r="CS91" i="4"/>
  <c r="CT91" i="4"/>
  <c r="CU91" i="4"/>
  <c r="CV91" i="4"/>
  <c r="CW91" i="4"/>
  <c r="CX91" i="4"/>
  <c r="CY91" i="4"/>
  <c r="CZ91" i="4"/>
  <c r="DA91" i="4"/>
  <c r="DB91" i="4"/>
  <c r="DC91" i="4"/>
  <c r="DD91" i="4"/>
  <c r="DE91" i="4"/>
  <c r="DF91" i="4"/>
  <c r="DG91" i="4"/>
  <c r="CN92" i="4"/>
  <c r="CO92" i="4"/>
  <c r="CP92" i="4"/>
  <c r="CQ92" i="4"/>
  <c r="CR92" i="4"/>
  <c r="CS92" i="4"/>
  <c r="CT92" i="4"/>
  <c r="CU92" i="4"/>
  <c r="CV92" i="4"/>
  <c r="CW92" i="4"/>
  <c r="CX92" i="4"/>
  <c r="CY92" i="4"/>
  <c r="CZ92" i="4"/>
  <c r="DA92" i="4"/>
  <c r="DB92" i="4"/>
  <c r="DC92" i="4"/>
  <c r="DD92" i="4"/>
  <c r="DE92" i="4"/>
  <c r="DF92" i="4"/>
  <c r="DG92" i="4"/>
  <c r="CN93" i="4"/>
  <c r="CO93" i="4"/>
  <c r="CP93" i="4"/>
  <c r="CQ93" i="4"/>
  <c r="CR93" i="4"/>
  <c r="CS93" i="4"/>
  <c r="CT93" i="4"/>
  <c r="CU93" i="4"/>
  <c r="CV93" i="4"/>
  <c r="CW93" i="4"/>
  <c r="CX93" i="4"/>
  <c r="CY93" i="4"/>
  <c r="CZ93" i="4"/>
  <c r="DA93" i="4"/>
  <c r="DB93" i="4"/>
  <c r="DC93" i="4"/>
  <c r="DD93" i="4"/>
  <c r="DE93" i="4"/>
  <c r="DF93" i="4"/>
  <c r="DG93" i="4"/>
  <c r="CN94" i="4"/>
  <c r="CO94" i="4"/>
  <c r="CP94" i="4"/>
  <c r="CQ94" i="4"/>
  <c r="CR94" i="4"/>
  <c r="CS94" i="4"/>
  <c r="CT94" i="4"/>
  <c r="CU94" i="4"/>
  <c r="CV94" i="4"/>
  <c r="CW94" i="4"/>
  <c r="CX94" i="4"/>
  <c r="CY94" i="4"/>
  <c r="CZ94" i="4"/>
  <c r="DA94" i="4"/>
  <c r="DB94" i="4"/>
  <c r="DC94" i="4"/>
  <c r="DD94" i="4"/>
  <c r="DE94" i="4"/>
  <c r="DF94" i="4"/>
  <c r="DG94" i="4"/>
  <c r="CN95" i="4"/>
  <c r="CO95" i="4"/>
  <c r="CP95" i="4"/>
  <c r="CQ95" i="4"/>
  <c r="CR95" i="4"/>
  <c r="CS95" i="4"/>
  <c r="CT95" i="4"/>
  <c r="CU95" i="4"/>
  <c r="CV95" i="4"/>
  <c r="CW95" i="4"/>
  <c r="CX95" i="4"/>
  <c r="CY95" i="4"/>
  <c r="CZ95" i="4"/>
  <c r="DA95" i="4"/>
  <c r="DB95" i="4"/>
  <c r="DC95" i="4"/>
  <c r="DD95" i="4"/>
  <c r="DE95" i="4"/>
  <c r="DF95" i="4"/>
  <c r="DG95" i="4"/>
  <c r="CN96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DD96" i="4"/>
  <c r="DE96" i="4"/>
  <c r="DF96" i="4"/>
  <c r="DG96" i="4"/>
  <c r="CN97" i="4"/>
  <c r="CO97" i="4"/>
  <c r="CP97" i="4"/>
  <c r="CQ97" i="4"/>
  <c r="CR97" i="4"/>
  <c r="CS97" i="4"/>
  <c r="CT97" i="4"/>
  <c r="CU97" i="4"/>
  <c r="CV97" i="4"/>
  <c r="CW97" i="4"/>
  <c r="CX97" i="4"/>
  <c r="CY97" i="4"/>
  <c r="CZ97" i="4"/>
  <c r="DA97" i="4"/>
  <c r="DB97" i="4"/>
  <c r="DC97" i="4"/>
  <c r="DD97" i="4"/>
  <c r="DE97" i="4"/>
  <c r="DF97" i="4"/>
  <c r="DG97" i="4"/>
  <c r="CN98" i="4"/>
  <c r="CO98" i="4"/>
  <c r="CP98" i="4"/>
  <c r="CQ98" i="4"/>
  <c r="CR98" i="4"/>
  <c r="CS98" i="4"/>
  <c r="CT98" i="4"/>
  <c r="CU98" i="4"/>
  <c r="CV98" i="4"/>
  <c r="CW98" i="4"/>
  <c r="CX98" i="4"/>
  <c r="CY98" i="4"/>
  <c r="CZ98" i="4"/>
  <c r="DA98" i="4"/>
  <c r="DB98" i="4"/>
  <c r="DC98" i="4"/>
  <c r="DD98" i="4"/>
  <c r="DE98" i="4"/>
  <c r="DF98" i="4"/>
  <c r="DG98" i="4"/>
  <c r="CN99" i="4"/>
  <c r="CO99" i="4"/>
  <c r="CP99" i="4"/>
  <c r="CQ99" i="4"/>
  <c r="CR99" i="4"/>
  <c r="CS99" i="4"/>
  <c r="CT99" i="4"/>
  <c r="CU99" i="4"/>
  <c r="CV99" i="4"/>
  <c r="CW99" i="4"/>
  <c r="CX99" i="4"/>
  <c r="CY99" i="4"/>
  <c r="CZ99" i="4"/>
  <c r="DA99" i="4"/>
  <c r="DB99" i="4"/>
  <c r="DC99" i="4"/>
  <c r="DD99" i="4"/>
  <c r="DE99" i="4"/>
  <c r="DF99" i="4"/>
  <c r="DG99" i="4"/>
  <c r="CN100" i="4"/>
  <c r="CO100" i="4"/>
  <c r="CP100" i="4"/>
  <c r="CQ100" i="4"/>
  <c r="CR100" i="4"/>
  <c r="CS100" i="4"/>
  <c r="CT100" i="4"/>
  <c r="CU100" i="4"/>
  <c r="CV100" i="4"/>
  <c r="CW100" i="4"/>
  <c r="CX100" i="4"/>
  <c r="CY100" i="4"/>
  <c r="CZ100" i="4"/>
  <c r="DA100" i="4"/>
  <c r="DB100" i="4"/>
  <c r="DC100" i="4"/>
  <c r="DD100" i="4"/>
  <c r="DE100" i="4"/>
  <c r="DF100" i="4"/>
  <c r="DG100" i="4"/>
  <c r="CN101" i="4"/>
  <c r="CO101" i="4"/>
  <c r="CP101" i="4"/>
  <c r="CQ101" i="4"/>
  <c r="CR101" i="4"/>
  <c r="CS101" i="4"/>
  <c r="CT101" i="4"/>
  <c r="CU101" i="4"/>
  <c r="CV101" i="4"/>
  <c r="CW101" i="4"/>
  <c r="CX101" i="4"/>
  <c r="CY101" i="4"/>
  <c r="CZ101" i="4"/>
  <c r="DA101" i="4"/>
  <c r="DB101" i="4"/>
  <c r="DC101" i="4"/>
  <c r="DD101" i="4"/>
  <c r="DE101" i="4"/>
  <c r="DF101" i="4"/>
  <c r="DG101" i="4"/>
  <c r="CN102" i="4"/>
  <c r="CO102" i="4"/>
  <c r="CP102" i="4"/>
  <c r="CQ102" i="4"/>
  <c r="CR102" i="4"/>
  <c r="CS102" i="4"/>
  <c r="CT102" i="4"/>
  <c r="CU102" i="4"/>
  <c r="CV102" i="4"/>
  <c r="CW102" i="4"/>
  <c r="CX102" i="4"/>
  <c r="CY102" i="4"/>
  <c r="CZ102" i="4"/>
  <c r="DA102" i="4"/>
  <c r="DB102" i="4"/>
  <c r="DC102" i="4"/>
  <c r="DD102" i="4"/>
  <c r="DE102" i="4"/>
  <c r="DF102" i="4"/>
  <c r="DG102" i="4"/>
  <c r="CN103" i="4"/>
  <c r="CO103" i="4"/>
  <c r="CP103" i="4"/>
  <c r="CQ103" i="4"/>
  <c r="CR103" i="4"/>
  <c r="CS103" i="4"/>
  <c r="CT103" i="4"/>
  <c r="CU103" i="4"/>
  <c r="CV103" i="4"/>
  <c r="CW103" i="4"/>
  <c r="CX103" i="4"/>
  <c r="CY103" i="4"/>
  <c r="CZ103" i="4"/>
  <c r="DA103" i="4"/>
  <c r="DB103" i="4"/>
  <c r="DC103" i="4"/>
  <c r="DD103" i="4"/>
  <c r="DE103" i="4"/>
  <c r="DF103" i="4"/>
  <c r="DG103" i="4"/>
  <c r="CN104" i="4"/>
  <c r="CO104" i="4"/>
  <c r="CP104" i="4"/>
  <c r="CQ104" i="4"/>
  <c r="CR104" i="4"/>
  <c r="CS104" i="4"/>
  <c r="CT104" i="4"/>
  <c r="CU104" i="4"/>
  <c r="CV104" i="4"/>
  <c r="CW104" i="4"/>
  <c r="CX104" i="4"/>
  <c r="CY104" i="4"/>
  <c r="CZ104" i="4"/>
  <c r="DA104" i="4"/>
  <c r="DB104" i="4"/>
  <c r="DC104" i="4"/>
  <c r="DD104" i="4"/>
  <c r="DE104" i="4"/>
  <c r="DF104" i="4"/>
  <c r="DG104" i="4"/>
  <c r="CN105" i="4"/>
  <c r="CO105" i="4"/>
  <c r="CP105" i="4"/>
  <c r="CQ105" i="4"/>
  <c r="CR105" i="4"/>
  <c r="CS105" i="4"/>
  <c r="CT105" i="4"/>
  <c r="CU105" i="4"/>
  <c r="CV105" i="4"/>
  <c r="CW105" i="4"/>
  <c r="CX105" i="4"/>
  <c r="CY105" i="4"/>
  <c r="CZ105" i="4"/>
  <c r="DA105" i="4"/>
  <c r="DB105" i="4"/>
  <c r="DC105" i="4"/>
  <c r="DD105" i="4"/>
  <c r="DE105" i="4"/>
  <c r="DF105" i="4"/>
  <c r="DG105" i="4"/>
  <c r="CN106" i="4"/>
  <c r="CO106" i="4"/>
  <c r="CP106" i="4"/>
  <c r="CQ106" i="4"/>
  <c r="CR106" i="4"/>
  <c r="CS106" i="4"/>
  <c r="CT106" i="4"/>
  <c r="CU106" i="4"/>
  <c r="CV106" i="4"/>
  <c r="CW106" i="4"/>
  <c r="CX106" i="4"/>
  <c r="CY106" i="4"/>
  <c r="CZ106" i="4"/>
  <c r="DA106" i="4"/>
  <c r="DB106" i="4"/>
  <c r="DC106" i="4"/>
  <c r="DD106" i="4"/>
  <c r="DE106" i="4"/>
  <c r="DF106" i="4"/>
  <c r="DG106" i="4"/>
  <c r="DF7" i="4"/>
  <c r="DG7" i="4"/>
  <c r="DB7" i="4"/>
  <c r="DC7" i="4"/>
  <c r="DD7" i="4"/>
  <c r="DE7" i="4"/>
  <c r="DA7" i="4"/>
  <c r="CP7" i="4"/>
  <c r="CQ7" i="4"/>
  <c r="CR7" i="4"/>
  <c r="CS7" i="4"/>
  <c r="CT7" i="4"/>
  <c r="CU7" i="4"/>
  <c r="CV7" i="4"/>
  <c r="CW7" i="4"/>
  <c r="CX7" i="4"/>
  <c r="CY7" i="4"/>
  <c r="CZ7" i="4"/>
  <c r="CN7" i="4"/>
  <c r="CM8" i="4"/>
  <c r="CM9" i="4"/>
  <c r="CM10" i="4"/>
  <c r="CM11" i="4"/>
  <c r="CM12" i="4"/>
  <c r="CM13" i="4"/>
  <c r="CM14" i="4"/>
  <c r="CM15" i="4"/>
  <c r="CM16" i="4"/>
  <c r="CM17" i="4"/>
  <c r="CM18" i="4"/>
  <c r="CM19" i="4"/>
  <c r="CM20" i="4"/>
  <c r="CM21" i="4"/>
  <c r="CM22" i="4"/>
  <c r="CM23" i="4"/>
  <c r="CM24" i="4"/>
  <c r="CM25" i="4"/>
  <c r="CM26" i="4"/>
  <c r="CM27" i="4"/>
  <c r="CM28" i="4"/>
  <c r="CM29" i="4"/>
  <c r="CM30" i="4"/>
  <c r="CM31" i="4"/>
  <c r="CM32" i="4"/>
  <c r="CM33" i="4"/>
  <c r="CM34" i="4"/>
  <c r="CM35" i="4"/>
  <c r="CM36" i="4"/>
  <c r="CM37" i="4"/>
  <c r="CM38" i="4"/>
  <c r="CM39" i="4"/>
  <c r="CM40" i="4"/>
  <c r="CM41" i="4"/>
  <c r="CM42" i="4"/>
  <c r="CM43" i="4"/>
  <c r="CM44" i="4"/>
  <c r="CM45" i="4"/>
  <c r="CM46" i="4"/>
  <c r="CM47" i="4"/>
  <c r="CM48" i="4"/>
  <c r="CM49" i="4"/>
  <c r="CM50" i="4"/>
  <c r="CM51" i="4"/>
  <c r="CM52" i="4"/>
  <c r="CM53" i="4"/>
  <c r="CM54" i="4"/>
  <c r="CM55" i="4"/>
  <c r="CM56" i="4"/>
  <c r="CM57" i="4"/>
  <c r="CM58" i="4"/>
  <c r="CM59" i="4"/>
  <c r="CM60" i="4"/>
  <c r="CM61" i="4"/>
  <c r="CM62" i="4"/>
  <c r="CM63" i="4"/>
  <c r="CM64" i="4"/>
  <c r="CM65" i="4"/>
  <c r="CM66" i="4"/>
  <c r="CM67" i="4"/>
  <c r="CM68" i="4"/>
  <c r="CM69" i="4"/>
  <c r="CM70" i="4"/>
  <c r="CM71" i="4"/>
  <c r="CM72" i="4"/>
  <c r="CM73" i="4"/>
  <c r="CM74" i="4"/>
  <c r="CM75" i="4"/>
  <c r="CM76" i="4"/>
  <c r="CM77" i="4"/>
  <c r="CM78" i="4"/>
  <c r="CM79" i="4"/>
  <c r="CM80" i="4"/>
  <c r="CM81" i="4"/>
  <c r="CM82" i="4"/>
  <c r="CM83" i="4"/>
  <c r="CM84" i="4"/>
  <c r="CM85" i="4"/>
  <c r="CM86" i="4"/>
  <c r="CM87" i="4"/>
  <c r="CM88" i="4"/>
  <c r="CM89" i="4"/>
  <c r="CM90" i="4"/>
  <c r="CM91" i="4"/>
  <c r="CM92" i="4"/>
  <c r="CM93" i="4"/>
  <c r="CM94" i="4"/>
  <c r="CM95" i="4"/>
  <c r="CM96" i="4"/>
  <c r="CM97" i="4"/>
  <c r="CM98" i="4"/>
  <c r="CM99" i="4"/>
  <c r="CM100" i="4"/>
  <c r="CM101" i="4"/>
  <c r="CM102" i="4"/>
  <c r="CM103" i="4"/>
  <c r="CM104" i="4"/>
  <c r="CM105" i="4"/>
  <c r="CM106" i="4"/>
  <c r="CM7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BV31" i="4"/>
  <c r="BW31" i="4"/>
  <c r="BX31" i="4"/>
  <c r="BY31" i="4"/>
  <c r="BZ31" i="4"/>
  <c r="CA31" i="4"/>
  <c r="CB31" i="4"/>
  <c r="CC31" i="4"/>
  <c r="CD31" i="4"/>
  <c r="CE31" i="4"/>
  <c r="CF31" i="4"/>
  <c r="CG31" i="4"/>
  <c r="CH31" i="4"/>
  <c r="CI31" i="4"/>
  <c r="CJ31" i="4"/>
  <c r="CK31" i="4"/>
  <c r="CL31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BV67" i="4"/>
  <c r="BW67" i="4"/>
  <c r="BX67" i="4"/>
  <c r="BY67" i="4"/>
  <c r="BZ67" i="4"/>
  <c r="CA67" i="4"/>
  <c r="CB67" i="4"/>
  <c r="CC67" i="4"/>
  <c r="CD67" i="4"/>
  <c r="CE67" i="4"/>
  <c r="CF67" i="4"/>
  <c r="CG67" i="4"/>
  <c r="CH67" i="4"/>
  <c r="CI67" i="4"/>
  <c r="CJ67" i="4"/>
  <c r="CK67" i="4"/>
  <c r="CL67" i="4"/>
  <c r="BV68" i="4"/>
  <c r="BW68" i="4"/>
  <c r="BX68" i="4"/>
  <c r="BY68" i="4"/>
  <c r="BZ68" i="4"/>
  <c r="CA68" i="4"/>
  <c r="CB68" i="4"/>
  <c r="CC68" i="4"/>
  <c r="CD68" i="4"/>
  <c r="CE68" i="4"/>
  <c r="CF68" i="4"/>
  <c r="CG68" i="4"/>
  <c r="CH68" i="4"/>
  <c r="CI68" i="4"/>
  <c r="CJ68" i="4"/>
  <c r="CK68" i="4"/>
  <c r="CL68" i="4"/>
  <c r="BV69" i="4"/>
  <c r="BW69" i="4"/>
  <c r="BX69" i="4"/>
  <c r="BY69" i="4"/>
  <c r="BZ69" i="4"/>
  <c r="CA69" i="4"/>
  <c r="CB69" i="4"/>
  <c r="CC69" i="4"/>
  <c r="CD69" i="4"/>
  <c r="CE69" i="4"/>
  <c r="CF69" i="4"/>
  <c r="CG69" i="4"/>
  <c r="CH69" i="4"/>
  <c r="CI69" i="4"/>
  <c r="CJ69" i="4"/>
  <c r="CK69" i="4"/>
  <c r="CL69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BV71" i="4"/>
  <c r="BW71" i="4"/>
  <c r="BX71" i="4"/>
  <c r="BY71" i="4"/>
  <c r="BZ71" i="4"/>
  <c r="CA71" i="4"/>
  <c r="CB71" i="4"/>
  <c r="CC71" i="4"/>
  <c r="CD71" i="4"/>
  <c r="CE71" i="4"/>
  <c r="CF71" i="4"/>
  <c r="CG71" i="4"/>
  <c r="CH71" i="4"/>
  <c r="CI71" i="4"/>
  <c r="CJ71" i="4"/>
  <c r="CK71" i="4"/>
  <c r="CL71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BV87" i="4"/>
  <c r="BW87" i="4"/>
  <c r="BX87" i="4"/>
  <c r="BY87" i="4"/>
  <c r="BZ87" i="4"/>
  <c r="CA87" i="4"/>
  <c r="CB87" i="4"/>
  <c r="CC87" i="4"/>
  <c r="CD87" i="4"/>
  <c r="CE87" i="4"/>
  <c r="CF87" i="4"/>
  <c r="CG87" i="4"/>
  <c r="CH87" i="4"/>
  <c r="CI87" i="4"/>
  <c r="CJ87" i="4"/>
  <c r="CK87" i="4"/>
  <c r="CL87" i="4"/>
  <c r="BV88" i="4"/>
  <c r="BW88" i="4"/>
  <c r="BX88" i="4"/>
  <c r="BY88" i="4"/>
  <c r="BZ88" i="4"/>
  <c r="CA88" i="4"/>
  <c r="CB88" i="4"/>
  <c r="CC88" i="4"/>
  <c r="CD88" i="4"/>
  <c r="CE88" i="4"/>
  <c r="CF88" i="4"/>
  <c r="CG88" i="4"/>
  <c r="CH88" i="4"/>
  <c r="CI88" i="4"/>
  <c r="CJ88" i="4"/>
  <c r="CK88" i="4"/>
  <c r="CL88" i="4"/>
  <c r="BV89" i="4"/>
  <c r="BW89" i="4"/>
  <c r="BX89" i="4"/>
  <c r="BY89" i="4"/>
  <c r="BZ89" i="4"/>
  <c r="CA89" i="4"/>
  <c r="CB89" i="4"/>
  <c r="CC89" i="4"/>
  <c r="CD89" i="4"/>
  <c r="CE89" i="4"/>
  <c r="CF89" i="4"/>
  <c r="CG89" i="4"/>
  <c r="CH89" i="4"/>
  <c r="CI89" i="4"/>
  <c r="CJ89" i="4"/>
  <c r="CK89" i="4"/>
  <c r="CL89" i="4"/>
  <c r="BV90" i="4"/>
  <c r="BW90" i="4"/>
  <c r="BX90" i="4"/>
  <c r="BY90" i="4"/>
  <c r="BZ90" i="4"/>
  <c r="CA90" i="4"/>
  <c r="CB90" i="4"/>
  <c r="CC90" i="4"/>
  <c r="CD90" i="4"/>
  <c r="CE90" i="4"/>
  <c r="CF90" i="4"/>
  <c r="CG90" i="4"/>
  <c r="CH90" i="4"/>
  <c r="CI90" i="4"/>
  <c r="CJ90" i="4"/>
  <c r="CK90" i="4"/>
  <c r="CL90" i="4"/>
  <c r="BV91" i="4"/>
  <c r="BW91" i="4"/>
  <c r="BX91" i="4"/>
  <c r="BY91" i="4"/>
  <c r="BZ91" i="4"/>
  <c r="CA91" i="4"/>
  <c r="CB91" i="4"/>
  <c r="CC91" i="4"/>
  <c r="CD91" i="4"/>
  <c r="CE91" i="4"/>
  <c r="CF91" i="4"/>
  <c r="CG91" i="4"/>
  <c r="CH91" i="4"/>
  <c r="CI91" i="4"/>
  <c r="CJ91" i="4"/>
  <c r="CK91" i="4"/>
  <c r="CL91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BV7" i="4"/>
  <c r="BO8" i="4"/>
  <c r="BP8" i="4"/>
  <c r="BQ8" i="4"/>
  <c r="BR8" i="4"/>
  <c r="BS8" i="4"/>
  <c r="BT8" i="4"/>
  <c r="BO9" i="4"/>
  <c r="BP9" i="4"/>
  <c r="BQ9" i="4"/>
  <c r="BR9" i="4"/>
  <c r="BS9" i="4"/>
  <c r="BT9" i="4"/>
  <c r="BO10" i="4"/>
  <c r="BP10" i="4"/>
  <c r="BQ10" i="4"/>
  <c r="BR10" i="4"/>
  <c r="BS10" i="4"/>
  <c r="BT10" i="4"/>
  <c r="BO11" i="4"/>
  <c r="BP11" i="4"/>
  <c r="BQ11" i="4"/>
  <c r="BR11" i="4"/>
  <c r="BS11" i="4"/>
  <c r="BT11" i="4"/>
  <c r="BO12" i="4"/>
  <c r="BP12" i="4"/>
  <c r="BQ12" i="4"/>
  <c r="BR12" i="4"/>
  <c r="BS12" i="4"/>
  <c r="BT12" i="4"/>
  <c r="BO13" i="4"/>
  <c r="BP13" i="4"/>
  <c r="BQ13" i="4"/>
  <c r="BR13" i="4"/>
  <c r="BS13" i="4"/>
  <c r="BT13" i="4"/>
  <c r="BO14" i="4"/>
  <c r="BP14" i="4"/>
  <c r="BQ14" i="4"/>
  <c r="BR14" i="4"/>
  <c r="BS14" i="4"/>
  <c r="BT14" i="4"/>
  <c r="BO15" i="4"/>
  <c r="BP15" i="4"/>
  <c r="BQ15" i="4"/>
  <c r="BR15" i="4"/>
  <c r="BS15" i="4"/>
  <c r="BT15" i="4"/>
  <c r="BO16" i="4"/>
  <c r="BP16" i="4"/>
  <c r="BQ16" i="4"/>
  <c r="BR16" i="4"/>
  <c r="BS16" i="4"/>
  <c r="BT16" i="4"/>
  <c r="BO17" i="4"/>
  <c r="BP17" i="4"/>
  <c r="BQ17" i="4"/>
  <c r="BR17" i="4"/>
  <c r="BS17" i="4"/>
  <c r="BT17" i="4"/>
  <c r="BO18" i="4"/>
  <c r="BP18" i="4"/>
  <c r="BQ18" i="4"/>
  <c r="BR18" i="4"/>
  <c r="BS18" i="4"/>
  <c r="BT18" i="4"/>
  <c r="BO19" i="4"/>
  <c r="BP19" i="4"/>
  <c r="BQ19" i="4"/>
  <c r="BR19" i="4"/>
  <c r="BS19" i="4"/>
  <c r="BT19" i="4"/>
  <c r="BO20" i="4"/>
  <c r="BP20" i="4"/>
  <c r="BQ20" i="4"/>
  <c r="BR20" i="4"/>
  <c r="BS20" i="4"/>
  <c r="BT20" i="4"/>
  <c r="BO21" i="4"/>
  <c r="BP21" i="4"/>
  <c r="BQ21" i="4"/>
  <c r="BR21" i="4"/>
  <c r="BS21" i="4"/>
  <c r="BT21" i="4"/>
  <c r="BO22" i="4"/>
  <c r="BP22" i="4"/>
  <c r="BQ22" i="4"/>
  <c r="BR22" i="4"/>
  <c r="BS22" i="4"/>
  <c r="BT22" i="4"/>
  <c r="BO23" i="4"/>
  <c r="BP23" i="4"/>
  <c r="BQ23" i="4"/>
  <c r="BR23" i="4"/>
  <c r="BS23" i="4"/>
  <c r="BT23" i="4"/>
  <c r="BO24" i="4"/>
  <c r="BP24" i="4"/>
  <c r="BQ24" i="4"/>
  <c r="BR24" i="4"/>
  <c r="BS24" i="4"/>
  <c r="BT24" i="4"/>
  <c r="BO25" i="4"/>
  <c r="BP25" i="4"/>
  <c r="BQ25" i="4"/>
  <c r="BR25" i="4"/>
  <c r="BS25" i="4"/>
  <c r="BT25" i="4"/>
  <c r="BO26" i="4"/>
  <c r="BP26" i="4"/>
  <c r="BQ26" i="4"/>
  <c r="BR26" i="4"/>
  <c r="BS26" i="4"/>
  <c r="BT26" i="4"/>
  <c r="BO27" i="4"/>
  <c r="BP27" i="4"/>
  <c r="BQ27" i="4"/>
  <c r="BR27" i="4"/>
  <c r="BS27" i="4"/>
  <c r="BT27" i="4"/>
  <c r="BO28" i="4"/>
  <c r="BP28" i="4"/>
  <c r="BQ28" i="4"/>
  <c r="BR28" i="4"/>
  <c r="BS28" i="4"/>
  <c r="BT28" i="4"/>
  <c r="BO29" i="4"/>
  <c r="BP29" i="4"/>
  <c r="BQ29" i="4"/>
  <c r="BR29" i="4"/>
  <c r="BS29" i="4"/>
  <c r="BT29" i="4"/>
  <c r="BO30" i="4"/>
  <c r="BP30" i="4"/>
  <c r="BQ30" i="4"/>
  <c r="BR30" i="4"/>
  <c r="BS30" i="4"/>
  <c r="BT30" i="4"/>
  <c r="BO31" i="4"/>
  <c r="BP31" i="4"/>
  <c r="BQ31" i="4"/>
  <c r="BR31" i="4"/>
  <c r="BS31" i="4"/>
  <c r="BT31" i="4"/>
  <c r="BO32" i="4"/>
  <c r="BP32" i="4"/>
  <c r="BQ32" i="4"/>
  <c r="BR32" i="4"/>
  <c r="BS32" i="4"/>
  <c r="BT32" i="4"/>
  <c r="BO33" i="4"/>
  <c r="BP33" i="4"/>
  <c r="BQ33" i="4"/>
  <c r="BR33" i="4"/>
  <c r="BS33" i="4"/>
  <c r="BT33" i="4"/>
  <c r="BO34" i="4"/>
  <c r="BP34" i="4"/>
  <c r="BQ34" i="4"/>
  <c r="BR34" i="4"/>
  <c r="BS34" i="4"/>
  <c r="BT34" i="4"/>
  <c r="BO35" i="4"/>
  <c r="BP35" i="4"/>
  <c r="BQ35" i="4"/>
  <c r="BR35" i="4"/>
  <c r="BS35" i="4"/>
  <c r="BT35" i="4"/>
  <c r="BO36" i="4"/>
  <c r="BP36" i="4"/>
  <c r="BQ36" i="4"/>
  <c r="BR36" i="4"/>
  <c r="BS36" i="4"/>
  <c r="BT36" i="4"/>
  <c r="BO37" i="4"/>
  <c r="BP37" i="4"/>
  <c r="BQ37" i="4"/>
  <c r="BR37" i="4"/>
  <c r="BS37" i="4"/>
  <c r="BT37" i="4"/>
  <c r="BO38" i="4"/>
  <c r="BP38" i="4"/>
  <c r="BQ38" i="4"/>
  <c r="BR38" i="4"/>
  <c r="BS38" i="4"/>
  <c r="BT38" i="4"/>
  <c r="BO39" i="4"/>
  <c r="BP39" i="4"/>
  <c r="BQ39" i="4"/>
  <c r="BR39" i="4"/>
  <c r="BS39" i="4"/>
  <c r="BT39" i="4"/>
  <c r="BO40" i="4"/>
  <c r="BP40" i="4"/>
  <c r="BQ40" i="4"/>
  <c r="BR40" i="4"/>
  <c r="BS40" i="4"/>
  <c r="BT40" i="4"/>
  <c r="BO41" i="4"/>
  <c r="BP41" i="4"/>
  <c r="BQ41" i="4"/>
  <c r="BR41" i="4"/>
  <c r="BS41" i="4"/>
  <c r="BT41" i="4"/>
  <c r="BO42" i="4"/>
  <c r="BP42" i="4"/>
  <c r="BQ42" i="4"/>
  <c r="BR42" i="4"/>
  <c r="BS42" i="4"/>
  <c r="BT42" i="4"/>
  <c r="BO43" i="4"/>
  <c r="BP43" i="4"/>
  <c r="BQ43" i="4"/>
  <c r="BR43" i="4"/>
  <c r="BS43" i="4"/>
  <c r="BT43" i="4"/>
  <c r="BO44" i="4"/>
  <c r="BP44" i="4"/>
  <c r="BQ44" i="4"/>
  <c r="BR44" i="4"/>
  <c r="BS44" i="4"/>
  <c r="BT44" i="4"/>
  <c r="BO45" i="4"/>
  <c r="BP45" i="4"/>
  <c r="BQ45" i="4"/>
  <c r="BR45" i="4"/>
  <c r="BS45" i="4"/>
  <c r="BT45" i="4"/>
  <c r="BO46" i="4"/>
  <c r="BP46" i="4"/>
  <c r="BQ46" i="4"/>
  <c r="BR46" i="4"/>
  <c r="BS46" i="4"/>
  <c r="BT46" i="4"/>
  <c r="BO47" i="4"/>
  <c r="BP47" i="4"/>
  <c r="BQ47" i="4"/>
  <c r="BR47" i="4"/>
  <c r="BS47" i="4"/>
  <c r="BT47" i="4"/>
  <c r="BO48" i="4"/>
  <c r="BP48" i="4"/>
  <c r="BQ48" i="4"/>
  <c r="BR48" i="4"/>
  <c r="BS48" i="4"/>
  <c r="BT48" i="4"/>
  <c r="BO49" i="4"/>
  <c r="BP49" i="4"/>
  <c r="BQ49" i="4"/>
  <c r="BR49" i="4"/>
  <c r="BS49" i="4"/>
  <c r="BT49" i="4"/>
  <c r="BO50" i="4"/>
  <c r="BP50" i="4"/>
  <c r="BQ50" i="4"/>
  <c r="BR50" i="4"/>
  <c r="BS50" i="4"/>
  <c r="BT50" i="4"/>
  <c r="BO51" i="4"/>
  <c r="BP51" i="4"/>
  <c r="BQ51" i="4"/>
  <c r="BR51" i="4"/>
  <c r="BS51" i="4"/>
  <c r="BT51" i="4"/>
  <c r="BO52" i="4"/>
  <c r="BP52" i="4"/>
  <c r="BQ52" i="4"/>
  <c r="BR52" i="4"/>
  <c r="BS52" i="4"/>
  <c r="BT52" i="4"/>
  <c r="BO53" i="4"/>
  <c r="BP53" i="4"/>
  <c r="BQ53" i="4"/>
  <c r="BR53" i="4"/>
  <c r="BS53" i="4"/>
  <c r="BT53" i="4"/>
  <c r="BO54" i="4"/>
  <c r="BP54" i="4"/>
  <c r="BQ54" i="4"/>
  <c r="BR54" i="4"/>
  <c r="BS54" i="4"/>
  <c r="BT54" i="4"/>
  <c r="BO55" i="4"/>
  <c r="BP55" i="4"/>
  <c r="BQ55" i="4"/>
  <c r="BR55" i="4"/>
  <c r="BS55" i="4"/>
  <c r="BT55" i="4"/>
  <c r="BO56" i="4"/>
  <c r="BP56" i="4"/>
  <c r="BQ56" i="4"/>
  <c r="BR56" i="4"/>
  <c r="BS56" i="4"/>
  <c r="BT56" i="4"/>
  <c r="BO57" i="4"/>
  <c r="BP57" i="4"/>
  <c r="BQ57" i="4"/>
  <c r="BR57" i="4"/>
  <c r="BS57" i="4"/>
  <c r="BT57" i="4"/>
  <c r="BO58" i="4"/>
  <c r="BP58" i="4"/>
  <c r="BQ58" i="4"/>
  <c r="BR58" i="4"/>
  <c r="BS58" i="4"/>
  <c r="BT58" i="4"/>
  <c r="BO59" i="4"/>
  <c r="BP59" i="4"/>
  <c r="BQ59" i="4"/>
  <c r="BR59" i="4"/>
  <c r="BS59" i="4"/>
  <c r="BT59" i="4"/>
  <c r="BO60" i="4"/>
  <c r="BP60" i="4"/>
  <c r="BQ60" i="4"/>
  <c r="BR60" i="4"/>
  <c r="BS60" i="4"/>
  <c r="BT60" i="4"/>
  <c r="BO61" i="4"/>
  <c r="BP61" i="4"/>
  <c r="BQ61" i="4"/>
  <c r="BR61" i="4"/>
  <c r="BS61" i="4"/>
  <c r="BT61" i="4"/>
  <c r="BO62" i="4"/>
  <c r="BP62" i="4"/>
  <c r="BQ62" i="4"/>
  <c r="BR62" i="4"/>
  <c r="BS62" i="4"/>
  <c r="BT62" i="4"/>
  <c r="BO63" i="4"/>
  <c r="BP63" i="4"/>
  <c r="BQ63" i="4"/>
  <c r="BR63" i="4"/>
  <c r="BS63" i="4"/>
  <c r="BT63" i="4"/>
  <c r="BO64" i="4"/>
  <c r="BP64" i="4"/>
  <c r="BQ64" i="4"/>
  <c r="BR64" i="4"/>
  <c r="BS64" i="4"/>
  <c r="BT64" i="4"/>
  <c r="BO65" i="4"/>
  <c r="BP65" i="4"/>
  <c r="BQ65" i="4"/>
  <c r="BR65" i="4"/>
  <c r="BS65" i="4"/>
  <c r="BT65" i="4"/>
  <c r="BO66" i="4"/>
  <c r="BP66" i="4"/>
  <c r="BQ66" i="4"/>
  <c r="BR66" i="4"/>
  <c r="BS66" i="4"/>
  <c r="BT66" i="4"/>
  <c r="BO67" i="4"/>
  <c r="BP67" i="4"/>
  <c r="BQ67" i="4"/>
  <c r="BR67" i="4"/>
  <c r="BS67" i="4"/>
  <c r="BT67" i="4"/>
  <c r="BO68" i="4"/>
  <c r="BP68" i="4"/>
  <c r="BQ68" i="4"/>
  <c r="BR68" i="4"/>
  <c r="BS68" i="4"/>
  <c r="BT68" i="4"/>
  <c r="BO69" i="4"/>
  <c r="BP69" i="4"/>
  <c r="BQ69" i="4"/>
  <c r="BR69" i="4"/>
  <c r="BS69" i="4"/>
  <c r="BT69" i="4"/>
  <c r="BO70" i="4"/>
  <c r="BP70" i="4"/>
  <c r="BQ70" i="4"/>
  <c r="BR70" i="4"/>
  <c r="BS70" i="4"/>
  <c r="BT70" i="4"/>
  <c r="BO71" i="4"/>
  <c r="BP71" i="4"/>
  <c r="BQ71" i="4"/>
  <c r="BR71" i="4"/>
  <c r="BS71" i="4"/>
  <c r="BT71" i="4"/>
  <c r="BO72" i="4"/>
  <c r="BP72" i="4"/>
  <c r="BQ72" i="4"/>
  <c r="BR72" i="4"/>
  <c r="BS72" i="4"/>
  <c r="BT72" i="4"/>
  <c r="BO73" i="4"/>
  <c r="BP73" i="4"/>
  <c r="BQ73" i="4"/>
  <c r="BR73" i="4"/>
  <c r="BS73" i="4"/>
  <c r="BT73" i="4"/>
  <c r="BO74" i="4"/>
  <c r="BP74" i="4"/>
  <c r="BQ74" i="4"/>
  <c r="BR74" i="4"/>
  <c r="BS74" i="4"/>
  <c r="BT74" i="4"/>
  <c r="BO75" i="4"/>
  <c r="BP75" i="4"/>
  <c r="BQ75" i="4"/>
  <c r="BR75" i="4"/>
  <c r="BS75" i="4"/>
  <c r="BT75" i="4"/>
  <c r="BO76" i="4"/>
  <c r="BP76" i="4"/>
  <c r="BQ76" i="4"/>
  <c r="BR76" i="4"/>
  <c r="BS76" i="4"/>
  <c r="BT76" i="4"/>
  <c r="BO77" i="4"/>
  <c r="BP77" i="4"/>
  <c r="BQ77" i="4"/>
  <c r="BR77" i="4"/>
  <c r="BS77" i="4"/>
  <c r="BT77" i="4"/>
  <c r="BO78" i="4"/>
  <c r="BP78" i="4"/>
  <c r="BQ78" i="4"/>
  <c r="BR78" i="4"/>
  <c r="BS78" i="4"/>
  <c r="BT78" i="4"/>
  <c r="BO79" i="4"/>
  <c r="BP79" i="4"/>
  <c r="BQ79" i="4"/>
  <c r="BR79" i="4"/>
  <c r="BS79" i="4"/>
  <c r="BT79" i="4"/>
  <c r="BO80" i="4"/>
  <c r="BP80" i="4"/>
  <c r="BQ80" i="4"/>
  <c r="BR80" i="4"/>
  <c r="BS80" i="4"/>
  <c r="BT80" i="4"/>
  <c r="BO81" i="4"/>
  <c r="BP81" i="4"/>
  <c r="BQ81" i="4"/>
  <c r="BR81" i="4"/>
  <c r="BS81" i="4"/>
  <c r="BT81" i="4"/>
  <c r="BO82" i="4"/>
  <c r="BP82" i="4"/>
  <c r="BQ82" i="4"/>
  <c r="BR82" i="4"/>
  <c r="BS82" i="4"/>
  <c r="BT82" i="4"/>
  <c r="BO83" i="4"/>
  <c r="BP83" i="4"/>
  <c r="BQ83" i="4"/>
  <c r="BR83" i="4"/>
  <c r="BS83" i="4"/>
  <c r="BT83" i="4"/>
  <c r="BO84" i="4"/>
  <c r="BP84" i="4"/>
  <c r="BQ84" i="4"/>
  <c r="BR84" i="4"/>
  <c r="BS84" i="4"/>
  <c r="BT84" i="4"/>
  <c r="BO85" i="4"/>
  <c r="BP85" i="4"/>
  <c r="BQ85" i="4"/>
  <c r="BR85" i="4"/>
  <c r="BS85" i="4"/>
  <c r="BT85" i="4"/>
  <c r="BO86" i="4"/>
  <c r="BP86" i="4"/>
  <c r="BQ86" i="4"/>
  <c r="BR86" i="4"/>
  <c r="BS86" i="4"/>
  <c r="BT86" i="4"/>
  <c r="BO87" i="4"/>
  <c r="BP87" i="4"/>
  <c r="BQ87" i="4"/>
  <c r="BR87" i="4"/>
  <c r="BS87" i="4"/>
  <c r="BT87" i="4"/>
  <c r="BO88" i="4"/>
  <c r="BP88" i="4"/>
  <c r="BQ88" i="4"/>
  <c r="BR88" i="4"/>
  <c r="BS88" i="4"/>
  <c r="BT88" i="4"/>
  <c r="BO89" i="4"/>
  <c r="BP89" i="4"/>
  <c r="BQ89" i="4"/>
  <c r="BR89" i="4"/>
  <c r="BS89" i="4"/>
  <c r="BT89" i="4"/>
  <c r="BO90" i="4"/>
  <c r="BP90" i="4"/>
  <c r="BQ90" i="4"/>
  <c r="BR90" i="4"/>
  <c r="BS90" i="4"/>
  <c r="BT90" i="4"/>
  <c r="BO91" i="4"/>
  <c r="BP91" i="4"/>
  <c r="BQ91" i="4"/>
  <c r="BR91" i="4"/>
  <c r="BS91" i="4"/>
  <c r="BT91" i="4"/>
  <c r="BO92" i="4"/>
  <c r="BP92" i="4"/>
  <c r="BQ92" i="4"/>
  <c r="BR92" i="4"/>
  <c r="BS92" i="4"/>
  <c r="BT92" i="4"/>
  <c r="BO93" i="4"/>
  <c r="BP93" i="4"/>
  <c r="BQ93" i="4"/>
  <c r="BR93" i="4"/>
  <c r="BS93" i="4"/>
  <c r="BT93" i="4"/>
  <c r="BO94" i="4"/>
  <c r="BP94" i="4"/>
  <c r="BQ94" i="4"/>
  <c r="BR94" i="4"/>
  <c r="BS94" i="4"/>
  <c r="BT94" i="4"/>
  <c r="BO95" i="4"/>
  <c r="BP95" i="4"/>
  <c r="BQ95" i="4"/>
  <c r="BR95" i="4"/>
  <c r="BS95" i="4"/>
  <c r="BT95" i="4"/>
  <c r="BO96" i="4"/>
  <c r="BP96" i="4"/>
  <c r="BQ96" i="4"/>
  <c r="BR96" i="4"/>
  <c r="BS96" i="4"/>
  <c r="BT96" i="4"/>
  <c r="BO97" i="4"/>
  <c r="BP97" i="4"/>
  <c r="BQ97" i="4"/>
  <c r="BR97" i="4"/>
  <c r="BS97" i="4"/>
  <c r="BT97" i="4"/>
  <c r="BO98" i="4"/>
  <c r="BP98" i="4"/>
  <c r="BQ98" i="4"/>
  <c r="BR98" i="4"/>
  <c r="BS98" i="4"/>
  <c r="BT98" i="4"/>
  <c r="BO99" i="4"/>
  <c r="BP99" i="4"/>
  <c r="BQ99" i="4"/>
  <c r="BR99" i="4"/>
  <c r="BS99" i="4"/>
  <c r="BT99" i="4"/>
  <c r="BO100" i="4"/>
  <c r="BP100" i="4"/>
  <c r="BQ100" i="4"/>
  <c r="BR100" i="4"/>
  <c r="BS100" i="4"/>
  <c r="BT100" i="4"/>
  <c r="BO101" i="4"/>
  <c r="BP101" i="4"/>
  <c r="BQ101" i="4"/>
  <c r="BR101" i="4"/>
  <c r="BS101" i="4"/>
  <c r="BT101" i="4"/>
  <c r="BO102" i="4"/>
  <c r="BP102" i="4"/>
  <c r="BQ102" i="4"/>
  <c r="BR102" i="4"/>
  <c r="BS102" i="4"/>
  <c r="BT102" i="4"/>
  <c r="BO103" i="4"/>
  <c r="BP103" i="4"/>
  <c r="BQ103" i="4"/>
  <c r="BR103" i="4"/>
  <c r="BS103" i="4"/>
  <c r="BT103" i="4"/>
  <c r="BO104" i="4"/>
  <c r="BP104" i="4"/>
  <c r="BQ104" i="4"/>
  <c r="BR104" i="4"/>
  <c r="BS104" i="4"/>
  <c r="BT104" i="4"/>
  <c r="BO105" i="4"/>
  <c r="BP105" i="4"/>
  <c r="BQ105" i="4"/>
  <c r="BR105" i="4"/>
  <c r="BS105" i="4"/>
  <c r="BT105" i="4"/>
  <c r="BO106" i="4"/>
  <c r="BP106" i="4"/>
  <c r="BQ106" i="4"/>
  <c r="BR106" i="4"/>
  <c r="BS106" i="4"/>
  <c r="BT106" i="4"/>
  <c r="BP7" i="4"/>
  <c r="BQ7" i="4"/>
  <c r="BR7" i="4"/>
  <c r="BS7" i="4"/>
  <c r="BT7" i="4"/>
  <c r="BO7" i="4"/>
  <c r="BN8" i="4"/>
  <c r="BN9" i="4"/>
  <c r="BN10" i="4"/>
  <c r="BN11" i="4"/>
  <c r="BN12" i="4"/>
  <c r="BN13" i="4"/>
  <c r="BN14" i="4"/>
  <c r="BN15" i="4"/>
  <c r="BN16" i="4"/>
  <c r="BN17" i="4"/>
  <c r="BN18" i="4"/>
  <c r="BN19" i="4"/>
  <c r="BN20" i="4"/>
  <c r="BN21" i="4"/>
  <c r="BN22" i="4"/>
  <c r="BN23" i="4"/>
  <c r="BN24" i="4"/>
  <c r="BN25" i="4"/>
  <c r="BN26" i="4"/>
  <c r="BN27" i="4"/>
  <c r="BN28" i="4"/>
  <c r="BN29" i="4"/>
  <c r="BN30" i="4"/>
  <c r="BN31" i="4"/>
  <c r="BN32" i="4"/>
  <c r="BN33" i="4"/>
  <c r="BN34" i="4"/>
  <c r="BN35" i="4"/>
  <c r="BN36" i="4"/>
  <c r="BN37" i="4"/>
  <c r="BN38" i="4"/>
  <c r="BN39" i="4"/>
  <c r="BN40" i="4"/>
  <c r="BN41" i="4"/>
  <c r="BN42" i="4"/>
  <c r="BN43" i="4"/>
  <c r="BN44" i="4"/>
  <c r="BN45" i="4"/>
  <c r="BN46" i="4"/>
  <c r="BN47" i="4"/>
  <c r="BN48" i="4"/>
  <c r="BN49" i="4"/>
  <c r="BN50" i="4"/>
  <c r="BN51" i="4"/>
  <c r="BN52" i="4"/>
  <c r="BN53" i="4"/>
  <c r="BN54" i="4"/>
  <c r="BN55" i="4"/>
  <c r="BN56" i="4"/>
  <c r="BN57" i="4"/>
  <c r="BN58" i="4"/>
  <c r="BN59" i="4"/>
  <c r="BN60" i="4"/>
  <c r="BN61" i="4"/>
  <c r="BN62" i="4"/>
  <c r="BN63" i="4"/>
  <c r="BN64" i="4"/>
  <c r="BN65" i="4"/>
  <c r="BN66" i="4"/>
  <c r="BN67" i="4"/>
  <c r="BN68" i="4"/>
  <c r="BN69" i="4"/>
  <c r="BN70" i="4"/>
  <c r="BN71" i="4"/>
  <c r="BN72" i="4"/>
  <c r="BN73" i="4"/>
  <c r="BN74" i="4"/>
  <c r="BN75" i="4"/>
  <c r="BN76" i="4"/>
  <c r="BN77" i="4"/>
  <c r="BN78" i="4"/>
  <c r="BN79" i="4"/>
  <c r="BN80" i="4"/>
  <c r="BN81" i="4"/>
  <c r="BN82" i="4"/>
  <c r="BN83" i="4"/>
  <c r="BN84" i="4"/>
  <c r="BN85" i="4"/>
  <c r="BN86" i="4"/>
  <c r="BN87" i="4"/>
  <c r="BN88" i="4"/>
  <c r="BN89" i="4"/>
  <c r="BN90" i="4"/>
  <c r="BN91" i="4"/>
  <c r="BN92" i="4"/>
  <c r="BN93" i="4"/>
  <c r="BN94" i="4"/>
  <c r="BN95" i="4"/>
  <c r="BN96" i="4"/>
  <c r="BN97" i="4"/>
  <c r="BN98" i="4"/>
  <c r="BN99" i="4"/>
  <c r="BN100" i="4"/>
  <c r="BN101" i="4"/>
  <c r="BN102" i="4"/>
  <c r="BN103" i="4"/>
  <c r="BN104" i="4"/>
  <c r="BN105" i="4"/>
  <c r="BN106" i="4"/>
  <c r="BN7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A9" i="4"/>
  <c r="BC9" i="4"/>
  <c r="BD9" i="4"/>
  <c r="BE9" i="4"/>
  <c r="BF9" i="4"/>
  <c r="BG9" i="4"/>
  <c r="BH9" i="4"/>
  <c r="BI9" i="4"/>
  <c r="BJ9" i="4"/>
  <c r="BK9" i="4"/>
  <c r="BL9" i="4"/>
  <c r="BM9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BM10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BM18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BM31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BM50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A66" i="4"/>
  <c r="BB66" i="4"/>
  <c r="BC66" i="4"/>
  <c r="BD66" i="4"/>
  <c r="BE66" i="4"/>
  <c r="BF66" i="4"/>
  <c r="BG66" i="4"/>
  <c r="BH66" i="4"/>
  <c r="BI66" i="4"/>
  <c r="BJ66" i="4"/>
  <c r="BK66" i="4"/>
  <c r="BL66" i="4"/>
  <c r="BM66" i="4"/>
  <c r="BA67" i="4"/>
  <c r="BB67" i="4"/>
  <c r="BC67" i="4"/>
  <c r="BD67" i="4"/>
  <c r="BE67" i="4"/>
  <c r="BF67" i="4"/>
  <c r="BG67" i="4"/>
  <c r="BH67" i="4"/>
  <c r="BI67" i="4"/>
  <c r="BJ67" i="4"/>
  <c r="BK67" i="4"/>
  <c r="BL67" i="4"/>
  <c r="BM67" i="4"/>
  <c r="BA68" i="4"/>
  <c r="BB68" i="4"/>
  <c r="BC68" i="4"/>
  <c r="BD68" i="4"/>
  <c r="BE68" i="4"/>
  <c r="BF68" i="4"/>
  <c r="BG68" i="4"/>
  <c r="BH68" i="4"/>
  <c r="BI68" i="4"/>
  <c r="BJ68" i="4"/>
  <c r="BK68" i="4"/>
  <c r="BL68" i="4"/>
  <c r="BM68" i="4"/>
  <c r="BA69" i="4"/>
  <c r="BB69" i="4"/>
  <c r="BC69" i="4"/>
  <c r="BD69" i="4"/>
  <c r="BE69" i="4"/>
  <c r="BF69" i="4"/>
  <c r="BG69" i="4"/>
  <c r="BH69" i="4"/>
  <c r="BI69" i="4"/>
  <c r="BJ69" i="4"/>
  <c r="BK69" i="4"/>
  <c r="BL69" i="4"/>
  <c r="BM69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A71" i="4"/>
  <c r="BB71" i="4"/>
  <c r="BC71" i="4"/>
  <c r="BD71" i="4"/>
  <c r="BE71" i="4"/>
  <c r="BF71" i="4"/>
  <c r="BG71" i="4"/>
  <c r="BH71" i="4"/>
  <c r="BI71" i="4"/>
  <c r="BJ71" i="4"/>
  <c r="BK71" i="4"/>
  <c r="BL71" i="4"/>
  <c r="BM71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A87" i="4"/>
  <c r="BB87" i="4"/>
  <c r="BC87" i="4"/>
  <c r="BD87" i="4"/>
  <c r="BE87" i="4"/>
  <c r="BF87" i="4"/>
  <c r="BG87" i="4"/>
  <c r="BH87" i="4"/>
  <c r="BI87" i="4"/>
  <c r="BJ87" i="4"/>
  <c r="BK87" i="4"/>
  <c r="BL87" i="4"/>
  <c r="BM87" i="4"/>
  <c r="BA88" i="4"/>
  <c r="BB88" i="4"/>
  <c r="BC88" i="4"/>
  <c r="BD88" i="4"/>
  <c r="BE88" i="4"/>
  <c r="BF88" i="4"/>
  <c r="BG88" i="4"/>
  <c r="BH88" i="4"/>
  <c r="BI88" i="4"/>
  <c r="BJ88" i="4"/>
  <c r="BK88" i="4"/>
  <c r="BL88" i="4"/>
  <c r="BM88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A90" i="4"/>
  <c r="BB90" i="4"/>
  <c r="BC90" i="4"/>
  <c r="BD90" i="4"/>
  <c r="BE90" i="4"/>
  <c r="BF90" i="4"/>
  <c r="BG90" i="4"/>
  <c r="BH90" i="4"/>
  <c r="BI90" i="4"/>
  <c r="BJ90" i="4"/>
  <c r="BK90" i="4"/>
  <c r="BL90" i="4"/>
  <c r="BM90" i="4"/>
  <c r="BA91" i="4"/>
  <c r="BB91" i="4"/>
  <c r="BC91" i="4"/>
  <c r="BD91" i="4"/>
  <c r="BE91" i="4"/>
  <c r="BF91" i="4"/>
  <c r="BG91" i="4"/>
  <c r="BH91" i="4"/>
  <c r="BI91" i="4"/>
  <c r="BJ91" i="4"/>
  <c r="BK91" i="4"/>
  <c r="BL91" i="4"/>
  <c r="BM91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A105" i="4"/>
  <c r="BB105" i="4"/>
  <c r="BC105" i="4"/>
  <c r="BD105" i="4"/>
  <c r="BE105" i="4"/>
  <c r="BF105" i="4"/>
  <c r="BG105" i="4"/>
  <c r="BH105" i="4"/>
  <c r="BI105" i="4"/>
  <c r="BJ105" i="4"/>
  <c r="BK105" i="4"/>
  <c r="BL105" i="4"/>
  <c r="BM105" i="4"/>
  <c r="BA106" i="4"/>
  <c r="BB106" i="4"/>
  <c r="BC106" i="4"/>
  <c r="BD106" i="4"/>
  <c r="BE106" i="4"/>
  <c r="BF106" i="4"/>
  <c r="BG106" i="4"/>
  <c r="BH106" i="4"/>
  <c r="BI106" i="4"/>
  <c r="BJ106" i="4"/>
  <c r="BK106" i="4"/>
  <c r="BL106" i="4"/>
  <c r="BM106" i="4"/>
  <c r="BB7" i="4"/>
  <c r="BC7" i="4"/>
  <c r="BD7" i="4"/>
  <c r="BE7" i="4"/>
  <c r="BF7" i="4"/>
  <c r="BG7" i="4"/>
  <c r="BH7" i="4"/>
  <c r="BI7" i="4"/>
  <c r="BJ7" i="4"/>
  <c r="BK7" i="4"/>
  <c r="BL7" i="4"/>
  <c r="BM7" i="4"/>
  <c r="BA7" i="4"/>
  <c r="AZ8" i="4"/>
  <c r="AZ9" i="4"/>
  <c r="AZ10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5" i="4"/>
  <c r="AZ56" i="4"/>
  <c r="AZ57" i="4"/>
  <c r="AZ58" i="4"/>
  <c r="AZ59" i="4"/>
  <c r="AZ60" i="4"/>
  <c r="AZ61" i="4"/>
  <c r="AZ62" i="4"/>
  <c r="AZ63" i="4"/>
  <c r="AZ64" i="4"/>
  <c r="AZ65" i="4"/>
  <c r="AZ66" i="4"/>
  <c r="AZ67" i="4"/>
  <c r="AZ6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7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AY90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AY91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J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J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Y23" i="4"/>
  <c r="Z23" i="4"/>
  <c r="AA23" i="4"/>
  <c r="AB23" i="4"/>
  <c r="AC23" i="4"/>
  <c r="AD23" i="4"/>
  <c r="AE23" i="4"/>
  <c r="AF23" i="4"/>
  <c r="Y24" i="4"/>
  <c r="Z24" i="4"/>
  <c r="AA24" i="4"/>
  <c r="AB24" i="4"/>
  <c r="AC24" i="4"/>
  <c r="AD24" i="4"/>
  <c r="AE24" i="4"/>
  <c r="AF24" i="4"/>
  <c r="Y25" i="4"/>
  <c r="Z25" i="4"/>
  <c r="AA25" i="4"/>
  <c r="AB25" i="4"/>
  <c r="AC25" i="4"/>
  <c r="AD25" i="4"/>
  <c r="AE25" i="4"/>
  <c r="AF25" i="4"/>
  <c r="Y26" i="4"/>
  <c r="Z26" i="4"/>
  <c r="AA26" i="4"/>
  <c r="AB26" i="4"/>
  <c r="AC26" i="4"/>
  <c r="AD26" i="4"/>
  <c r="AE26" i="4"/>
  <c r="AF26" i="4"/>
  <c r="Y27" i="4"/>
  <c r="Z27" i="4"/>
  <c r="AA27" i="4"/>
  <c r="AB27" i="4"/>
  <c r="AC27" i="4"/>
  <c r="AD27" i="4"/>
  <c r="AE27" i="4"/>
  <c r="AF27" i="4"/>
  <c r="Y28" i="4"/>
  <c r="Z28" i="4"/>
  <c r="AA28" i="4"/>
  <c r="AB28" i="4"/>
  <c r="AC28" i="4"/>
  <c r="AD28" i="4"/>
  <c r="AE28" i="4"/>
  <c r="AF28" i="4"/>
  <c r="Y29" i="4"/>
  <c r="Z29" i="4"/>
  <c r="AA29" i="4"/>
  <c r="AB29" i="4"/>
  <c r="AC29" i="4"/>
  <c r="AD29" i="4"/>
  <c r="AE29" i="4"/>
  <c r="AF29" i="4"/>
  <c r="Y30" i="4"/>
  <c r="Z30" i="4"/>
  <c r="AA30" i="4"/>
  <c r="AB30" i="4"/>
  <c r="AC30" i="4"/>
  <c r="AD30" i="4"/>
  <c r="AE30" i="4"/>
  <c r="AF30" i="4"/>
  <c r="Y31" i="4"/>
  <c r="Z31" i="4"/>
  <c r="AA31" i="4"/>
  <c r="AB31" i="4"/>
  <c r="AC31" i="4"/>
  <c r="AD31" i="4"/>
  <c r="AE31" i="4"/>
  <c r="AF31" i="4"/>
  <c r="Y32" i="4"/>
  <c r="Z32" i="4"/>
  <c r="AA32" i="4"/>
  <c r="AB32" i="4"/>
  <c r="AC32" i="4"/>
  <c r="AD32" i="4"/>
  <c r="AE32" i="4"/>
  <c r="AF32" i="4"/>
  <c r="Y33" i="4"/>
  <c r="Z33" i="4"/>
  <c r="AA33" i="4"/>
  <c r="AB33" i="4"/>
  <c r="AC33" i="4"/>
  <c r="AD33" i="4"/>
  <c r="AE33" i="4"/>
  <c r="AF33" i="4"/>
  <c r="Y34" i="4"/>
  <c r="Z34" i="4"/>
  <c r="AA34" i="4"/>
  <c r="AB34" i="4"/>
  <c r="AC34" i="4"/>
  <c r="AD34" i="4"/>
  <c r="AE34" i="4"/>
  <c r="AF34" i="4"/>
  <c r="Y35" i="4"/>
  <c r="Z35" i="4"/>
  <c r="AA35" i="4"/>
  <c r="AB35" i="4"/>
  <c r="AC35" i="4"/>
  <c r="AD35" i="4"/>
  <c r="AE35" i="4"/>
  <c r="AF35" i="4"/>
  <c r="Y36" i="4"/>
  <c r="Z36" i="4"/>
  <c r="AA36" i="4"/>
  <c r="AB36" i="4"/>
  <c r="AC36" i="4"/>
  <c r="AD36" i="4"/>
  <c r="AE36" i="4"/>
  <c r="AF36" i="4"/>
  <c r="Y37" i="4"/>
  <c r="Z37" i="4"/>
  <c r="AA37" i="4"/>
  <c r="AB37" i="4"/>
  <c r="AC37" i="4"/>
  <c r="AD37" i="4"/>
  <c r="AE37" i="4"/>
  <c r="AF37" i="4"/>
  <c r="Y38" i="4"/>
  <c r="Z38" i="4"/>
  <c r="AA38" i="4"/>
  <c r="AB38" i="4"/>
  <c r="AC38" i="4"/>
  <c r="AD38" i="4"/>
  <c r="AE38" i="4"/>
  <c r="AF38" i="4"/>
  <c r="Y39" i="4"/>
  <c r="Z39" i="4"/>
  <c r="AA39" i="4"/>
  <c r="AB39" i="4"/>
  <c r="AC39" i="4"/>
  <c r="AD39" i="4"/>
  <c r="AE39" i="4"/>
  <c r="AF39" i="4"/>
  <c r="Y40" i="4"/>
  <c r="Z40" i="4"/>
  <c r="AA40" i="4"/>
  <c r="AB40" i="4"/>
  <c r="AC40" i="4"/>
  <c r="AD40" i="4"/>
  <c r="AE40" i="4"/>
  <c r="AF40" i="4"/>
  <c r="Y41" i="4"/>
  <c r="Z41" i="4"/>
  <c r="AA41" i="4"/>
  <c r="AB41" i="4"/>
  <c r="AC41" i="4"/>
  <c r="AD41" i="4"/>
  <c r="AE41" i="4"/>
  <c r="AF41" i="4"/>
  <c r="Y42" i="4"/>
  <c r="Z42" i="4"/>
  <c r="AA42" i="4"/>
  <c r="AB42" i="4"/>
  <c r="AC42" i="4"/>
  <c r="AD42" i="4"/>
  <c r="AE42" i="4"/>
  <c r="AF42" i="4"/>
  <c r="Y43" i="4"/>
  <c r="Z43" i="4"/>
  <c r="AA43" i="4"/>
  <c r="AB43" i="4"/>
  <c r="AC43" i="4"/>
  <c r="AD43" i="4"/>
  <c r="AE43" i="4"/>
  <c r="AF43" i="4"/>
  <c r="Y44" i="4"/>
  <c r="Z44" i="4"/>
  <c r="AA44" i="4"/>
  <c r="AB44" i="4"/>
  <c r="AC44" i="4"/>
  <c r="AD44" i="4"/>
  <c r="AE44" i="4"/>
  <c r="AF44" i="4"/>
  <c r="Y45" i="4"/>
  <c r="Z45" i="4"/>
  <c r="AA45" i="4"/>
  <c r="AB45" i="4"/>
  <c r="AC45" i="4"/>
  <c r="AD45" i="4"/>
  <c r="AE45" i="4"/>
  <c r="AF45" i="4"/>
  <c r="Y46" i="4"/>
  <c r="Z46" i="4"/>
  <c r="AA46" i="4"/>
  <c r="AB46" i="4"/>
  <c r="AC46" i="4"/>
  <c r="AD46" i="4"/>
  <c r="AE46" i="4"/>
  <c r="AF46" i="4"/>
  <c r="Y47" i="4"/>
  <c r="Z47" i="4"/>
  <c r="AA47" i="4"/>
  <c r="AB47" i="4"/>
  <c r="AC47" i="4"/>
  <c r="AD47" i="4"/>
  <c r="AE47" i="4"/>
  <c r="AF47" i="4"/>
  <c r="Y48" i="4"/>
  <c r="Z48" i="4"/>
  <c r="AA48" i="4"/>
  <c r="AB48" i="4"/>
  <c r="AC48" i="4"/>
  <c r="AD48" i="4"/>
  <c r="AE48" i="4"/>
  <c r="AF48" i="4"/>
  <c r="Y49" i="4"/>
  <c r="Z49" i="4"/>
  <c r="AA49" i="4"/>
  <c r="AB49" i="4"/>
  <c r="AC49" i="4"/>
  <c r="AD49" i="4"/>
  <c r="AE49" i="4"/>
  <c r="AF49" i="4"/>
  <c r="Y50" i="4"/>
  <c r="Z50" i="4"/>
  <c r="AA50" i="4"/>
  <c r="AB50" i="4"/>
  <c r="AC50" i="4"/>
  <c r="AD50" i="4"/>
  <c r="AE50" i="4"/>
  <c r="AF50" i="4"/>
  <c r="Y51" i="4"/>
  <c r="Z51" i="4"/>
  <c r="AA51" i="4"/>
  <c r="AB51" i="4"/>
  <c r="AC51" i="4"/>
  <c r="AD51" i="4"/>
  <c r="AE51" i="4"/>
  <c r="AF51" i="4"/>
  <c r="Y52" i="4"/>
  <c r="Z52" i="4"/>
  <c r="AA52" i="4"/>
  <c r="AB52" i="4"/>
  <c r="AC52" i="4"/>
  <c r="AD52" i="4"/>
  <c r="AE52" i="4"/>
  <c r="AF52" i="4"/>
  <c r="Y53" i="4"/>
  <c r="Z53" i="4"/>
  <c r="AA53" i="4"/>
  <c r="AB53" i="4"/>
  <c r="AC53" i="4"/>
  <c r="AD53" i="4"/>
  <c r="AE53" i="4"/>
  <c r="AF53" i="4"/>
  <c r="Y54" i="4"/>
  <c r="Z54" i="4"/>
  <c r="AA54" i="4"/>
  <c r="AB54" i="4"/>
  <c r="AC54" i="4"/>
  <c r="AD54" i="4"/>
  <c r="AE54" i="4"/>
  <c r="AF54" i="4"/>
  <c r="Y55" i="4"/>
  <c r="Z55" i="4"/>
  <c r="AA55" i="4"/>
  <c r="AB55" i="4"/>
  <c r="AC55" i="4"/>
  <c r="AD55" i="4"/>
  <c r="AE55" i="4"/>
  <c r="AF55" i="4"/>
  <c r="Y56" i="4"/>
  <c r="Z56" i="4"/>
  <c r="AA56" i="4"/>
  <c r="AB56" i="4"/>
  <c r="AC56" i="4"/>
  <c r="AD56" i="4"/>
  <c r="AE56" i="4"/>
  <c r="AF56" i="4"/>
  <c r="Y57" i="4"/>
  <c r="Z57" i="4"/>
  <c r="AA57" i="4"/>
  <c r="AB57" i="4"/>
  <c r="AC57" i="4"/>
  <c r="AD57" i="4"/>
  <c r="AE57" i="4"/>
  <c r="AF57" i="4"/>
  <c r="Y58" i="4"/>
  <c r="Z58" i="4"/>
  <c r="AA58" i="4"/>
  <c r="AB58" i="4"/>
  <c r="AC58" i="4"/>
  <c r="AD58" i="4"/>
  <c r="AE58" i="4"/>
  <c r="AF58" i="4"/>
  <c r="Y59" i="4"/>
  <c r="Z59" i="4"/>
  <c r="AA59" i="4"/>
  <c r="AB59" i="4"/>
  <c r="AC59" i="4"/>
  <c r="AD59" i="4"/>
  <c r="AE59" i="4"/>
  <c r="AF59" i="4"/>
  <c r="Y60" i="4"/>
  <c r="Z60" i="4"/>
  <c r="AA60" i="4"/>
  <c r="AB60" i="4"/>
  <c r="AC60" i="4"/>
  <c r="AD60" i="4"/>
  <c r="AE60" i="4"/>
  <c r="AF60" i="4"/>
  <c r="Y61" i="4"/>
  <c r="Z61" i="4"/>
  <c r="AA61" i="4"/>
  <c r="AB61" i="4"/>
  <c r="AC61" i="4"/>
  <c r="AD61" i="4"/>
  <c r="AE61" i="4"/>
  <c r="AF61" i="4"/>
  <c r="Y62" i="4"/>
  <c r="Z62" i="4"/>
  <c r="AA62" i="4"/>
  <c r="AB62" i="4"/>
  <c r="AC62" i="4"/>
  <c r="AD62" i="4"/>
  <c r="AE62" i="4"/>
  <c r="AF62" i="4"/>
  <c r="Y63" i="4"/>
  <c r="Z63" i="4"/>
  <c r="AA63" i="4"/>
  <c r="AB63" i="4"/>
  <c r="AC63" i="4"/>
  <c r="AD63" i="4"/>
  <c r="AE63" i="4"/>
  <c r="AF63" i="4"/>
  <c r="Y64" i="4"/>
  <c r="Z64" i="4"/>
  <c r="AA64" i="4"/>
  <c r="AB64" i="4"/>
  <c r="AC64" i="4"/>
  <c r="AD64" i="4"/>
  <c r="AE64" i="4"/>
  <c r="AF64" i="4"/>
  <c r="Y65" i="4"/>
  <c r="Z65" i="4"/>
  <c r="AA65" i="4"/>
  <c r="AB65" i="4"/>
  <c r="AC65" i="4"/>
  <c r="AD65" i="4"/>
  <c r="AE65" i="4"/>
  <c r="AF65" i="4"/>
  <c r="Y66" i="4"/>
  <c r="Z66" i="4"/>
  <c r="AA66" i="4"/>
  <c r="AB66" i="4"/>
  <c r="AC66" i="4"/>
  <c r="AD66" i="4"/>
  <c r="AE66" i="4"/>
  <c r="AF66" i="4"/>
  <c r="Y67" i="4"/>
  <c r="Z67" i="4"/>
  <c r="AA67" i="4"/>
  <c r="AB67" i="4"/>
  <c r="AC67" i="4"/>
  <c r="AD67" i="4"/>
  <c r="AE67" i="4"/>
  <c r="AF67" i="4"/>
  <c r="Y68" i="4"/>
  <c r="Z68" i="4"/>
  <c r="AA68" i="4"/>
  <c r="AB68" i="4"/>
  <c r="AC68" i="4"/>
  <c r="AD68" i="4"/>
  <c r="AE68" i="4"/>
  <c r="AF68" i="4"/>
  <c r="Y69" i="4"/>
  <c r="Z69" i="4"/>
  <c r="AA69" i="4"/>
  <c r="AB69" i="4"/>
  <c r="AC69" i="4"/>
  <c r="AD69" i="4"/>
  <c r="AE69" i="4"/>
  <c r="AF69" i="4"/>
  <c r="Y70" i="4"/>
  <c r="Z70" i="4"/>
  <c r="AA70" i="4"/>
  <c r="AB70" i="4"/>
  <c r="AC70" i="4"/>
  <c r="AD70" i="4"/>
  <c r="AE70" i="4"/>
  <c r="AF70" i="4"/>
  <c r="Y71" i="4"/>
  <c r="Z71" i="4"/>
  <c r="AA71" i="4"/>
  <c r="AB71" i="4"/>
  <c r="AC71" i="4"/>
  <c r="AD71" i="4"/>
  <c r="AE71" i="4"/>
  <c r="AF71" i="4"/>
  <c r="Y72" i="4"/>
  <c r="Z72" i="4"/>
  <c r="AA72" i="4"/>
  <c r="AB72" i="4"/>
  <c r="AC72" i="4"/>
  <c r="AD72" i="4"/>
  <c r="AE72" i="4"/>
  <c r="AF72" i="4"/>
  <c r="Y73" i="4"/>
  <c r="Z73" i="4"/>
  <c r="AA73" i="4"/>
  <c r="AB73" i="4"/>
  <c r="AC73" i="4"/>
  <c r="AD73" i="4"/>
  <c r="AE73" i="4"/>
  <c r="AF73" i="4"/>
  <c r="Y74" i="4"/>
  <c r="Z74" i="4"/>
  <c r="AA74" i="4"/>
  <c r="AB74" i="4"/>
  <c r="AC74" i="4"/>
  <c r="AD74" i="4"/>
  <c r="AE74" i="4"/>
  <c r="AF74" i="4"/>
  <c r="Y75" i="4"/>
  <c r="Z75" i="4"/>
  <c r="AA75" i="4"/>
  <c r="AB75" i="4"/>
  <c r="AC75" i="4"/>
  <c r="AD75" i="4"/>
  <c r="AE75" i="4"/>
  <c r="AF75" i="4"/>
  <c r="Y76" i="4"/>
  <c r="Z76" i="4"/>
  <c r="AA76" i="4"/>
  <c r="AB76" i="4"/>
  <c r="AC76" i="4"/>
  <c r="AD76" i="4"/>
  <c r="AE76" i="4"/>
  <c r="AF76" i="4"/>
  <c r="Y77" i="4"/>
  <c r="Z77" i="4"/>
  <c r="AA77" i="4"/>
  <c r="AB77" i="4"/>
  <c r="AC77" i="4"/>
  <c r="AD77" i="4"/>
  <c r="AE77" i="4"/>
  <c r="AF77" i="4"/>
  <c r="Y78" i="4"/>
  <c r="Z78" i="4"/>
  <c r="AA78" i="4"/>
  <c r="AB78" i="4"/>
  <c r="AC78" i="4"/>
  <c r="AD78" i="4"/>
  <c r="AE78" i="4"/>
  <c r="AF78" i="4"/>
  <c r="Y79" i="4"/>
  <c r="Z79" i="4"/>
  <c r="AA79" i="4"/>
  <c r="AB79" i="4"/>
  <c r="AC79" i="4"/>
  <c r="AD79" i="4"/>
  <c r="AE79" i="4"/>
  <c r="AF79" i="4"/>
  <c r="Y80" i="4"/>
  <c r="Z80" i="4"/>
  <c r="AA80" i="4"/>
  <c r="AB80" i="4"/>
  <c r="AC80" i="4"/>
  <c r="AD80" i="4"/>
  <c r="AE80" i="4"/>
  <c r="AF80" i="4"/>
  <c r="Y81" i="4"/>
  <c r="Z81" i="4"/>
  <c r="AA81" i="4"/>
  <c r="AB81" i="4"/>
  <c r="AC81" i="4"/>
  <c r="AD81" i="4"/>
  <c r="AE81" i="4"/>
  <c r="AF81" i="4"/>
  <c r="Y82" i="4"/>
  <c r="Z82" i="4"/>
  <c r="AA82" i="4"/>
  <c r="AB82" i="4"/>
  <c r="AC82" i="4"/>
  <c r="AD82" i="4"/>
  <c r="AE82" i="4"/>
  <c r="AF82" i="4"/>
  <c r="Y83" i="4"/>
  <c r="Z83" i="4"/>
  <c r="AA83" i="4"/>
  <c r="AB83" i="4"/>
  <c r="AC83" i="4"/>
  <c r="AD83" i="4"/>
  <c r="AE83" i="4"/>
  <c r="AF83" i="4"/>
  <c r="Y84" i="4"/>
  <c r="Z84" i="4"/>
  <c r="AA84" i="4"/>
  <c r="AB84" i="4"/>
  <c r="AC84" i="4"/>
  <c r="AD84" i="4"/>
  <c r="AE84" i="4"/>
  <c r="AF84" i="4"/>
  <c r="Y85" i="4"/>
  <c r="Z85" i="4"/>
  <c r="AA85" i="4"/>
  <c r="AB85" i="4"/>
  <c r="AC85" i="4"/>
  <c r="AD85" i="4"/>
  <c r="AE85" i="4"/>
  <c r="AF85" i="4"/>
  <c r="Y86" i="4"/>
  <c r="Z86" i="4"/>
  <c r="AA86" i="4"/>
  <c r="AB86" i="4"/>
  <c r="AC86" i="4"/>
  <c r="AD86" i="4"/>
  <c r="AE86" i="4"/>
  <c r="AF86" i="4"/>
  <c r="Y87" i="4"/>
  <c r="Z87" i="4"/>
  <c r="AA87" i="4"/>
  <c r="AB87" i="4"/>
  <c r="AC87" i="4"/>
  <c r="AD87" i="4"/>
  <c r="AE87" i="4"/>
  <c r="AF87" i="4"/>
  <c r="Y88" i="4"/>
  <c r="Z88" i="4"/>
  <c r="AA88" i="4"/>
  <c r="AB88" i="4"/>
  <c r="AC88" i="4"/>
  <c r="AD88" i="4"/>
  <c r="AE88" i="4"/>
  <c r="AF88" i="4"/>
  <c r="Y89" i="4"/>
  <c r="Z89" i="4"/>
  <c r="AA89" i="4"/>
  <c r="AB89" i="4"/>
  <c r="AC89" i="4"/>
  <c r="AD89" i="4"/>
  <c r="AE89" i="4"/>
  <c r="AF89" i="4"/>
  <c r="Y90" i="4"/>
  <c r="Z90" i="4"/>
  <c r="AA90" i="4"/>
  <c r="AB90" i="4"/>
  <c r="AC90" i="4"/>
  <c r="AD90" i="4"/>
  <c r="AE90" i="4"/>
  <c r="AF90" i="4"/>
  <c r="Y91" i="4"/>
  <c r="Z91" i="4"/>
  <c r="AA91" i="4"/>
  <c r="AB91" i="4"/>
  <c r="AC91" i="4"/>
  <c r="AD91" i="4"/>
  <c r="AE91" i="4"/>
  <c r="AF91" i="4"/>
  <c r="Y92" i="4"/>
  <c r="Z92" i="4"/>
  <c r="AA92" i="4"/>
  <c r="AB92" i="4"/>
  <c r="AC92" i="4"/>
  <c r="AD92" i="4"/>
  <c r="AE92" i="4"/>
  <c r="AF92" i="4"/>
  <c r="Y93" i="4"/>
  <c r="Z93" i="4"/>
  <c r="AA93" i="4"/>
  <c r="AB93" i="4"/>
  <c r="AC93" i="4"/>
  <c r="AD93" i="4"/>
  <c r="AE93" i="4"/>
  <c r="AF93" i="4"/>
  <c r="Y94" i="4"/>
  <c r="Z94" i="4"/>
  <c r="AA94" i="4"/>
  <c r="AB94" i="4"/>
  <c r="AC94" i="4"/>
  <c r="AD94" i="4"/>
  <c r="AE94" i="4"/>
  <c r="AF94" i="4"/>
  <c r="Y95" i="4"/>
  <c r="Z95" i="4"/>
  <c r="AA95" i="4"/>
  <c r="AB95" i="4"/>
  <c r="AC95" i="4"/>
  <c r="AD95" i="4"/>
  <c r="AE95" i="4"/>
  <c r="AF95" i="4"/>
  <c r="Y96" i="4"/>
  <c r="Z96" i="4"/>
  <c r="AA96" i="4"/>
  <c r="AB96" i="4"/>
  <c r="AC96" i="4"/>
  <c r="AD96" i="4"/>
  <c r="AE96" i="4"/>
  <c r="AF96" i="4"/>
  <c r="Y97" i="4"/>
  <c r="Z97" i="4"/>
  <c r="AA97" i="4"/>
  <c r="AB97" i="4"/>
  <c r="AC97" i="4"/>
  <c r="AD97" i="4"/>
  <c r="AE97" i="4"/>
  <c r="AF97" i="4"/>
  <c r="Y98" i="4"/>
  <c r="Z98" i="4"/>
  <c r="AA98" i="4"/>
  <c r="AB98" i="4"/>
  <c r="AC98" i="4"/>
  <c r="AD98" i="4"/>
  <c r="AE98" i="4"/>
  <c r="AF98" i="4"/>
  <c r="Y99" i="4"/>
  <c r="Z99" i="4"/>
  <c r="AA99" i="4"/>
  <c r="AB99" i="4"/>
  <c r="AC99" i="4"/>
  <c r="AD99" i="4"/>
  <c r="AE99" i="4"/>
  <c r="AF99" i="4"/>
  <c r="Y100" i="4"/>
  <c r="Z100" i="4"/>
  <c r="AA100" i="4"/>
  <c r="AB100" i="4"/>
  <c r="AC100" i="4"/>
  <c r="AD100" i="4"/>
  <c r="AE100" i="4"/>
  <c r="AF100" i="4"/>
  <c r="Y101" i="4"/>
  <c r="Z101" i="4"/>
  <c r="AA101" i="4"/>
  <c r="AB101" i="4"/>
  <c r="AC101" i="4"/>
  <c r="AD101" i="4"/>
  <c r="AE101" i="4"/>
  <c r="AF101" i="4"/>
  <c r="Y102" i="4"/>
  <c r="Z102" i="4"/>
  <c r="AA102" i="4"/>
  <c r="AB102" i="4"/>
  <c r="AC102" i="4"/>
  <c r="AD102" i="4"/>
  <c r="AE102" i="4"/>
  <c r="AF102" i="4"/>
  <c r="Y103" i="4"/>
  <c r="Z103" i="4"/>
  <c r="AA103" i="4"/>
  <c r="AB103" i="4"/>
  <c r="AC103" i="4"/>
  <c r="AD103" i="4"/>
  <c r="AE103" i="4"/>
  <c r="AF103" i="4"/>
  <c r="Y104" i="4"/>
  <c r="Z104" i="4"/>
  <c r="AA104" i="4"/>
  <c r="AB104" i="4"/>
  <c r="AC104" i="4"/>
  <c r="AD104" i="4"/>
  <c r="AE104" i="4"/>
  <c r="AF104" i="4"/>
  <c r="Y105" i="4"/>
  <c r="Z105" i="4"/>
  <c r="AA105" i="4"/>
  <c r="AB105" i="4"/>
  <c r="AC105" i="4"/>
  <c r="AD105" i="4"/>
  <c r="AE105" i="4"/>
  <c r="AF105" i="4"/>
  <c r="Y106" i="4"/>
  <c r="Z106" i="4"/>
  <c r="AA106" i="4"/>
  <c r="AB106" i="4"/>
  <c r="AC106" i="4"/>
  <c r="AD106" i="4"/>
  <c r="AE106" i="4"/>
  <c r="AF106" i="4"/>
  <c r="Z7" i="4"/>
  <c r="AA7" i="4"/>
  <c r="AB7" i="4"/>
  <c r="AC7" i="4"/>
  <c r="AD7" i="4"/>
  <c r="AE7" i="4"/>
  <c r="AF7" i="4"/>
  <c r="Y7" i="4"/>
  <c r="N106" i="4"/>
  <c r="O106" i="4"/>
  <c r="P106" i="4"/>
  <c r="Q106" i="4"/>
  <c r="R106" i="4"/>
  <c r="S106" i="4"/>
  <c r="T106" i="4"/>
  <c r="U106" i="4"/>
  <c r="V106" i="4"/>
  <c r="W106" i="4"/>
  <c r="X106" i="4"/>
  <c r="N8" i="4"/>
  <c r="O8" i="4"/>
  <c r="P8" i="4"/>
  <c r="Q8" i="4"/>
  <c r="R8" i="4"/>
  <c r="S8" i="4"/>
  <c r="T8" i="4"/>
  <c r="U8" i="4"/>
  <c r="V8" i="4"/>
  <c r="W8" i="4"/>
  <c r="X8" i="4"/>
  <c r="N9" i="4"/>
  <c r="P9" i="4"/>
  <c r="Q9" i="4"/>
  <c r="R9" i="4"/>
  <c r="S9" i="4"/>
  <c r="T9" i="4"/>
  <c r="U9" i="4"/>
  <c r="V9" i="4"/>
  <c r="W9" i="4"/>
  <c r="X9" i="4"/>
  <c r="N10" i="4"/>
  <c r="O10" i="4"/>
  <c r="P10" i="4"/>
  <c r="Q10" i="4"/>
  <c r="R10" i="4"/>
  <c r="S10" i="4"/>
  <c r="T10" i="4"/>
  <c r="U10" i="4"/>
  <c r="V10" i="4"/>
  <c r="W10" i="4"/>
  <c r="X10" i="4"/>
  <c r="N11" i="4"/>
  <c r="O11" i="4"/>
  <c r="P11" i="4"/>
  <c r="Q11" i="4"/>
  <c r="R11" i="4"/>
  <c r="S11" i="4"/>
  <c r="T11" i="4"/>
  <c r="U11" i="4"/>
  <c r="V11" i="4"/>
  <c r="W11" i="4"/>
  <c r="X11" i="4"/>
  <c r="N12" i="4"/>
  <c r="O12" i="4"/>
  <c r="P12" i="4"/>
  <c r="Q12" i="4"/>
  <c r="R12" i="4"/>
  <c r="S12" i="4"/>
  <c r="T12" i="4"/>
  <c r="U12" i="4"/>
  <c r="V12" i="4"/>
  <c r="W12" i="4"/>
  <c r="X12" i="4"/>
  <c r="N13" i="4"/>
  <c r="O13" i="4"/>
  <c r="P13" i="4"/>
  <c r="Q13" i="4"/>
  <c r="R13" i="4"/>
  <c r="S13" i="4"/>
  <c r="T13" i="4"/>
  <c r="U13" i="4"/>
  <c r="V13" i="4"/>
  <c r="W13" i="4"/>
  <c r="X13" i="4"/>
  <c r="N14" i="4"/>
  <c r="O14" i="4"/>
  <c r="P14" i="4"/>
  <c r="Q14" i="4"/>
  <c r="R14" i="4"/>
  <c r="S14" i="4"/>
  <c r="T14" i="4"/>
  <c r="U14" i="4"/>
  <c r="V14" i="4"/>
  <c r="W14" i="4"/>
  <c r="X14" i="4"/>
  <c r="N15" i="4"/>
  <c r="O15" i="4"/>
  <c r="P15" i="4"/>
  <c r="Q15" i="4"/>
  <c r="R15" i="4"/>
  <c r="S15" i="4"/>
  <c r="T15" i="4"/>
  <c r="U15" i="4"/>
  <c r="V15" i="4"/>
  <c r="W15" i="4"/>
  <c r="X15" i="4"/>
  <c r="N16" i="4"/>
  <c r="O16" i="4"/>
  <c r="P16" i="4"/>
  <c r="Q16" i="4"/>
  <c r="R16" i="4"/>
  <c r="S16" i="4"/>
  <c r="T16" i="4"/>
  <c r="U16" i="4"/>
  <c r="V16" i="4"/>
  <c r="W16" i="4"/>
  <c r="X16" i="4"/>
  <c r="N17" i="4"/>
  <c r="O17" i="4"/>
  <c r="P17" i="4"/>
  <c r="Q17" i="4"/>
  <c r="R17" i="4"/>
  <c r="S17" i="4"/>
  <c r="T17" i="4"/>
  <c r="U17" i="4"/>
  <c r="V17" i="4"/>
  <c r="W17" i="4"/>
  <c r="X17" i="4"/>
  <c r="N18" i="4"/>
  <c r="O18" i="4"/>
  <c r="P18" i="4"/>
  <c r="Q18" i="4"/>
  <c r="R18" i="4"/>
  <c r="S18" i="4"/>
  <c r="T18" i="4"/>
  <c r="U18" i="4"/>
  <c r="V18" i="4"/>
  <c r="W18" i="4"/>
  <c r="X18" i="4"/>
  <c r="N19" i="4"/>
  <c r="O19" i="4"/>
  <c r="P19" i="4"/>
  <c r="Q19" i="4"/>
  <c r="R19" i="4"/>
  <c r="S19" i="4"/>
  <c r="T19" i="4"/>
  <c r="U19" i="4"/>
  <c r="V19" i="4"/>
  <c r="W19" i="4"/>
  <c r="X19" i="4"/>
  <c r="N20" i="4"/>
  <c r="O20" i="4"/>
  <c r="P20" i="4"/>
  <c r="Q20" i="4"/>
  <c r="R20" i="4"/>
  <c r="S20" i="4"/>
  <c r="T20" i="4"/>
  <c r="U20" i="4"/>
  <c r="V20" i="4"/>
  <c r="W20" i="4"/>
  <c r="X20" i="4"/>
  <c r="N21" i="4"/>
  <c r="O21" i="4"/>
  <c r="P21" i="4"/>
  <c r="Q21" i="4"/>
  <c r="R21" i="4"/>
  <c r="S21" i="4"/>
  <c r="T21" i="4"/>
  <c r="U21" i="4"/>
  <c r="V21" i="4"/>
  <c r="W21" i="4"/>
  <c r="X21" i="4"/>
  <c r="N22" i="4"/>
  <c r="O22" i="4"/>
  <c r="P22" i="4"/>
  <c r="Q22" i="4"/>
  <c r="R22" i="4"/>
  <c r="S22" i="4"/>
  <c r="T22" i="4"/>
  <c r="U22" i="4"/>
  <c r="V22" i="4"/>
  <c r="W22" i="4"/>
  <c r="X22" i="4"/>
  <c r="N23" i="4"/>
  <c r="O23" i="4"/>
  <c r="P23" i="4"/>
  <c r="Q23" i="4"/>
  <c r="R23" i="4"/>
  <c r="S23" i="4"/>
  <c r="T23" i="4"/>
  <c r="U23" i="4"/>
  <c r="V23" i="4"/>
  <c r="W23" i="4"/>
  <c r="X23" i="4"/>
  <c r="N24" i="4"/>
  <c r="O24" i="4"/>
  <c r="P24" i="4"/>
  <c r="Q24" i="4"/>
  <c r="R24" i="4"/>
  <c r="S24" i="4"/>
  <c r="T24" i="4"/>
  <c r="U24" i="4"/>
  <c r="V24" i="4"/>
  <c r="W24" i="4"/>
  <c r="X24" i="4"/>
  <c r="N25" i="4"/>
  <c r="O25" i="4"/>
  <c r="P25" i="4"/>
  <c r="Q25" i="4"/>
  <c r="R25" i="4"/>
  <c r="S25" i="4"/>
  <c r="T25" i="4"/>
  <c r="U25" i="4"/>
  <c r="V25" i="4"/>
  <c r="W25" i="4"/>
  <c r="X25" i="4"/>
  <c r="N26" i="4"/>
  <c r="O26" i="4"/>
  <c r="P26" i="4"/>
  <c r="Q26" i="4"/>
  <c r="R26" i="4"/>
  <c r="S26" i="4"/>
  <c r="T26" i="4"/>
  <c r="U26" i="4"/>
  <c r="V26" i="4"/>
  <c r="W26" i="4"/>
  <c r="X26" i="4"/>
  <c r="N27" i="4"/>
  <c r="O27" i="4"/>
  <c r="P27" i="4"/>
  <c r="Q27" i="4"/>
  <c r="R27" i="4"/>
  <c r="S27" i="4"/>
  <c r="T27" i="4"/>
  <c r="U27" i="4"/>
  <c r="V27" i="4"/>
  <c r="W27" i="4"/>
  <c r="X27" i="4"/>
  <c r="N28" i="4"/>
  <c r="O28" i="4"/>
  <c r="P28" i="4"/>
  <c r="Q28" i="4"/>
  <c r="R28" i="4"/>
  <c r="S28" i="4"/>
  <c r="T28" i="4"/>
  <c r="U28" i="4"/>
  <c r="V28" i="4"/>
  <c r="W28" i="4"/>
  <c r="X28" i="4"/>
  <c r="N29" i="4"/>
  <c r="O29" i="4"/>
  <c r="P29" i="4"/>
  <c r="Q29" i="4"/>
  <c r="R29" i="4"/>
  <c r="S29" i="4"/>
  <c r="T29" i="4"/>
  <c r="U29" i="4"/>
  <c r="V29" i="4"/>
  <c r="W29" i="4"/>
  <c r="X29" i="4"/>
  <c r="N30" i="4"/>
  <c r="O30" i="4"/>
  <c r="P30" i="4"/>
  <c r="Q30" i="4"/>
  <c r="R30" i="4"/>
  <c r="S30" i="4"/>
  <c r="T30" i="4"/>
  <c r="U30" i="4"/>
  <c r="V30" i="4"/>
  <c r="W30" i="4"/>
  <c r="X30" i="4"/>
  <c r="N31" i="4"/>
  <c r="O31" i="4"/>
  <c r="P31" i="4"/>
  <c r="Q31" i="4"/>
  <c r="R31" i="4"/>
  <c r="S31" i="4"/>
  <c r="T31" i="4"/>
  <c r="U31" i="4"/>
  <c r="V31" i="4"/>
  <c r="W31" i="4"/>
  <c r="X31" i="4"/>
  <c r="N32" i="4"/>
  <c r="O32" i="4"/>
  <c r="P32" i="4"/>
  <c r="Q32" i="4"/>
  <c r="R32" i="4"/>
  <c r="S32" i="4"/>
  <c r="T32" i="4"/>
  <c r="U32" i="4"/>
  <c r="V32" i="4"/>
  <c r="W32" i="4"/>
  <c r="X32" i="4"/>
  <c r="N33" i="4"/>
  <c r="O33" i="4"/>
  <c r="P33" i="4"/>
  <c r="Q33" i="4"/>
  <c r="R33" i="4"/>
  <c r="S33" i="4"/>
  <c r="T33" i="4"/>
  <c r="U33" i="4"/>
  <c r="V33" i="4"/>
  <c r="W33" i="4"/>
  <c r="X33" i="4"/>
  <c r="N34" i="4"/>
  <c r="O34" i="4"/>
  <c r="P34" i="4"/>
  <c r="Q34" i="4"/>
  <c r="R34" i="4"/>
  <c r="S34" i="4"/>
  <c r="T34" i="4"/>
  <c r="U34" i="4"/>
  <c r="V34" i="4"/>
  <c r="W34" i="4"/>
  <c r="X34" i="4"/>
  <c r="N35" i="4"/>
  <c r="O35" i="4"/>
  <c r="P35" i="4"/>
  <c r="Q35" i="4"/>
  <c r="R35" i="4"/>
  <c r="S35" i="4"/>
  <c r="T35" i="4"/>
  <c r="U35" i="4"/>
  <c r="V35" i="4"/>
  <c r="W35" i="4"/>
  <c r="X35" i="4"/>
  <c r="N36" i="4"/>
  <c r="O36" i="4"/>
  <c r="P36" i="4"/>
  <c r="Q36" i="4"/>
  <c r="R36" i="4"/>
  <c r="S36" i="4"/>
  <c r="T36" i="4"/>
  <c r="U36" i="4"/>
  <c r="V36" i="4"/>
  <c r="W36" i="4"/>
  <c r="X36" i="4"/>
  <c r="N37" i="4"/>
  <c r="O37" i="4"/>
  <c r="P37" i="4"/>
  <c r="Q37" i="4"/>
  <c r="R37" i="4"/>
  <c r="S37" i="4"/>
  <c r="T37" i="4"/>
  <c r="U37" i="4"/>
  <c r="V37" i="4"/>
  <c r="W37" i="4"/>
  <c r="X37" i="4"/>
  <c r="N38" i="4"/>
  <c r="O38" i="4"/>
  <c r="P38" i="4"/>
  <c r="Q38" i="4"/>
  <c r="R38" i="4"/>
  <c r="S38" i="4"/>
  <c r="T38" i="4"/>
  <c r="U38" i="4"/>
  <c r="V38" i="4"/>
  <c r="W38" i="4"/>
  <c r="X38" i="4"/>
  <c r="N39" i="4"/>
  <c r="O39" i="4"/>
  <c r="P39" i="4"/>
  <c r="Q39" i="4"/>
  <c r="R39" i="4"/>
  <c r="S39" i="4"/>
  <c r="T39" i="4"/>
  <c r="U39" i="4"/>
  <c r="V39" i="4"/>
  <c r="W39" i="4"/>
  <c r="X39" i="4"/>
  <c r="N40" i="4"/>
  <c r="O40" i="4"/>
  <c r="P40" i="4"/>
  <c r="Q40" i="4"/>
  <c r="R40" i="4"/>
  <c r="S40" i="4"/>
  <c r="T40" i="4"/>
  <c r="U40" i="4"/>
  <c r="V40" i="4"/>
  <c r="W40" i="4"/>
  <c r="X40" i="4"/>
  <c r="N41" i="4"/>
  <c r="O41" i="4"/>
  <c r="P41" i="4"/>
  <c r="Q41" i="4"/>
  <c r="R41" i="4"/>
  <c r="S41" i="4"/>
  <c r="T41" i="4"/>
  <c r="U41" i="4"/>
  <c r="V41" i="4"/>
  <c r="W41" i="4"/>
  <c r="X41" i="4"/>
  <c r="N42" i="4"/>
  <c r="O42" i="4"/>
  <c r="P42" i="4"/>
  <c r="Q42" i="4"/>
  <c r="R42" i="4"/>
  <c r="S42" i="4"/>
  <c r="T42" i="4"/>
  <c r="U42" i="4"/>
  <c r="V42" i="4"/>
  <c r="W42" i="4"/>
  <c r="X42" i="4"/>
  <c r="N43" i="4"/>
  <c r="O43" i="4"/>
  <c r="P43" i="4"/>
  <c r="Q43" i="4"/>
  <c r="R43" i="4"/>
  <c r="S43" i="4"/>
  <c r="T43" i="4"/>
  <c r="U43" i="4"/>
  <c r="V43" i="4"/>
  <c r="W43" i="4"/>
  <c r="X43" i="4"/>
  <c r="N44" i="4"/>
  <c r="O44" i="4"/>
  <c r="P44" i="4"/>
  <c r="Q44" i="4"/>
  <c r="R44" i="4"/>
  <c r="S44" i="4"/>
  <c r="T44" i="4"/>
  <c r="U44" i="4"/>
  <c r="V44" i="4"/>
  <c r="W44" i="4"/>
  <c r="X44" i="4"/>
  <c r="N45" i="4"/>
  <c r="O45" i="4"/>
  <c r="P45" i="4"/>
  <c r="Q45" i="4"/>
  <c r="R45" i="4"/>
  <c r="S45" i="4"/>
  <c r="T45" i="4"/>
  <c r="U45" i="4"/>
  <c r="V45" i="4"/>
  <c r="W45" i="4"/>
  <c r="X45" i="4"/>
  <c r="N46" i="4"/>
  <c r="O46" i="4"/>
  <c r="P46" i="4"/>
  <c r="Q46" i="4"/>
  <c r="R46" i="4"/>
  <c r="S46" i="4"/>
  <c r="T46" i="4"/>
  <c r="U46" i="4"/>
  <c r="V46" i="4"/>
  <c r="W46" i="4"/>
  <c r="X46" i="4"/>
  <c r="N47" i="4"/>
  <c r="O47" i="4"/>
  <c r="P47" i="4"/>
  <c r="Q47" i="4"/>
  <c r="R47" i="4"/>
  <c r="S47" i="4"/>
  <c r="T47" i="4"/>
  <c r="U47" i="4"/>
  <c r="V47" i="4"/>
  <c r="W47" i="4"/>
  <c r="X47" i="4"/>
  <c r="N48" i="4"/>
  <c r="O48" i="4"/>
  <c r="P48" i="4"/>
  <c r="Q48" i="4"/>
  <c r="R48" i="4"/>
  <c r="S48" i="4"/>
  <c r="T48" i="4"/>
  <c r="U48" i="4"/>
  <c r="V48" i="4"/>
  <c r="W48" i="4"/>
  <c r="X48" i="4"/>
  <c r="N49" i="4"/>
  <c r="O49" i="4"/>
  <c r="P49" i="4"/>
  <c r="Q49" i="4"/>
  <c r="R49" i="4"/>
  <c r="S49" i="4"/>
  <c r="T49" i="4"/>
  <c r="U49" i="4"/>
  <c r="V49" i="4"/>
  <c r="W49" i="4"/>
  <c r="X49" i="4"/>
  <c r="N50" i="4"/>
  <c r="O50" i="4"/>
  <c r="P50" i="4"/>
  <c r="Q50" i="4"/>
  <c r="R50" i="4"/>
  <c r="S50" i="4"/>
  <c r="T50" i="4"/>
  <c r="U50" i="4"/>
  <c r="V50" i="4"/>
  <c r="W50" i="4"/>
  <c r="X50" i="4"/>
  <c r="N51" i="4"/>
  <c r="O51" i="4"/>
  <c r="P51" i="4"/>
  <c r="Q51" i="4"/>
  <c r="R51" i="4"/>
  <c r="S51" i="4"/>
  <c r="T51" i="4"/>
  <c r="U51" i="4"/>
  <c r="V51" i="4"/>
  <c r="W51" i="4"/>
  <c r="X51" i="4"/>
  <c r="N52" i="4"/>
  <c r="O52" i="4"/>
  <c r="P52" i="4"/>
  <c r="Q52" i="4"/>
  <c r="R52" i="4"/>
  <c r="S52" i="4"/>
  <c r="T52" i="4"/>
  <c r="U52" i="4"/>
  <c r="V52" i="4"/>
  <c r="W52" i="4"/>
  <c r="X52" i="4"/>
  <c r="N53" i="4"/>
  <c r="O53" i="4"/>
  <c r="P53" i="4"/>
  <c r="Q53" i="4"/>
  <c r="R53" i="4"/>
  <c r="S53" i="4"/>
  <c r="T53" i="4"/>
  <c r="U53" i="4"/>
  <c r="V53" i="4"/>
  <c r="W53" i="4"/>
  <c r="X53" i="4"/>
  <c r="N54" i="4"/>
  <c r="O54" i="4"/>
  <c r="P54" i="4"/>
  <c r="Q54" i="4"/>
  <c r="R54" i="4"/>
  <c r="S54" i="4"/>
  <c r="T54" i="4"/>
  <c r="U54" i="4"/>
  <c r="V54" i="4"/>
  <c r="W54" i="4"/>
  <c r="X54" i="4"/>
  <c r="N55" i="4"/>
  <c r="O55" i="4"/>
  <c r="P55" i="4"/>
  <c r="Q55" i="4"/>
  <c r="R55" i="4"/>
  <c r="S55" i="4"/>
  <c r="T55" i="4"/>
  <c r="U55" i="4"/>
  <c r="V55" i="4"/>
  <c r="W55" i="4"/>
  <c r="X55" i="4"/>
  <c r="N56" i="4"/>
  <c r="O56" i="4"/>
  <c r="P56" i="4"/>
  <c r="Q56" i="4"/>
  <c r="R56" i="4"/>
  <c r="S56" i="4"/>
  <c r="T56" i="4"/>
  <c r="U56" i="4"/>
  <c r="V56" i="4"/>
  <c r="W56" i="4"/>
  <c r="X56" i="4"/>
  <c r="N57" i="4"/>
  <c r="O57" i="4"/>
  <c r="P57" i="4"/>
  <c r="Q57" i="4"/>
  <c r="R57" i="4"/>
  <c r="S57" i="4"/>
  <c r="T57" i="4"/>
  <c r="U57" i="4"/>
  <c r="V57" i="4"/>
  <c r="W57" i="4"/>
  <c r="X57" i="4"/>
  <c r="N58" i="4"/>
  <c r="O58" i="4"/>
  <c r="P58" i="4"/>
  <c r="Q58" i="4"/>
  <c r="R58" i="4"/>
  <c r="S58" i="4"/>
  <c r="T58" i="4"/>
  <c r="U58" i="4"/>
  <c r="V58" i="4"/>
  <c r="W58" i="4"/>
  <c r="X58" i="4"/>
  <c r="N59" i="4"/>
  <c r="O59" i="4"/>
  <c r="P59" i="4"/>
  <c r="Q59" i="4"/>
  <c r="R59" i="4"/>
  <c r="S59" i="4"/>
  <c r="T59" i="4"/>
  <c r="U59" i="4"/>
  <c r="V59" i="4"/>
  <c r="W59" i="4"/>
  <c r="X59" i="4"/>
  <c r="N60" i="4"/>
  <c r="O60" i="4"/>
  <c r="P60" i="4"/>
  <c r="Q60" i="4"/>
  <c r="R60" i="4"/>
  <c r="S60" i="4"/>
  <c r="T60" i="4"/>
  <c r="U60" i="4"/>
  <c r="V60" i="4"/>
  <c r="W60" i="4"/>
  <c r="X60" i="4"/>
  <c r="N61" i="4"/>
  <c r="O61" i="4"/>
  <c r="P61" i="4"/>
  <c r="Q61" i="4"/>
  <c r="R61" i="4"/>
  <c r="S61" i="4"/>
  <c r="T61" i="4"/>
  <c r="U61" i="4"/>
  <c r="V61" i="4"/>
  <c r="W61" i="4"/>
  <c r="X61" i="4"/>
  <c r="N62" i="4"/>
  <c r="O62" i="4"/>
  <c r="P62" i="4"/>
  <c r="Q62" i="4"/>
  <c r="R62" i="4"/>
  <c r="S62" i="4"/>
  <c r="T62" i="4"/>
  <c r="U62" i="4"/>
  <c r="V62" i="4"/>
  <c r="W62" i="4"/>
  <c r="X62" i="4"/>
  <c r="N63" i="4"/>
  <c r="O63" i="4"/>
  <c r="P63" i="4"/>
  <c r="Q63" i="4"/>
  <c r="R63" i="4"/>
  <c r="S63" i="4"/>
  <c r="T63" i="4"/>
  <c r="U63" i="4"/>
  <c r="V63" i="4"/>
  <c r="W63" i="4"/>
  <c r="X63" i="4"/>
  <c r="N64" i="4"/>
  <c r="O64" i="4"/>
  <c r="P64" i="4"/>
  <c r="Q64" i="4"/>
  <c r="R64" i="4"/>
  <c r="S64" i="4"/>
  <c r="T64" i="4"/>
  <c r="U64" i="4"/>
  <c r="V64" i="4"/>
  <c r="W64" i="4"/>
  <c r="X64" i="4"/>
  <c r="N65" i="4"/>
  <c r="O65" i="4"/>
  <c r="P65" i="4"/>
  <c r="Q65" i="4"/>
  <c r="R65" i="4"/>
  <c r="S65" i="4"/>
  <c r="T65" i="4"/>
  <c r="U65" i="4"/>
  <c r="V65" i="4"/>
  <c r="W65" i="4"/>
  <c r="X65" i="4"/>
  <c r="N66" i="4"/>
  <c r="O66" i="4"/>
  <c r="P66" i="4"/>
  <c r="Q66" i="4"/>
  <c r="R66" i="4"/>
  <c r="S66" i="4"/>
  <c r="T66" i="4"/>
  <c r="U66" i="4"/>
  <c r="V66" i="4"/>
  <c r="W66" i="4"/>
  <c r="X66" i="4"/>
  <c r="N67" i="4"/>
  <c r="O67" i="4"/>
  <c r="P67" i="4"/>
  <c r="Q67" i="4"/>
  <c r="R67" i="4"/>
  <c r="S67" i="4"/>
  <c r="T67" i="4"/>
  <c r="U67" i="4"/>
  <c r="V67" i="4"/>
  <c r="W67" i="4"/>
  <c r="X67" i="4"/>
  <c r="N68" i="4"/>
  <c r="O68" i="4"/>
  <c r="P68" i="4"/>
  <c r="Q68" i="4"/>
  <c r="R68" i="4"/>
  <c r="S68" i="4"/>
  <c r="T68" i="4"/>
  <c r="U68" i="4"/>
  <c r="V68" i="4"/>
  <c r="W68" i="4"/>
  <c r="X68" i="4"/>
  <c r="N69" i="4"/>
  <c r="O69" i="4"/>
  <c r="P69" i="4"/>
  <c r="Q69" i="4"/>
  <c r="R69" i="4"/>
  <c r="S69" i="4"/>
  <c r="T69" i="4"/>
  <c r="U69" i="4"/>
  <c r="V69" i="4"/>
  <c r="W69" i="4"/>
  <c r="X69" i="4"/>
  <c r="N70" i="4"/>
  <c r="O70" i="4"/>
  <c r="P70" i="4"/>
  <c r="Q70" i="4"/>
  <c r="R70" i="4"/>
  <c r="S70" i="4"/>
  <c r="T70" i="4"/>
  <c r="U70" i="4"/>
  <c r="V70" i="4"/>
  <c r="W70" i="4"/>
  <c r="X70" i="4"/>
  <c r="N71" i="4"/>
  <c r="O71" i="4"/>
  <c r="P71" i="4"/>
  <c r="Q71" i="4"/>
  <c r="R71" i="4"/>
  <c r="S71" i="4"/>
  <c r="T71" i="4"/>
  <c r="U71" i="4"/>
  <c r="V71" i="4"/>
  <c r="W71" i="4"/>
  <c r="X71" i="4"/>
  <c r="N72" i="4"/>
  <c r="O72" i="4"/>
  <c r="P72" i="4"/>
  <c r="Q72" i="4"/>
  <c r="R72" i="4"/>
  <c r="S72" i="4"/>
  <c r="T72" i="4"/>
  <c r="U72" i="4"/>
  <c r="V72" i="4"/>
  <c r="W72" i="4"/>
  <c r="X72" i="4"/>
  <c r="N73" i="4"/>
  <c r="O73" i="4"/>
  <c r="P73" i="4"/>
  <c r="Q73" i="4"/>
  <c r="R73" i="4"/>
  <c r="S73" i="4"/>
  <c r="T73" i="4"/>
  <c r="U73" i="4"/>
  <c r="V73" i="4"/>
  <c r="W73" i="4"/>
  <c r="X73" i="4"/>
  <c r="N74" i="4"/>
  <c r="O74" i="4"/>
  <c r="P74" i="4"/>
  <c r="Q74" i="4"/>
  <c r="R74" i="4"/>
  <c r="S74" i="4"/>
  <c r="T74" i="4"/>
  <c r="U74" i="4"/>
  <c r="V74" i="4"/>
  <c r="W74" i="4"/>
  <c r="X74" i="4"/>
  <c r="N75" i="4"/>
  <c r="O75" i="4"/>
  <c r="P75" i="4"/>
  <c r="Q75" i="4"/>
  <c r="R75" i="4"/>
  <c r="S75" i="4"/>
  <c r="T75" i="4"/>
  <c r="U75" i="4"/>
  <c r="V75" i="4"/>
  <c r="W75" i="4"/>
  <c r="X75" i="4"/>
  <c r="N76" i="4"/>
  <c r="O76" i="4"/>
  <c r="P76" i="4"/>
  <c r="Q76" i="4"/>
  <c r="R76" i="4"/>
  <c r="S76" i="4"/>
  <c r="T76" i="4"/>
  <c r="U76" i="4"/>
  <c r="V76" i="4"/>
  <c r="W76" i="4"/>
  <c r="X76" i="4"/>
  <c r="N77" i="4"/>
  <c r="O77" i="4"/>
  <c r="P77" i="4"/>
  <c r="Q77" i="4"/>
  <c r="R77" i="4"/>
  <c r="S77" i="4"/>
  <c r="T77" i="4"/>
  <c r="U77" i="4"/>
  <c r="V77" i="4"/>
  <c r="W77" i="4"/>
  <c r="X77" i="4"/>
  <c r="N78" i="4"/>
  <c r="O78" i="4"/>
  <c r="P78" i="4"/>
  <c r="Q78" i="4"/>
  <c r="R78" i="4"/>
  <c r="S78" i="4"/>
  <c r="T78" i="4"/>
  <c r="U78" i="4"/>
  <c r="V78" i="4"/>
  <c r="W78" i="4"/>
  <c r="X78" i="4"/>
  <c r="N79" i="4"/>
  <c r="O79" i="4"/>
  <c r="P79" i="4"/>
  <c r="Q79" i="4"/>
  <c r="R79" i="4"/>
  <c r="S79" i="4"/>
  <c r="T79" i="4"/>
  <c r="U79" i="4"/>
  <c r="V79" i="4"/>
  <c r="W79" i="4"/>
  <c r="X79" i="4"/>
  <c r="N80" i="4"/>
  <c r="O80" i="4"/>
  <c r="P80" i="4"/>
  <c r="Q80" i="4"/>
  <c r="R80" i="4"/>
  <c r="S80" i="4"/>
  <c r="T80" i="4"/>
  <c r="U80" i="4"/>
  <c r="V80" i="4"/>
  <c r="W80" i="4"/>
  <c r="X80" i="4"/>
  <c r="N81" i="4"/>
  <c r="O81" i="4"/>
  <c r="P81" i="4"/>
  <c r="Q81" i="4"/>
  <c r="R81" i="4"/>
  <c r="S81" i="4"/>
  <c r="T81" i="4"/>
  <c r="U81" i="4"/>
  <c r="V81" i="4"/>
  <c r="W81" i="4"/>
  <c r="X81" i="4"/>
  <c r="N82" i="4"/>
  <c r="O82" i="4"/>
  <c r="P82" i="4"/>
  <c r="Q82" i="4"/>
  <c r="R82" i="4"/>
  <c r="S82" i="4"/>
  <c r="T82" i="4"/>
  <c r="U82" i="4"/>
  <c r="V82" i="4"/>
  <c r="W82" i="4"/>
  <c r="X82" i="4"/>
  <c r="N83" i="4"/>
  <c r="O83" i="4"/>
  <c r="P83" i="4"/>
  <c r="Q83" i="4"/>
  <c r="R83" i="4"/>
  <c r="S83" i="4"/>
  <c r="T83" i="4"/>
  <c r="U83" i="4"/>
  <c r="V83" i="4"/>
  <c r="W83" i="4"/>
  <c r="X83" i="4"/>
  <c r="N84" i="4"/>
  <c r="O84" i="4"/>
  <c r="P84" i="4"/>
  <c r="Q84" i="4"/>
  <c r="R84" i="4"/>
  <c r="S84" i="4"/>
  <c r="T84" i="4"/>
  <c r="U84" i="4"/>
  <c r="V84" i="4"/>
  <c r="W84" i="4"/>
  <c r="X84" i="4"/>
  <c r="N85" i="4"/>
  <c r="O85" i="4"/>
  <c r="P85" i="4"/>
  <c r="Q85" i="4"/>
  <c r="R85" i="4"/>
  <c r="S85" i="4"/>
  <c r="T85" i="4"/>
  <c r="U85" i="4"/>
  <c r="V85" i="4"/>
  <c r="W85" i="4"/>
  <c r="X85" i="4"/>
  <c r="N86" i="4"/>
  <c r="O86" i="4"/>
  <c r="P86" i="4"/>
  <c r="Q86" i="4"/>
  <c r="R86" i="4"/>
  <c r="S86" i="4"/>
  <c r="T86" i="4"/>
  <c r="U86" i="4"/>
  <c r="V86" i="4"/>
  <c r="W86" i="4"/>
  <c r="X86" i="4"/>
  <c r="N87" i="4"/>
  <c r="O87" i="4"/>
  <c r="P87" i="4"/>
  <c r="Q87" i="4"/>
  <c r="R87" i="4"/>
  <c r="S87" i="4"/>
  <c r="T87" i="4"/>
  <c r="U87" i="4"/>
  <c r="V87" i="4"/>
  <c r="W87" i="4"/>
  <c r="X87" i="4"/>
  <c r="N88" i="4"/>
  <c r="O88" i="4"/>
  <c r="P88" i="4"/>
  <c r="Q88" i="4"/>
  <c r="R88" i="4"/>
  <c r="S88" i="4"/>
  <c r="T88" i="4"/>
  <c r="U88" i="4"/>
  <c r="V88" i="4"/>
  <c r="W88" i="4"/>
  <c r="X88" i="4"/>
  <c r="N89" i="4"/>
  <c r="O89" i="4"/>
  <c r="P89" i="4"/>
  <c r="Q89" i="4"/>
  <c r="R89" i="4"/>
  <c r="S89" i="4"/>
  <c r="T89" i="4"/>
  <c r="U89" i="4"/>
  <c r="V89" i="4"/>
  <c r="W89" i="4"/>
  <c r="X89" i="4"/>
  <c r="N90" i="4"/>
  <c r="O90" i="4"/>
  <c r="P90" i="4"/>
  <c r="Q90" i="4"/>
  <c r="R90" i="4"/>
  <c r="S90" i="4"/>
  <c r="T90" i="4"/>
  <c r="U90" i="4"/>
  <c r="V90" i="4"/>
  <c r="W90" i="4"/>
  <c r="X90" i="4"/>
  <c r="N91" i="4"/>
  <c r="O91" i="4"/>
  <c r="P91" i="4"/>
  <c r="Q91" i="4"/>
  <c r="R91" i="4"/>
  <c r="S91" i="4"/>
  <c r="T91" i="4"/>
  <c r="U91" i="4"/>
  <c r="V91" i="4"/>
  <c r="W91" i="4"/>
  <c r="X91" i="4"/>
  <c r="N92" i="4"/>
  <c r="O92" i="4"/>
  <c r="P92" i="4"/>
  <c r="Q92" i="4"/>
  <c r="R92" i="4"/>
  <c r="S92" i="4"/>
  <c r="T92" i="4"/>
  <c r="U92" i="4"/>
  <c r="V92" i="4"/>
  <c r="W92" i="4"/>
  <c r="X92" i="4"/>
  <c r="N93" i="4"/>
  <c r="O93" i="4"/>
  <c r="P93" i="4"/>
  <c r="Q93" i="4"/>
  <c r="R93" i="4"/>
  <c r="S93" i="4"/>
  <c r="T93" i="4"/>
  <c r="U93" i="4"/>
  <c r="V93" i="4"/>
  <c r="W93" i="4"/>
  <c r="X93" i="4"/>
  <c r="N94" i="4"/>
  <c r="O94" i="4"/>
  <c r="P94" i="4"/>
  <c r="Q94" i="4"/>
  <c r="R94" i="4"/>
  <c r="S94" i="4"/>
  <c r="T94" i="4"/>
  <c r="U94" i="4"/>
  <c r="V94" i="4"/>
  <c r="W94" i="4"/>
  <c r="X94" i="4"/>
  <c r="N95" i="4"/>
  <c r="O95" i="4"/>
  <c r="P95" i="4"/>
  <c r="Q95" i="4"/>
  <c r="R95" i="4"/>
  <c r="S95" i="4"/>
  <c r="T95" i="4"/>
  <c r="U95" i="4"/>
  <c r="V95" i="4"/>
  <c r="W95" i="4"/>
  <c r="X95" i="4"/>
  <c r="N96" i="4"/>
  <c r="O96" i="4"/>
  <c r="P96" i="4"/>
  <c r="Q96" i="4"/>
  <c r="R96" i="4"/>
  <c r="S96" i="4"/>
  <c r="T96" i="4"/>
  <c r="U96" i="4"/>
  <c r="V96" i="4"/>
  <c r="W96" i="4"/>
  <c r="X96" i="4"/>
  <c r="N97" i="4"/>
  <c r="O97" i="4"/>
  <c r="P97" i="4"/>
  <c r="Q97" i="4"/>
  <c r="R97" i="4"/>
  <c r="S97" i="4"/>
  <c r="T97" i="4"/>
  <c r="U97" i="4"/>
  <c r="V97" i="4"/>
  <c r="W97" i="4"/>
  <c r="X97" i="4"/>
  <c r="N98" i="4"/>
  <c r="O98" i="4"/>
  <c r="P98" i="4"/>
  <c r="Q98" i="4"/>
  <c r="R98" i="4"/>
  <c r="S98" i="4"/>
  <c r="T98" i="4"/>
  <c r="U98" i="4"/>
  <c r="V98" i="4"/>
  <c r="W98" i="4"/>
  <c r="X98" i="4"/>
  <c r="N99" i="4"/>
  <c r="O99" i="4"/>
  <c r="P99" i="4"/>
  <c r="Q99" i="4"/>
  <c r="R99" i="4"/>
  <c r="S99" i="4"/>
  <c r="T99" i="4"/>
  <c r="U99" i="4"/>
  <c r="V99" i="4"/>
  <c r="W99" i="4"/>
  <c r="X99" i="4"/>
  <c r="N100" i="4"/>
  <c r="O100" i="4"/>
  <c r="P100" i="4"/>
  <c r="Q100" i="4"/>
  <c r="R100" i="4"/>
  <c r="S100" i="4"/>
  <c r="T100" i="4"/>
  <c r="U100" i="4"/>
  <c r="V100" i="4"/>
  <c r="W100" i="4"/>
  <c r="X100" i="4"/>
  <c r="N101" i="4"/>
  <c r="O101" i="4"/>
  <c r="P101" i="4"/>
  <c r="Q101" i="4"/>
  <c r="R101" i="4"/>
  <c r="S101" i="4"/>
  <c r="T101" i="4"/>
  <c r="U101" i="4"/>
  <c r="V101" i="4"/>
  <c r="W101" i="4"/>
  <c r="X101" i="4"/>
  <c r="N102" i="4"/>
  <c r="O102" i="4"/>
  <c r="P102" i="4"/>
  <c r="Q102" i="4"/>
  <c r="R102" i="4"/>
  <c r="S102" i="4"/>
  <c r="T102" i="4"/>
  <c r="U102" i="4"/>
  <c r="V102" i="4"/>
  <c r="W102" i="4"/>
  <c r="X102" i="4"/>
  <c r="N103" i="4"/>
  <c r="O103" i="4"/>
  <c r="P103" i="4"/>
  <c r="Q103" i="4"/>
  <c r="R103" i="4"/>
  <c r="S103" i="4"/>
  <c r="T103" i="4"/>
  <c r="U103" i="4"/>
  <c r="V103" i="4"/>
  <c r="W103" i="4"/>
  <c r="X103" i="4"/>
  <c r="N104" i="4"/>
  <c r="O104" i="4"/>
  <c r="P104" i="4"/>
  <c r="Q104" i="4"/>
  <c r="R104" i="4"/>
  <c r="S104" i="4"/>
  <c r="T104" i="4"/>
  <c r="U104" i="4"/>
  <c r="V104" i="4"/>
  <c r="W104" i="4"/>
  <c r="X104" i="4"/>
  <c r="N105" i="4"/>
  <c r="O105" i="4"/>
  <c r="P105" i="4"/>
  <c r="Q105" i="4"/>
  <c r="R105" i="4"/>
  <c r="S105" i="4"/>
  <c r="T105" i="4"/>
  <c r="U105" i="4"/>
  <c r="V105" i="4"/>
  <c r="W105" i="4"/>
  <c r="X105" i="4"/>
  <c r="O7" i="4"/>
  <c r="P7" i="4"/>
  <c r="Q7" i="4"/>
  <c r="R7" i="4"/>
  <c r="S7" i="4"/>
  <c r="T7" i="4"/>
  <c r="U7" i="4"/>
  <c r="V7" i="4"/>
  <c r="W7" i="4"/>
  <c r="X7" i="4"/>
  <c r="N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7" i="4"/>
  <c r="A8" i="4"/>
  <c r="B8" i="4"/>
  <c r="C8" i="4"/>
  <c r="D8" i="4"/>
  <c r="E8" i="4"/>
  <c r="F8" i="4"/>
  <c r="G8" i="4"/>
  <c r="I8" i="4"/>
  <c r="J8" i="4"/>
  <c r="K8" i="4"/>
  <c r="L8" i="4"/>
  <c r="A9" i="4"/>
  <c r="B9" i="4"/>
  <c r="C9" i="4"/>
  <c r="D9" i="4"/>
  <c r="E9" i="4"/>
  <c r="F9" i="4"/>
  <c r="G9" i="4"/>
  <c r="I9" i="4"/>
  <c r="J9" i="4"/>
  <c r="K9" i="4"/>
  <c r="L9" i="4"/>
  <c r="A10" i="4"/>
  <c r="B10" i="4"/>
  <c r="C10" i="4"/>
  <c r="D10" i="4"/>
  <c r="E10" i="4"/>
  <c r="F10" i="4"/>
  <c r="G10" i="4"/>
  <c r="I10" i="4"/>
  <c r="J10" i="4"/>
  <c r="K10" i="4"/>
  <c r="L10" i="4"/>
  <c r="A11" i="4"/>
  <c r="B11" i="4"/>
  <c r="C11" i="4"/>
  <c r="D11" i="4"/>
  <c r="E11" i="4"/>
  <c r="F11" i="4"/>
  <c r="G11" i="4"/>
  <c r="I11" i="4"/>
  <c r="J11" i="4"/>
  <c r="K11" i="4"/>
  <c r="L11" i="4"/>
  <c r="A12" i="4"/>
  <c r="B12" i="4"/>
  <c r="C12" i="4"/>
  <c r="D12" i="4"/>
  <c r="E12" i="4"/>
  <c r="F12" i="4"/>
  <c r="G12" i="4"/>
  <c r="I12" i="4"/>
  <c r="J12" i="4"/>
  <c r="K12" i="4"/>
  <c r="L12" i="4"/>
  <c r="A13" i="4"/>
  <c r="B13" i="4"/>
  <c r="C13" i="4"/>
  <c r="D13" i="4"/>
  <c r="E13" i="4"/>
  <c r="F13" i="4"/>
  <c r="G13" i="4"/>
  <c r="I13" i="4"/>
  <c r="J13" i="4"/>
  <c r="K13" i="4"/>
  <c r="L13" i="4"/>
  <c r="A14" i="4"/>
  <c r="B14" i="4"/>
  <c r="C14" i="4"/>
  <c r="D14" i="4"/>
  <c r="E14" i="4"/>
  <c r="F14" i="4"/>
  <c r="G14" i="4"/>
  <c r="I14" i="4"/>
  <c r="J14" i="4"/>
  <c r="K14" i="4"/>
  <c r="L14" i="4"/>
  <c r="A15" i="4"/>
  <c r="B15" i="4"/>
  <c r="C15" i="4"/>
  <c r="D15" i="4"/>
  <c r="E15" i="4"/>
  <c r="F15" i="4"/>
  <c r="G15" i="4"/>
  <c r="I15" i="4"/>
  <c r="J15" i="4"/>
  <c r="K15" i="4"/>
  <c r="L15" i="4"/>
  <c r="A16" i="4"/>
  <c r="B16" i="4"/>
  <c r="C16" i="4"/>
  <c r="D16" i="4"/>
  <c r="E16" i="4"/>
  <c r="F16" i="4"/>
  <c r="G16" i="4"/>
  <c r="I16" i="4"/>
  <c r="J16" i="4"/>
  <c r="K16" i="4"/>
  <c r="L16" i="4"/>
  <c r="A17" i="4"/>
  <c r="B17" i="4"/>
  <c r="C17" i="4"/>
  <c r="D17" i="4"/>
  <c r="E17" i="4"/>
  <c r="F17" i="4"/>
  <c r="G17" i="4"/>
  <c r="I17" i="4"/>
  <c r="J17" i="4"/>
  <c r="K17" i="4"/>
  <c r="L17" i="4"/>
  <c r="A18" i="4"/>
  <c r="B18" i="4"/>
  <c r="C18" i="4"/>
  <c r="D18" i="4"/>
  <c r="E18" i="4"/>
  <c r="F18" i="4"/>
  <c r="G18" i="4"/>
  <c r="I18" i="4"/>
  <c r="J18" i="4"/>
  <c r="K18" i="4"/>
  <c r="L18" i="4"/>
  <c r="A19" i="4"/>
  <c r="B19" i="4"/>
  <c r="C19" i="4"/>
  <c r="D19" i="4"/>
  <c r="E19" i="4"/>
  <c r="F19" i="4"/>
  <c r="G19" i="4"/>
  <c r="I19" i="4"/>
  <c r="J19" i="4"/>
  <c r="K19" i="4"/>
  <c r="L19" i="4"/>
  <c r="A20" i="4"/>
  <c r="B20" i="4"/>
  <c r="C20" i="4"/>
  <c r="D20" i="4"/>
  <c r="E20" i="4"/>
  <c r="F20" i="4"/>
  <c r="G20" i="4"/>
  <c r="I20" i="4"/>
  <c r="J20" i="4"/>
  <c r="K20" i="4"/>
  <c r="L20" i="4"/>
  <c r="A21" i="4"/>
  <c r="B21" i="4"/>
  <c r="C21" i="4"/>
  <c r="D21" i="4"/>
  <c r="E21" i="4"/>
  <c r="F21" i="4"/>
  <c r="G21" i="4"/>
  <c r="I21" i="4"/>
  <c r="J21" i="4"/>
  <c r="K21" i="4"/>
  <c r="L21" i="4"/>
  <c r="A22" i="4"/>
  <c r="B22" i="4"/>
  <c r="C22" i="4"/>
  <c r="D22" i="4"/>
  <c r="E22" i="4"/>
  <c r="F22" i="4"/>
  <c r="G22" i="4"/>
  <c r="I22" i="4"/>
  <c r="J22" i="4"/>
  <c r="K22" i="4"/>
  <c r="L22" i="4"/>
  <c r="A23" i="4"/>
  <c r="B23" i="4"/>
  <c r="C23" i="4"/>
  <c r="D23" i="4"/>
  <c r="E23" i="4"/>
  <c r="F23" i="4"/>
  <c r="G23" i="4"/>
  <c r="I23" i="4"/>
  <c r="J23" i="4"/>
  <c r="K23" i="4"/>
  <c r="L23" i="4"/>
  <c r="A24" i="4"/>
  <c r="B24" i="4"/>
  <c r="C24" i="4"/>
  <c r="D24" i="4"/>
  <c r="E24" i="4"/>
  <c r="F24" i="4"/>
  <c r="G24" i="4"/>
  <c r="I24" i="4"/>
  <c r="J24" i="4"/>
  <c r="K24" i="4"/>
  <c r="L24" i="4"/>
  <c r="A25" i="4"/>
  <c r="B25" i="4"/>
  <c r="C25" i="4"/>
  <c r="D25" i="4"/>
  <c r="E25" i="4"/>
  <c r="F25" i="4"/>
  <c r="G25" i="4"/>
  <c r="I25" i="4"/>
  <c r="J25" i="4"/>
  <c r="K25" i="4"/>
  <c r="L25" i="4"/>
  <c r="A26" i="4"/>
  <c r="B26" i="4"/>
  <c r="C26" i="4"/>
  <c r="D26" i="4"/>
  <c r="E26" i="4"/>
  <c r="F26" i="4"/>
  <c r="G26" i="4"/>
  <c r="I26" i="4"/>
  <c r="J26" i="4"/>
  <c r="K26" i="4"/>
  <c r="L26" i="4"/>
  <c r="A27" i="4"/>
  <c r="B27" i="4"/>
  <c r="C27" i="4"/>
  <c r="D27" i="4"/>
  <c r="E27" i="4"/>
  <c r="F27" i="4"/>
  <c r="G27" i="4"/>
  <c r="I27" i="4"/>
  <c r="J27" i="4"/>
  <c r="K27" i="4"/>
  <c r="L27" i="4"/>
  <c r="A28" i="4"/>
  <c r="B28" i="4"/>
  <c r="C28" i="4"/>
  <c r="D28" i="4"/>
  <c r="E28" i="4"/>
  <c r="F28" i="4"/>
  <c r="G28" i="4"/>
  <c r="I28" i="4"/>
  <c r="J28" i="4"/>
  <c r="K28" i="4"/>
  <c r="L28" i="4"/>
  <c r="A29" i="4"/>
  <c r="B29" i="4"/>
  <c r="C29" i="4"/>
  <c r="D29" i="4"/>
  <c r="E29" i="4"/>
  <c r="F29" i="4"/>
  <c r="G29" i="4"/>
  <c r="I29" i="4"/>
  <c r="J29" i="4"/>
  <c r="K29" i="4"/>
  <c r="L29" i="4"/>
  <c r="A30" i="4"/>
  <c r="B30" i="4"/>
  <c r="C30" i="4"/>
  <c r="D30" i="4"/>
  <c r="E30" i="4"/>
  <c r="F30" i="4"/>
  <c r="G30" i="4"/>
  <c r="I30" i="4"/>
  <c r="J30" i="4"/>
  <c r="K30" i="4"/>
  <c r="L30" i="4"/>
  <c r="A31" i="4"/>
  <c r="B31" i="4"/>
  <c r="C31" i="4"/>
  <c r="D31" i="4"/>
  <c r="E31" i="4"/>
  <c r="F31" i="4"/>
  <c r="G31" i="4"/>
  <c r="I31" i="4"/>
  <c r="J31" i="4"/>
  <c r="K31" i="4"/>
  <c r="L31" i="4"/>
  <c r="A32" i="4"/>
  <c r="B32" i="4"/>
  <c r="C32" i="4"/>
  <c r="D32" i="4"/>
  <c r="E32" i="4"/>
  <c r="F32" i="4"/>
  <c r="G32" i="4"/>
  <c r="I32" i="4"/>
  <c r="J32" i="4"/>
  <c r="K32" i="4"/>
  <c r="L32" i="4"/>
  <c r="A33" i="4"/>
  <c r="B33" i="4"/>
  <c r="C33" i="4"/>
  <c r="D33" i="4"/>
  <c r="E33" i="4"/>
  <c r="F33" i="4"/>
  <c r="G33" i="4"/>
  <c r="I33" i="4"/>
  <c r="J33" i="4"/>
  <c r="K33" i="4"/>
  <c r="L33" i="4"/>
  <c r="A34" i="4"/>
  <c r="B34" i="4"/>
  <c r="C34" i="4"/>
  <c r="D34" i="4"/>
  <c r="E34" i="4"/>
  <c r="F34" i="4"/>
  <c r="G34" i="4"/>
  <c r="I34" i="4"/>
  <c r="J34" i="4"/>
  <c r="K34" i="4"/>
  <c r="L34" i="4"/>
  <c r="A35" i="4"/>
  <c r="B35" i="4"/>
  <c r="C35" i="4"/>
  <c r="D35" i="4"/>
  <c r="E35" i="4"/>
  <c r="F35" i="4"/>
  <c r="G35" i="4"/>
  <c r="I35" i="4"/>
  <c r="J35" i="4"/>
  <c r="K35" i="4"/>
  <c r="L35" i="4"/>
  <c r="A36" i="4"/>
  <c r="B36" i="4"/>
  <c r="C36" i="4"/>
  <c r="D36" i="4"/>
  <c r="E36" i="4"/>
  <c r="F36" i="4"/>
  <c r="G36" i="4"/>
  <c r="I36" i="4"/>
  <c r="J36" i="4"/>
  <c r="K36" i="4"/>
  <c r="L36" i="4"/>
  <c r="A37" i="4"/>
  <c r="B37" i="4"/>
  <c r="C37" i="4"/>
  <c r="D37" i="4"/>
  <c r="E37" i="4"/>
  <c r="F37" i="4"/>
  <c r="G37" i="4"/>
  <c r="I37" i="4"/>
  <c r="J37" i="4"/>
  <c r="K37" i="4"/>
  <c r="L37" i="4"/>
  <c r="A38" i="4"/>
  <c r="B38" i="4"/>
  <c r="C38" i="4"/>
  <c r="D38" i="4"/>
  <c r="E38" i="4"/>
  <c r="F38" i="4"/>
  <c r="G38" i="4"/>
  <c r="I38" i="4"/>
  <c r="J38" i="4"/>
  <c r="K38" i="4"/>
  <c r="L38" i="4"/>
  <c r="A39" i="4"/>
  <c r="B39" i="4"/>
  <c r="C39" i="4"/>
  <c r="D39" i="4"/>
  <c r="E39" i="4"/>
  <c r="F39" i="4"/>
  <c r="G39" i="4"/>
  <c r="I39" i="4"/>
  <c r="J39" i="4"/>
  <c r="K39" i="4"/>
  <c r="L39" i="4"/>
  <c r="A40" i="4"/>
  <c r="B40" i="4"/>
  <c r="C40" i="4"/>
  <c r="D40" i="4"/>
  <c r="E40" i="4"/>
  <c r="F40" i="4"/>
  <c r="G40" i="4"/>
  <c r="I40" i="4"/>
  <c r="J40" i="4"/>
  <c r="K40" i="4"/>
  <c r="L40" i="4"/>
  <c r="A41" i="4"/>
  <c r="B41" i="4"/>
  <c r="C41" i="4"/>
  <c r="D41" i="4"/>
  <c r="E41" i="4"/>
  <c r="F41" i="4"/>
  <c r="G41" i="4"/>
  <c r="I41" i="4"/>
  <c r="J41" i="4"/>
  <c r="K41" i="4"/>
  <c r="L41" i="4"/>
  <c r="A42" i="4"/>
  <c r="B42" i="4"/>
  <c r="C42" i="4"/>
  <c r="D42" i="4"/>
  <c r="E42" i="4"/>
  <c r="F42" i="4"/>
  <c r="G42" i="4"/>
  <c r="I42" i="4"/>
  <c r="J42" i="4"/>
  <c r="K42" i="4"/>
  <c r="L42" i="4"/>
  <c r="A43" i="4"/>
  <c r="B43" i="4"/>
  <c r="C43" i="4"/>
  <c r="D43" i="4"/>
  <c r="E43" i="4"/>
  <c r="F43" i="4"/>
  <c r="G43" i="4"/>
  <c r="I43" i="4"/>
  <c r="J43" i="4"/>
  <c r="K43" i="4"/>
  <c r="L43" i="4"/>
  <c r="A44" i="4"/>
  <c r="B44" i="4"/>
  <c r="C44" i="4"/>
  <c r="D44" i="4"/>
  <c r="E44" i="4"/>
  <c r="F44" i="4"/>
  <c r="G44" i="4"/>
  <c r="I44" i="4"/>
  <c r="J44" i="4"/>
  <c r="K44" i="4"/>
  <c r="L44" i="4"/>
  <c r="A45" i="4"/>
  <c r="B45" i="4"/>
  <c r="C45" i="4"/>
  <c r="D45" i="4"/>
  <c r="E45" i="4"/>
  <c r="F45" i="4"/>
  <c r="G45" i="4"/>
  <c r="I45" i="4"/>
  <c r="J45" i="4"/>
  <c r="K45" i="4"/>
  <c r="L45" i="4"/>
  <c r="A46" i="4"/>
  <c r="B46" i="4"/>
  <c r="C46" i="4"/>
  <c r="D46" i="4"/>
  <c r="E46" i="4"/>
  <c r="F46" i="4"/>
  <c r="G46" i="4"/>
  <c r="I46" i="4"/>
  <c r="J46" i="4"/>
  <c r="K46" i="4"/>
  <c r="L46" i="4"/>
  <c r="A47" i="4"/>
  <c r="B47" i="4"/>
  <c r="C47" i="4"/>
  <c r="D47" i="4"/>
  <c r="E47" i="4"/>
  <c r="F47" i="4"/>
  <c r="G47" i="4"/>
  <c r="I47" i="4"/>
  <c r="J47" i="4"/>
  <c r="K47" i="4"/>
  <c r="L47" i="4"/>
  <c r="A48" i="4"/>
  <c r="B48" i="4"/>
  <c r="C48" i="4"/>
  <c r="D48" i="4"/>
  <c r="E48" i="4"/>
  <c r="F48" i="4"/>
  <c r="G48" i="4"/>
  <c r="I48" i="4"/>
  <c r="J48" i="4"/>
  <c r="K48" i="4"/>
  <c r="L48" i="4"/>
  <c r="A49" i="4"/>
  <c r="B49" i="4"/>
  <c r="C49" i="4"/>
  <c r="D49" i="4"/>
  <c r="E49" i="4"/>
  <c r="F49" i="4"/>
  <c r="G49" i="4"/>
  <c r="I49" i="4"/>
  <c r="J49" i="4"/>
  <c r="K49" i="4"/>
  <c r="L49" i="4"/>
  <c r="A50" i="4"/>
  <c r="B50" i="4"/>
  <c r="C50" i="4"/>
  <c r="D50" i="4"/>
  <c r="E50" i="4"/>
  <c r="F50" i="4"/>
  <c r="G50" i="4"/>
  <c r="I50" i="4"/>
  <c r="J50" i="4"/>
  <c r="K50" i="4"/>
  <c r="L50" i="4"/>
  <c r="A51" i="4"/>
  <c r="B51" i="4"/>
  <c r="C51" i="4"/>
  <c r="D51" i="4"/>
  <c r="E51" i="4"/>
  <c r="F51" i="4"/>
  <c r="G51" i="4"/>
  <c r="I51" i="4"/>
  <c r="J51" i="4"/>
  <c r="K51" i="4"/>
  <c r="L51" i="4"/>
  <c r="A52" i="4"/>
  <c r="B52" i="4"/>
  <c r="C52" i="4"/>
  <c r="D52" i="4"/>
  <c r="E52" i="4"/>
  <c r="F52" i="4"/>
  <c r="G52" i="4"/>
  <c r="I52" i="4"/>
  <c r="J52" i="4"/>
  <c r="K52" i="4"/>
  <c r="L52" i="4"/>
  <c r="A53" i="4"/>
  <c r="B53" i="4"/>
  <c r="C53" i="4"/>
  <c r="D53" i="4"/>
  <c r="E53" i="4"/>
  <c r="F53" i="4"/>
  <c r="G53" i="4"/>
  <c r="I53" i="4"/>
  <c r="J53" i="4"/>
  <c r="K53" i="4"/>
  <c r="L53" i="4"/>
  <c r="A54" i="4"/>
  <c r="B54" i="4"/>
  <c r="C54" i="4"/>
  <c r="D54" i="4"/>
  <c r="E54" i="4"/>
  <c r="F54" i="4"/>
  <c r="G54" i="4"/>
  <c r="I54" i="4"/>
  <c r="J54" i="4"/>
  <c r="K54" i="4"/>
  <c r="L54" i="4"/>
  <c r="A55" i="4"/>
  <c r="B55" i="4"/>
  <c r="C55" i="4"/>
  <c r="D55" i="4"/>
  <c r="E55" i="4"/>
  <c r="F55" i="4"/>
  <c r="G55" i="4"/>
  <c r="I55" i="4"/>
  <c r="J55" i="4"/>
  <c r="K55" i="4"/>
  <c r="L55" i="4"/>
  <c r="A56" i="4"/>
  <c r="B56" i="4"/>
  <c r="C56" i="4"/>
  <c r="D56" i="4"/>
  <c r="E56" i="4"/>
  <c r="F56" i="4"/>
  <c r="G56" i="4"/>
  <c r="I56" i="4"/>
  <c r="J56" i="4"/>
  <c r="K56" i="4"/>
  <c r="L56" i="4"/>
  <c r="A57" i="4"/>
  <c r="B57" i="4"/>
  <c r="C57" i="4"/>
  <c r="D57" i="4"/>
  <c r="E57" i="4"/>
  <c r="F57" i="4"/>
  <c r="G57" i="4"/>
  <c r="I57" i="4"/>
  <c r="J57" i="4"/>
  <c r="K57" i="4"/>
  <c r="L57" i="4"/>
  <c r="A58" i="4"/>
  <c r="B58" i="4"/>
  <c r="C58" i="4"/>
  <c r="D58" i="4"/>
  <c r="E58" i="4"/>
  <c r="F58" i="4"/>
  <c r="G58" i="4"/>
  <c r="I58" i="4"/>
  <c r="J58" i="4"/>
  <c r="K58" i="4"/>
  <c r="L58" i="4"/>
  <c r="A59" i="4"/>
  <c r="B59" i="4"/>
  <c r="C59" i="4"/>
  <c r="D59" i="4"/>
  <c r="E59" i="4"/>
  <c r="F59" i="4"/>
  <c r="G59" i="4"/>
  <c r="I59" i="4"/>
  <c r="J59" i="4"/>
  <c r="K59" i="4"/>
  <c r="L59" i="4"/>
  <c r="A60" i="4"/>
  <c r="B60" i="4"/>
  <c r="C60" i="4"/>
  <c r="D60" i="4"/>
  <c r="E60" i="4"/>
  <c r="F60" i="4"/>
  <c r="G60" i="4"/>
  <c r="I60" i="4"/>
  <c r="J60" i="4"/>
  <c r="K60" i="4"/>
  <c r="L60" i="4"/>
  <c r="A61" i="4"/>
  <c r="B61" i="4"/>
  <c r="C61" i="4"/>
  <c r="D61" i="4"/>
  <c r="E61" i="4"/>
  <c r="F61" i="4"/>
  <c r="G61" i="4"/>
  <c r="I61" i="4"/>
  <c r="J61" i="4"/>
  <c r="K61" i="4"/>
  <c r="L61" i="4"/>
  <c r="A62" i="4"/>
  <c r="B62" i="4"/>
  <c r="C62" i="4"/>
  <c r="D62" i="4"/>
  <c r="E62" i="4"/>
  <c r="F62" i="4"/>
  <c r="G62" i="4"/>
  <c r="I62" i="4"/>
  <c r="J62" i="4"/>
  <c r="K62" i="4"/>
  <c r="L62" i="4"/>
  <c r="A63" i="4"/>
  <c r="B63" i="4"/>
  <c r="C63" i="4"/>
  <c r="D63" i="4"/>
  <c r="E63" i="4"/>
  <c r="F63" i="4"/>
  <c r="G63" i="4"/>
  <c r="I63" i="4"/>
  <c r="J63" i="4"/>
  <c r="K63" i="4"/>
  <c r="L63" i="4"/>
  <c r="A64" i="4"/>
  <c r="B64" i="4"/>
  <c r="C64" i="4"/>
  <c r="D64" i="4"/>
  <c r="E64" i="4"/>
  <c r="F64" i="4"/>
  <c r="G64" i="4"/>
  <c r="I64" i="4"/>
  <c r="J64" i="4"/>
  <c r="K64" i="4"/>
  <c r="L64" i="4"/>
  <c r="A65" i="4"/>
  <c r="B65" i="4"/>
  <c r="C65" i="4"/>
  <c r="D65" i="4"/>
  <c r="E65" i="4"/>
  <c r="F65" i="4"/>
  <c r="G65" i="4"/>
  <c r="I65" i="4"/>
  <c r="J65" i="4"/>
  <c r="K65" i="4"/>
  <c r="L65" i="4"/>
  <c r="A66" i="4"/>
  <c r="B66" i="4"/>
  <c r="C66" i="4"/>
  <c r="D66" i="4"/>
  <c r="E66" i="4"/>
  <c r="F66" i="4"/>
  <c r="G66" i="4"/>
  <c r="I66" i="4"/>
  <c r="J66" i="4"/>
  <c r="K66" i="4"/>
  <c r="L66" i="4"/>
  <c r="A67" i="4"/>
  <c r="B67" i="4"/>
  <c r="C67" i="4"/>
  <c r="D67" i="4"/>
  <c r="E67" i="4"/>
  <c r="F67" i="4"/>
  <c r="G67" i="4"/>
  <c r="I67" i="4"/>
  <c r="J67" i="4"/>
  <c r="K67" i="4"/>
  <c r="L67" i="4"/>
  <c r="A68" i="4"/>
  <c r="B68" i="4"/>
  <c r="C68" i="4"/>
  <c r="D68" i="4"/>
  <c r="E68" i="4"/>
  <c r="F68" i="4"/>
  <c r="G68" i="4"/>
  <c r="I68" i="4"/>
  <c r="J68" i="4"/>
  <c r="K68" i="4"/>
  <c r="L68" i="4"/>
  <c r="A69" i="4"/>
  <c r="B69" i="4"/>
  <c r="C69" i="4"/>
  <c r="D69" i="4"/>
  <c r="E69" i="4"/>
  <c r="F69" i="4"/>
  <c r="G69" i="4"/>
  <c r="I69" i="4"/>
  <c r="J69" i="4"/>
  <c r="K69" i="4"/>
  <c r="L69" i="4"/>
  <c r="A70" i="4"/>
  <c r="B70" i="4"/>
  <c r="C70" i="4"/>
  <c r="D70" i="4"/>
  <c r="E70" i="4"/>
  <c r="F70" i="4"/>
  <c r="G70" i="4"/>
  <c r="I70" i="4"/>
  <c r="J70" i="4"/>
  <c r="K70" i="4"/>
  <c r="L70" i="4"/>
  <c r="A71" i="4"/>
  <c r="B71" i="4"/>
  <c r="C71" i="4"/>
  <c r="D71" i="4"/>
  <c r="E71" i="4"/>
  <c r="F71" i="4"/>
  <c r="G71" i="4"/>
  <c r="I71" i="4"/>
  <c r="J71" i="4"/>
  <c r="K71" i="4"/>
  <c r="L71" i="4"/>
  <c r="A72" i="4"/>
  <c r="B72" i="4"/>
  <c r="C72" i="4"/>
  <c r="D72" i="4"/>
  <c r="E72" i="4"/>
  <c r="F72" i="4"/>
  <c r="G72" i="4"/>
  <c r="I72" i="4"/>
  <c r="J72" i="4"/>
  <c r="K72" i="4"/>
  <c r="L72" i="4"/>
  <c r="A73" i="4"/>
  <c r="B73" i="4"/>
  <c r="C73" i="4"/>
  <c r="D73" i="4"/>
  <c r="E73" i="4"/>
  <c r="F73" i="4"/>
  <c r="G73" i="4"/>
  <c r="I73" i="4"/>
  <c r="J73" i="4"/>
  <c r="K73" i="4"/>
  <c r="L73" i="4"/>
  <c r="A74" i="4"/>
  <c r="B74" i="4"/>
  <c r="C74" i="4"/>
  <c r="D74" i="4"/>
  <c r="E74" i="4"/>
  <c r="F74" i="4"/>
  <c r="G74" i="4"/>
  <c r="I74" i="4"/>
  <c r="J74" i="4"/>
  <c r="K74" i="4"/>
  <c r="L74" i="4"/>
  <c r="A75" i="4"/>
  <c r="B75" i="4"/>
  <c r="C75" i="4"/>
  <c r="D75" i="4"/>
  <c r="E75" i="4"/>
  <c r="F75" i="4"/>
  <c r="G75" i="4"/>
  <c r="I75" i="4"/>
  <c r="J75" i="4"/>
  <c r="K75" i="4"/>
  <c r="L75" i="4"/>
  <c r="A76" i="4"/>
  <c r="B76" i="4"/>
  <c r="C76" i="4"/>
  <c r="D76" i="4"/>
  <c r="E76" i="4"/>
  <c r="F76" i="4"/>
  <c r="G76" i="4"/>
  <c r="I76" i="4"/>
  <c r="J76" i="4"/>
  <c r="K76" i="4"/>
  <c r="L76" i="4"/>
  <c r="A77" i="4"/>
  <c r="B77" i="4"/>
  <c r="C77" i="4"/>
  <c r="D77" i="4"/>
  <c r="E77" i="4"/>
  <c r="F77" i="4"/>
  <c r="G77" i="4"/>
  <c r="I77" i="4"/>
  <c r="J77" i="4"/>
  <c r="K77" i="4"/>
  <c r="L77" i="4"/>
  <c r="A78" i="4"/>
  <c r="B78" i="4"/>
  <c r="C78" i="4"/>
  <c r="D78" i="4"/>
  <c r="E78" i="4"/>
  <c r="F78" i="4"/>
  <c r="G78" i="4"/>
  <c r="I78" i="4"/>
  <c r="J78" i="4"/>
  <c r="K78" i="4"/>
  <c r="L78" i="4"/>
  <c r="A79" i="4"/>
  <c r="B79" i="4"/>
  <c r="C79" i="4"/>
  <c r="D79" i="4"/>
  <c r="E79" i="4"/>
  <c r="F79" i="4"/>
  <c r="G79" i="4"/>
  <c r="I79" i="4"/>
  <c r="J79" i="4"/>
  <c r="K79" i="4"/>
  <c r="L79" i="4"/>
  <c r="A80" i="4"/>
  <c r="B80" i="4"/>
  <c r="C80" i="4"/>
  <c r="D80" i="4"/>
  <c r="E80" i="4"/>
  <c r="F80" i="4"/>
  <c r="G80" i="4"/>
  <c r="I80" i="4"/>
  <c r="J80" i="4"/>
  <c r="K80" i="4"/>
  <c r="L80" i="4"/>
  <c r="A81" i="4"/>
  <c r="B81" i="4"/>
  <c r="C81" i="4"/>
  <c r="D81" i="4"/>
  <c r="E81" i="4"/>
  <c r="F81" i="4"/>
  <c r="G81" i="4"/>
  <c r="I81" i="4"/>
  <c r="J81" i="4"/>
  <c r="K81" i="4"/>
  <c r="L81" i="4"/>
  <c r="A82" i="4"/>
  <c r="B82" i="4"/>
  <c r="C82" i="4"/>
  <c r="D82" i="4"/>
  <c r="E82" i="4"/>
  <c r="F82" i="4"/>
  <c r="G82" i="4"/>
  <c r="I82" i="4"/>
  <c r="J82" i="4"/>
  <c r="K82" i="4"/>
  <c r="L82" i="4"/>
  <c r="A83" i="4"/>
  <c r="B83" i="4"/>
  <c r="C83" i="4"/>
  <c r="D83" i="4"/>
  <c r="E83" i="4"/>
  <c r="F83" i="4"/>
  <c r="G83" i="4"/>
  <c r="I83" i="4"/>
  <c r="J83" i="4"/>
  <c r="K83" i="4"/>
  <c r="L83" i="4"/>
  <c r="A84" i="4"/>
  <c r="B84" i="4"/>
  <c r="C84" i="4"/>
  <c r="D84" i="4"/>
  <c r="E84" i="4"/>
  <c r="F84" i="4"/>
  <c r="G84" i="4"/>
  <c r="I84" i="4"/>
  <c r="J84" i="4"/>
  <c r="K84" i="4"/>
  <c r="L84" i="4"/>
  <c r="A85" i="4"/>
  <c r="B85" i="4"/>
  <c r="C85" i="4"/>
  <c r="D85" i="4"/>
  <c r="E85" i="4"/>
  <c r="F85" i="4"/>
  <c r="G85" i="4"/>
  <c r="I85" i="4"/>
  <c r="J85" i="4"/>
  <c r="K85" i="4"/>
  <c r="L85" i="4"/>
  <c r="A86" i="4"/>
  <c r="B86" i="4"/>
  <c r="C86" i="4"/>
  <c r="D86" i="4"/>
  <c r="E86" i="4"/>
  <c r="F86" i="4"/>
  <c r="G86" i="4"/>
  <c r="I86" i="4"/>
  <c r="J86" i="4"/>
  <c r="K86" i="4"/>
  <c r="L86" i="4"/>
  <c r="A87" i="4"/>
  <c r="B87" i="4"/>
  <c r="C87" i="4"/>
  <c r="D87" i="4"/>
  <c r="E87" i="4"/>
  <c r="F87" i="4"/>
  <c r="G87" i="4"/>
  <c r="I87" i="4"/>
  <c r="J87" i="4"/>
  <c r="K87" i="4"/>
  <c r="L87" i="4"/>
  <c r="A88" i="4"/>
  <c r="B88" i="4"/>
  <c r="C88" i="4"/>
  <c r="D88" i="4"/>
  <c r="E88" i="4"/>
  <c r="F88" i="4"/>
  <c r="G88" i="4"/>
  <c r="I88" i="4"/>
  <c r="J88" i="4"/>
  <c r="K88" i="4"/>
  <c r="L88" i="4"/>
  <c r="A89" i="4"/>
  <c r="B89" i="4"/>
  <c r="C89" i="4"/>
  <c r="D89" i="4"/>
  <c r="E89" i="4"/>
  <c r="F89" i="4"/>
  <c r="G89" i="4"/>
  <c r="I89" i="4"/>
  <c r="J89" i="4"/>
  <c r="K89" i="4"/>
  <c r="L89" i="4"/>
  <c r="A90" i="4"/>
  <c r="B90" i="4"/>
  <c r="C90" i="4"/>
  <c r="D90" i="4"/>
  <c r="E90" i="4"/>
  <c r="F90" i="4"/>
  <c r="G90" i="4"/>
  <c r="I90" i="4"/>
  <c r="J90" i="4"/>
  <c r="K90" i="4"/>
  <c r="L90" i="4"/>
  <c r="A91" i="4"/>
  <c r="B91" i="4"/>
  <c r="C91" i="4"/>
  <c r="D91" i="4"/>
  <c r="E91" i="4"/>
  <c r="F91" i="4"/>
  <c r="G91" i="4"/>
  <c r="I91" i="4"/>
  <c r="J91" i="4"/>
  <c r="K91" i="4"/>
  <c r="L91" i="4"/>
  <c r="A92" i="4"/>
  <c r="B92" i="4"/>
  <c r="C92" i="4"/>
  <c r="D92" i="4"/>
  <c r="E92" i="4"/>
  <c r="F92" i="4"/>
  <c r="G92" i="4"/>
  <c r="I92" i="4"/>
  <c r="J92" i="4"/>
  <c r="K92" i="4"/>
  <c r="L92" i="4"/>
  <c r="A93" i="4"/>
  <c r="B93" i="4"/>
  <c r="C93" i="4"/>
  <c r="D93" i="4"/>
  <c r="E93" i="4"/>
  <c r="F93" i="4"/>
  <c r="G93" i="4"/>
  <c r="I93" i="4"/>
  <c r="J93" i="4"/>
  <c r="K93" i="4"/>
  <c r="L93" i="4"/>
  <c r="A94" i="4"/>
  <c r="B94" i="4"/>
  <c r="C94" i="4"/>
  <c r="D94" i="4"/>
  <c r="E94" i="4"/>
  <c r="F94" i="4"/>
  <c r="G94" i="4"/>
  <c r="I94" i="4"/>
  <c r="J94" i="4"/>
  <c r="K94" i="4"/>
  <c r="L94" i="4"/>
  <c r="A95" i="4"/>
  <c r="B95" i="4"/>
  <c r="C95" i="4"/>
  <c r="D95" i="4"/>
  <c r="E95" i="4"/>
  <c r="F95" i="4"/>
  <c r="G95" i="4"/>
  <c r="I95" i="4"/>
  <c r="J95" i="4"/>
  <c r="K95" i="4"/>
  <c r="L95" i="4"/>
  <c r="A96" i="4"/>
  <c r="B96" i="4"/>
  <c r="C96" i="4"/>
  <c r="D96" i="4"/>
  <c r="E96" i="4"/>
  <c r="F96" i="4"/>
  <c r="G96" i="4"/>
  <c r="I96" i="4"/>
  <c r="J96" i="4"/>
  <c r="K96" i="4"/>
  <c r="L96" i="4"/>
  <c r="A97" i="4"/>
  <c r="B97" i="4"/>
  <c r="C97" i="4"/>
  <c r="D97" i="4"/>
  <c r="E97" i="4"/>
  <c r="F97" i="4"/>
  <c r="G97" i="4"/>
  <c r="I97" i="4"/>
  <c r="J97" i="4"/>
  <c r="K97" i="4"/>
  <c r="L97" i="4"/>
  <c r="A98" i="4"/>
  <c r="B98" i="4"/>
  <c r="C98" i="4"/>
  <c r="D98" i="4"/>
  <c r="E98" i="4"/>
  <c r="F98" i="4"/>
  <c r="G98" i="4"/>
  <c r="I98" i="4"/>
  <c r="J98" i="4"/>
  <c r="K98" i="4"/>
  <c r="L98" i="4"/>
  <c r="A99" i="4"/>
  <c r="B99" i="4"/>
  <c r="C99" i="4"/>
  <c r="D99" i="4"/>
  <c r="E99" i="4"/>
  <c r="F99" i="4"/>
  <c r="G99" i="4"/>
  <c r="I99" i="4"/>
  <c r="J99" i="4"/>
  <c r="K99" i="4"/>
  <c r="L99" i="4"/>
  <c r="A100" i="4"/>
  <c r="B100" i="4"/>
  <c r="C100" i="4"/>
  <c r="D100" i="4"/>
  <c r="E100" i="4"/>
  <c r="F100" i="4"/>
  <c r="G100" i="4"/>
  <c r="I100" i="4"/>
  <c r="J100" i="4"/>
  <c r="K100" i="4"/>
  <c r="L100" i="4"/>
  <c r="A101" i="4"/>
  <c r="B101" i="4"/>
  <c r="C101" i="4"/>
  <c r="D101" i="4"/>
  <c r="E101" i="4"/>
  <c r="F101" i="4"/>
  <c r="G101" i="4"/>
  <c r="I101" i="4"/>
  <c r="J101" i="4"/>
  <c r="K101" i="4"/>
  <c r="L101" i="4"/>
  <c r="A102" i="4"/>
  <c r="B102" i="4"/>
  <c r="C102" i="4"/>
  <c r="D102" i="4"/>
  <c r="E102" i="4"/>
  <c r="F102" i="4"/>
  <c r="G102" i="4"/>
  <c r="I102" i="4"/>
  <c r="J102" i="4"/>
  <c r="K102" i="4"/>
  <c r="L102" i="4"/>
  <c r="A103" i="4"/>
  <c r="B103" i="4"/>
  <c r="C103" i="4"/>
  <c r="D103" i="4"/>
  <c r="E103" i="4"/>
  <c r="F103" i="4"/>
  <c r="G103" i="4"/>
  <c r="I103" i="4"/>
  <c r="J103" i="4"/>
  <c r="K103" i="4"/>
  <c r="L103" i="4"/>
  <c r="A104" i="4"/>
  <c r="B104" i="4"/>
  <c r="C104" i="4"/>
  <c r="D104" i="4"/>
  <c r="E104" i="4"/>
  <c r="F104" i="4"/>
  <c r="G104" i="4"/>
  <c r="I104" i="4"/>
  <c r="J104" i="4"/>
  <c r="K104" i="4"/>
  <c r="L104" i="4"/>
  <c r="A105" i="4"/>
  <c r="B105" i="4"/>
  <c r="C105" i="4"/>
  <c r="D105" i="4"/>
  <c r="E105" i="4"/>
  <c r="F105" i="4"/>
  <c r="G105" i="4"/>
  <c r="I105" i="4"/>
  <c r="J105" i="4"/>
  <c r="K105" i="4"/>
  <c r="L105" i="4"/>
  <c r="A106" i="4"/>
  <c r="B106" i="4"/>
  <c r="C106" i="4"/>
  <c r="D106" i="4"/>
  <c r="E106" i="4"/>
  <c r="F106" i="4"/>
  <c r="G106" i="4"/>
  <c r="I106" i="4"/>
  <c r="J106" i="4"/>
  <c r="K106" i="4"/>
  <c r="L106" i="4"/>
  <c r="B7" i="4"/>
  <c r="C7" i="4"/>
  <c r="D7" i="4"/>
  <c r="E7" i="4"/>
  <c r="F7" i="4"/>
  <c r="G7" i="4"/>
  <c r="I7" i="4"/>
  <c r="J7" i="4"/>
  <c r="K7" i="4"/>
  <c r="L7" i="4"/>
  <c r="A7" i="4"/>
  <c r="FO7" i="4" l="1"/>
  <c r="N7" i="2" l="1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E56" i="2" l="1"/>
  <c r="C56" i="2"/>
  <c r="E55" i="2"/>
  <c r="C55" i="2"/>
  <c r="E54" i="2"/>
  <c r="C54" i="2"/>
  <c r="E53" i="2"/>
  <c r="C53" i="2"/>
  <c r="E52" i="2"/>
  <c r="C52" i="2"/>
  <c r="E51" i="2"/>
  <c r="C51" i="2"/>
  <c r="E50" i="2"/>
  <c r="C50" i="2"/>
  <c r="E49" i="2"/>
  <c r="C49" i="2"/>
  <c r="E48" i="2"/>
  <c r="C48" i="2"/>
  <c r="E47" i="2"/>
  <c r="C47" i="2"/>
  <c r="E46" i="2"/>
  <c r="C46" i="2"/>
  <c r="E45" i="2"/>
  <c r="C45" i="2"/>
  <c r="E44" i="2"/>
  <c r="C44" i="2"/>
  <c r="E43" i="2"/>
  <c r="C43" i="2"/>
  <c r="E42" i="2"/>
  <c r="C42" i="2"/>
  <c r="E41" i="2"/>
  <c r="C41" i="2"/>
  <c r="E40" i="2"/>
  <c r="C40" i="2"/>
  <c r="E39" i="2"/>
  <c r="C39" i="2"/>
  <c r="E38" i="2"/>
  <c r="C38" i="2"/>
  <c r="E37" i="2"/>
  <c r="C37" i="2"/>
  <c r="E36" i="2"/>
  <c r="C36" i="2"/>
  <c r="E35" i="2"/>
  <c r="C35" i="2"/>
  <c r="E34" i="2"/>
  <c r="C34" i="2"/>
  <c r="E33" i="2"/>
  <c r="C33" i="2"/>
  <c r="E32" i="2"/>
  <c r="C32" i="2"/>
  <c r="E31" i="2"/>
  <c r="C31" i="2"/>
  <c r="E30" i="2"/>
  <c r="C30" i="2"/>
  <c r="E29" i="2"/>
  <c r="C29" i="2"/>
  <c r="E28" i="2"/>
  <c r="C28" i="2"/>
  <c r="E27" i="2"/>
  <c r="C27" i="2"/>
  <c r="E26" i="2"/>
  <c r="C26" i="2"/>
  <c r="E25" i="2"/>
  <c r="C25" i="2"/>
  <c r="E24" i="2"/>
  <c r="C24" i="2"/>
  <c r="E23" i="2"/>
  <c r="C23" i="2"/>
  <c r="E22" i="2"/>
  <c r="C22" i="2"/>
  <c r="E21" i="2"/>
  <c r="C21" i="2"/>
  <c r="E20" i="2"/>
  <c r="C20" i="2"/>
  <c r="E19" i="2"/>
  <c r="C19" i="2"/>
  <c r="E18" i="2"/>
  <c r="C18" i="2"/>
  <c r="E17" i="2"/>
  <c r="C17" i="2"/>
  <c r="E16" i="2"/>
  <c r="C16" i="2"/>
  <c r="E15" i="2"/>
  <c r="C15" i="2"/>
  <c r="E14" i="2"/>
  <c r="C14" i="2"/>
  <c r="E13" i="2"/>
  <c r="C13" i="2"/>
  <c r="E12" i="2"/>
  <c r="C12" i="2"/>
  <c r="E11" i="2"/>
  <c r="C11" i="2"/>
  <c r="E10" i="2"/>
  <c r="C10" i="2"/>
  <c r="E9" i="2"/>
  <c r="C9" i="2"/>
  <c r="E8" i="2"/>
  <c r="C8" i="2"/>
  <c r="E7" i="2"/>
  <c r="C7" i="2"/>
</calcChain>
</file>

<file path=xl/sharedStrings.xml><?xml version="1.0" encoding="utf-8"?>
<sst xmlns="http://schemas.openxmlformats.org/spreadsheetml/2006/main" count="3240" uniqueCount="204">
  <si>
    <t>ID</t>
  </si>
  <si>
    <t>Name</t>
  </si>
  <si>
    <t>Initials</t>
  </si>
  <si>
    <t>Surname</t>
  </si>
  <si>
    <t>D.O.B.</t>
  </si>
  <si>
    <t>Gender</t>
  </si>
  <si>
    <t>Title</t>
  </si>
  <si>
    <t>Email</t>
  </si>
  <si>
    <t>Street Number</t>
  </si>
  <si>
    <t>Street Name</t>
  </si>
  <si>
    <t>Suburb</t>
  </si>
  <si>
    <t>Town</t>
  </si>
  <si>
    <t>Postal Code</t>
  </si>
  <si>
    <t>Dung</t>
  </si>
  <si>
    <t>Sane</t>
  </si>
  <si>
    <t>Male</t>
  </si>
  <si>
    <t>Mr</t>
  </si>
  <si>
    <t>kourai@comcast.net</t>
  </si>
  <si>
    <t>Lucky</t>
  </si>
  <si>
    <t>Moreleta</t>
  </si>
  <si>
    <t>Pretoria</t>
  </si>
  <si>
    <t>sethbrown@msn.com</t>
  </si>
  <si>
    <t>empathy@comcast.net</t>
  </si>
  <si>
    <t>sblack@verizon.net</t>
  </si>
  <si>
    <t>wikinerd@me.com</t>
  </si>
  <si>
    <t>lishoy@sbcglobal.net</t>
  </si>
  <si>
    <t>philb@verizon.net</t>
  </si>
  <si>
    <t>zeller@me.com</t>
  </si>
  <si>
    <t>itstatus@sbcglobal.net</t>
  </si>
  <si>
    <t>bancboy@live.com</t>
  </si>
  <si>
    <t>attwood@sbcglobal.net</t>
  </si>
  <si>
    <t>jespley@outlook.com</t>
  </si>
  <si>
    <t>Request</t>
  </si>
  <si>
    <t xml:space="preserve">METFVP </t>
  </si>
  <si>
    <t>Program</t>
  </si>
  <si>
    <t>PCMFCOVINC</t>
  </si>
  <si>
    <t>INPUT</t>
  </si>
  <si>
    <t>OUTPUT</t>
  </si>
  <si>
    <t xml:space="preserve">GENERAL </t>
  </si>
  <si>
    <t>BENEFIT 1</t>
  </si>
  <si>
    <t>BENEFIT 2</t>
  </si>
  <si>
    <t>BENEFIT 3</t>
  </si>
  <si>
    <t>BENEFIT 4</t>
  </si>
  <si>
    <t>LIFE1</t>
  </si>
  <si>
    <t>Scenario</t>
  </si>
  <si>
    <t>CALCDATE</t>
  </si>
  <si>
    <t>TOTAL_POL_PRM</t>
  </si>
  <si>
    <t>NBRATE_IND</t>
  </si>
  <si>
    <t>ALTERATION_IND</t>
  </si>
  <si>
    <t>CPI_IND</t>
  </si>
  <si>
    <t>POLAL</t>
  </si>
  <si>
    <t>POLNO</t>
  </si>
  <si>
    <t>COUNTRY_OF_ORIG</t>
  </si>
  <si>
    <t xml:space="preserve">RANGE_CODE     </t>
  </si>
  <si>
    <t xml:space="preserve">ALTERATION     </t>
  </si>
  <si>
    <t xml:space="preserve">OCC_BNFOCC     </t>
  </si>
  <si>
    <t>PRODUCT_COUNT</t>
  </si>
  <si>
    <t>BENEFIT_COUNT</t>
  </si>
  <si>
    <t>TABLE_CODE</t>
  </si>
  <si>
    <t>MOVEMENT_CODE</t>
  </si>
  <si>
    <t>MOVEMENT_DATE</t>
  </si>
  <si>
    <t>DATE_CALCULATED</t>
  </si>
  <si>
    <t xml:space="preserve">BENEFIT_LEVEL  </t>
  </si>
  <si>
    <t xml:space="preserve">BENEFIT_TYPE   </t>
  </si>
  <si>
    <t xml:space="preserve">BNF_INCEPTION  </t>
  </si>
  <si>
    <t xml:space="preserve">COVER_GROWTH   </t>
  </si>
  <si>
    <t xml:space="preserve">PREMIUM_GROWTH </t>
  </si>
  <si>
    <t xml:space="preserve">GROWTH_TYPE    </t>
  </si>
  <si>
    <t xml:space="preserve">COVER_TERM     </t>
  </si>
  <si>
    <t xml:space="preserve">FUNDING_OPTION </t>
  </si>
  <si>
    <t xml:space="preserve">PACKAGE_CODE   </t>
  </si>
  <si>
    <t>BENEFIT_OFF_DTE</t>
  </si>
  <si>
    <t xml:space="preserve">FREQUENCY      </t>
  </si>
  <si>
    <t xml:space="preserve">RATE_DATE      </t>
  </si>
  <si>
    <t xml:space="preserve">WAITING_PERIOD </t>
  </si>
  <si>
    <t>BNF_SUM_ASSURED</t>
  </si>
  <si>
    <t>BNF_PREMIUM</t>
  </si>
  <si>
    <t xml:space="preserve">PREMIUM_AGE    </t>
  </si>
  <si>
    <t>BENEFIT_POL_FEE</t>
  </si>
  <si>
    <t>INIT_FIXED_PFEE</t>
  </si>
  <si>
    <t>RENW_FIXED_PFEE</t>
  </si>
  <si>
    <t xml:space="preserve">INI_VAR_PFEE   </t>
  </si>
  <si>
    <t xml:space="preserve">RENW_VAR_PFEE  </t>
  </si>
  <si>
    <t>DIST_CHAN_SALES</t>
  </si>
  <si>
    <t xml:space="preserve">INTER_AW_SALES </t>
  </si>
  <si>
    <t xml:space="preserve">INTER_UF_SALES </t>
  </si>
  <si>
    <t xml:space="preserve">INTER_UF_LAPSE </t>
  </si>
  <si>
    <t xml:space="preserve">RISK_PREMIUM   </t>
  </si>
  <si>
    <t>LAPS_RSK_ON_EXP</t>
  </si>
  <si>
    <t xml:space="preserve">PROFIT_MARGIN  </t>
  </si>
  <si>
    <t xml:space="preserve">CLAIMS_EXP     </t>
  </si>
  <si>
    <t xml:space="preserve">UNDERWRIT_EXP  </t>
  </si>
  <si>
    <t xml:space="preserve">STAMP_DUTY     </t>
  </si>
  <si>
    <t xml:space="preserve">CONT_MARGIN </t>
  </si>
  <si>
    <t>TABLE_CODE_TWO</t>
  </si>
  <si>
    <t>BNF_PREMIUM_OLD</t>
  </si>
  <si>
    <t>TABLE_CODE_THREE</t>
  </si>
  <si>
    <t>MOVEMENT_COUNT</t>
  </si>
  <si>
    <t>TABLE_CODE_FOUR</t>
  </si>
  <si>
    <t>OCC_LIFEOCC</t>
  </si>
  <si>
    <t xml:space="preserve">PRODUCT_CNT  </t>
  </si>
  <si>
    <t xml:space="preserve">BENEFIT_CNT  </t>
  </si>
  <si>
    <t>ANB_AT_INCEPT</t>
  </si>
  <si>
    <t xml:space="preserve">GENDER       </t>
  </si>
  <si>
    <t>DATE OF BIRTH1</t>
  </si>
  <si>
    <t>OCC_BNFOCNT</t>
  </si>
  <si>
    <t xml:space="preserve">PRODUCT_COUNT   </t>
  </si>
  <si>
    <t xml:space="preserve">BENEFIT_COUNT   </t>
  </si>
  <si>
    <t xml:space="preserve">TABLE_CODE      </t>
  </si>
  <si>
    <t xml:space="preserve">PREM_CLC_PCKCDE </t>
  </si>
  <si>
    <t xml:space="preserve">PREM_CLC_ANB    </t>
  </si>
  <si>
    <t xml:space="preserve">SUM_ASSURED   </t>
  </si>
  <si>
    <t xml:space="preserve">TOT_BNF_PRM   </t>
  </si>
  <si>
    <t xml:space="preserve">BNF_POLFEE    </t>
  </si>
  <si>
    <t xml:space="preserve">FIX_INT_PREMF </t>
  </si>
  <si>
    <t xml:space="preserve">FIX_REN_PREMF </t>
  </si>
  <si>
    <t xml:space="preserve">VAR_INT_PREMF </t>
  </si>
  <si>
    <t xml:space="preserve">VAR_REN_PREMF </t>
  </si>
  <si>
    <t xml:space="preserve">DISRIB_SALESF </t>
  </si>
  <si>
    <t xml:space="preserve">AS_WHEN_SF    </t>
  </si>
  <si>
    <t xml:space="preserve">UPFRONT SF    </t>
  </si>
  <si>
    <t xml:space="preserve">UPF_LAPSE SF  </t>
  </si>
  <si>
    <t xml:space="preserve">CLEAN_RISK_PR </t>
  </si>
  <si>
    <t xml:space="preserve">EXP LAPS PR   </t>
  </si>
  <si>
    <t>PROFIT MARG_PR</t>
  </si>
  <si>
    <t xml:space="preserve">CLAIM EXP_PR   </t>
  </si>
  <si>
    <t xml:space="preserve">UNDERWR_EX_PR  </t>
  </si>
  <si>
    <t xml:space="preserve">STAMP_DUTY PR  </t>
  </si>
  <si>
    <t xml:space="preserve">CONTINGENCY_PR </t>
  </si>
  <si>
    <t xml:space="preserve">CRR            </t>
  </si>
  <si>
    <t>BENEFIT_PRICESA</t>
  </si>
  <si>
    <t>BENEFIT_LFF_TOT</t>
  </si>
  <si>
    <t>N</t>
  </si>
  <si>
    <t>Y</t>
  </si>
  <si>
    <t>RSA</t>
  </si>
  <si>
    <t>METR</t>
  </si>
  <si>
    <t>MFMM</t>
  </si>
  <si>
    <t>M</t>
  </si>
  <si>
    <t>MM</t>
  </si>
  <si>
    <t>MFIX</t>
  </si>
  <si>
    <t>STLV</t>
  </si>
  <si>
    <t>MFSP</t>
  </si>
  <si>
    <t>MN</t>
  </si>
  <si>
    <t>MK</t>
  </si>
  <si>
    <t>MFUC</t>
  </si>
  <si>
    <t>ML</t>
  </si>
  <si>
    <t>MFPA</t>
  </si>
  <si>
    <t>MP</t>
  </si>
  <si>
    <t>MFEF</t>
  </si>
  <si>
    <t>ME</t>
  </si>
  <si>
    <t>PUDT</t>
  </si>
  <si>
    <t>PUDS</t>
  </si>
  <si>
    <t>My_total_need</t>
  </si>
  <si>
    <t>Web_prem_1</t>
  </si>
  <si>
    <t>Web_prem_2</t>
  </si>
  <si>
    <t>Web_prem_3</t>
  </si>
  <si>
    <t>Web_prem_4</t>
  </si>
  <si>
    <t>WEB_PREM_2</t>
  </si>
  <si>
    <t>WEB_PREM_3</t>
  </si>
  <si>
    <t>WEB_PREM_4</t>
  </si>
  <si>
    <t>WEB_PREM_1</t>
  </si>
  <si>
    <t>Female</t>
  </si>
  <si>
    <t>Mrs</t>
  </si>
  <si>
    <t>Ms</t>
  </si>
  <si>
    <t>Merry</t>
  </si>
  <si>
    <t>Pippin</t>
  </si>
  <si>
    <t>GoRound</t>
  </si>
  <si>
    <t>Jacquline</t>
  </si>
  <si>
    <t>Pearline</t>
  </si>
  <si>
    <t>Ireland</t>
  </si>
  <si>
    <t>Scotland</t>
  </si>
  <si>
    <t>England</t>
  </si>
  <si>
    <t>Wales</t>
  </si>
  <si>
    <t>Africa</t>
  </si>
  <si>
    <t>Egypt</t>
  </si>
  <si>
    <t>Algeria</t>
  </si>
  <si>
    <t>Brazil</t>
  </si>
  <si>
    <t>Italia</t>
  </si>
  <si>
    <t>Ukraine</t>
  </si>
  <si>
    <t>Russia</t>
  </si>
  <si>
    <t>America</t>
  </si>
  <si>
    <t>Gandalf</t>
  </si>
  <si>
    <t>Frodo</t>
  </si>
  <si>
    <t>Org</t>
  </si>
  <si>
    <t>Smaug</t>
  </si>
  <si>
    <t>Elijah</t>
  </si>
  <si>
    <t>David</t>
  </si>
  <si>
    <t>Curley</t>
  </si>
  <si>
    <t>Peanut</t>
  </si>
  <si>
    <t>Cap</t>
  </si>
  <si>
    <t>Alfa</t>
  </si>
  <si>
    <t>Bravo</t>
  </si>
  <si>
    <t>Tango</t>
  </si>
  <si>
    <t>Delta</t>
  </si>
  <si>
    <t>Lester</t>
  </si>
  <si>
    <t>Thabo</t>
  </si>
  <si>
    <t>Alonso</t>
  </si>
  <si>
    <t>Fernado</t>
  </si>
  <si>
    <t>S</t>
  </si>
  <si>
    <t xml:space="preserve"> </t>
  </si>
  <si>
    <t>MT</t>
  </si>
  <si>
    <t>MS</t>
  </si>
  <si>
    <t>MFCL</t>
  </si>
  <si>
    <t>PURO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</si>
</sst>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R&quot;\ #,##0;[Red]&quot;R&quot;\ \-#,##0"/>
    <numFmt numFmtId="43" formatCode="_ * #,##0.00_ ;_ * \-#,##0.00_ ;_ * &quot;-&quot;??_ ;_ @_ "/>
  </numFmts>
  <fonts count="30">
    <font>
      <sz val="11"/>
      <color theme="1"/>
      <name val="Calibri"/>
      <family val="2"/>
      <scheme val="minor"/>
    </font>
    <font>
      <sz val="11"/>
      <color rgb="FF333333"/>
      <name val="Arial"/>
      <family val="2"/>
    </font>
    <font>
      <sz val="11"/>
      <color rgb="FFFF0080"/>
      <name val="Arial"/>
      <family val="2"/>
    </font>
    <font>
      <sz val="11"/>
      <color rgb="FF000000"/>
      <name val="Roboto"/>
    </font>
    <font>
      <sz val="11"/>
      <color rgb="FF0000FF"/>
      <name val="Arial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181">
    <xf numFmtId="0" fontId="0" fillId="0" borderId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4" applyNumberFormat="0" applyAlignment="0" applyProtection="0"/>
    <xf numFmtId="0" fontId="18" fillId="11" borderId="5" applyNumberFormat="0" applyAlignment="0" applyProtection="0"/>
    <xf numFmtId="0" fontId="19" fillId="11" borderId="4" applyNumberFormat="0" applyAlignment="0" applyProtection="0"/>
    <xf numFmtId="0" fontId="20" fillId="0" borderId="6" applyNumberFormat="0" applyFill="0" applyAlignment="0" applyProtection="0"/>
    <xf numFmtId="0" fontId="21" fillId="12" borderId="7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9" applyNumberFormat="0" applyFill="0" applyAlignment="0" applyProtection="0"/>
    <xf numFmtId="0" fontId="24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4" fillId="37" borderId="0" applyNumberFormat="0" applyBorder="0" applyAlignment="0" applyProtection="0"/>
    <xf numFmtId="43" fontId="9" fillId="0" borderId="0" applyFont="0" applyFill="0" applyBorder="0" applyAlignment="0" applyProtection="0"/>
    <xf numFmtId="0" fontId="25" fillId="0" borderId="0"/>
    <xf numFmtId="0" fontId="9" fillId="0" borderId="0"/>
    <xf numFmtId="0" fontId="25" fillId="0" borderId="0"/>
    <xf numFmtId="9" fontId="9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9" fillId="13" borderId="8" applyNumberFormat="0" applyFont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5" borderId="0" applyNumberFormat="0" applyBorder="0" applyAlignment="0" applyProtection="0"/>
    <xf numFmtId="0" fontId="9" fillId="19" borderId="0" applyNumberFormat="0" applyBorder="0" applyAlignment="0" applyProtection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35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15" borderId="0" applyNumberFormat="0" applyBorder="0" applyAlignment="0" applyProtection="0"/>
    <xf numFmtId="0" fontId="9" fillId="19" borderId="0" applyNumberFormat="0" applyBorder="0" applyAlignment="0" applyProtection="0"/>
    <xf numFmtId="0" fontId="9" fillId="23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25" fillId="0" borderId="0"/>
    <xf numFmtId="0" fontId="9" fillId="13" borderId="8" applyNumberFormat="0" applyFont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13" borderId="8" applyNumberFormat="0" applyFont="0" applyAlignment="0" applyProtection="0"/>
    <xf numFmtId="0" fontId="9" fillId="27" borderId="0" applyNumberFormat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9" fontId="25" fillId="0" borderId="0" applyFont="0" applyFill="0" applyBorder="0" applyAlignment="0" applyProtection="0"/>
    <xf numFmtId="0" fontId="9" fillId="24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3" borderId="8" applyNumberFormat="0" applyFont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0" fontId="9" fillId="13" borderId="8" applyNumberFormat="0" applyFont="0" applyAlignment="0" applyProtection="0"/>
    <xf numFmtId="0" fontId="9" fillId="31" borderId="0" applyNumberFormat="0" applyBorder="0" applyAlignment="0" applyProtection="0"/>
    <xf numFmtId="0" fontId="9" fillId="35" borderId="0" applyNumberFormat="0" applyBorder="0" applyAlignment="0" applyProtection="0"/>
    <xf numFmtId="43" fontId="25" fillId="0" borderId="0" applyFont="0" applyFill="0" applyBorder="0" applyAlignment="0" applyProtection="0"/>
    <xf numFmtId="0" fontId="9" fillId="16" borderId="0" applyNumberFormat="0" applyBorder="0" applyAlignment="0" applyProtection="0"/>
    <xf numFmtId="43" fontId="25" fillId="0" borderId="0" applyFont="0" applyFill="0" applyBorder="0" applyAlignment="0" applyProtection="0"/>
    <xf numFmtId="0" fontId="9" fillId="20" borderId="0" applyNumberFormat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0" fontId="9" fillId="13" borderId="8" applyNumberFormat="0" applyFont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0" fontId="9" fillId="13" borderId="8" applyNumberFormat="0" applyFont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13" borderId="8" applyNumberFormat="0" applyFont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3" borderId="8" applyNumberFormat="0" applyFont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13" borderId="8" applyNumberFormat="0" applyFont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24" borderId="0" applyNumberFormat="0" applyBorder="0" applyAlignment="0" applyProtection="0"/>
    <xf numFmtId="0" fontId="9" fillId="15" borderId="0" applyNumberFormat="0" applyBorder="0" applyAlignment="0" applyProtection="0"/>
    <xf numFmtId="0" fontId="9" fillId="19" borderId="0" applyNumberFormat="0" applyBorder="0" applyAlignment="0" applyProtection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35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31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13" borderId="8" applyNumberFormat="0" applyFont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9" fontId="25" fillId="0" borderId="0" applyFont="0" applyFill="0" applyBorder="0" applyAlignment="0" applyProtection="0"/>
    <xf numFmtId="0" fontId="9" fillId="24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24" borderId="0" applyNumberFormat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9" fillId="13" borderId="8" applyNumberFormat="0" applyFont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9" fillId="15" borderId="0" applyNumberFormat="0" applyBorder="0" applyAlignment="0" applyProtection="0"/>
    <xf numFmtId="0" fontId="9" fillId="19" borderId="0" applyNumberFormat="0" applyBorder="0" applyAlignment="0" applyProtection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35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25" fillId="0" borderId="0"/>
    <xf numFmtId="0" fontId="9" fillId="36" borderId="0" applyNumberFormat="0" applyBorder="0" applyAlignment="0" applyProtection="0"/>
    <xf numFmtId="0" fontId="9" fillId="32" borderId="0" applyNumberFormat="0" applyBorder="0" applyAlignment="0" applyProtection="0"/>
    <xf numFmtId="0" fontId="9" fillId="28" borderId="0" applyNumberFormat="0" applyBorder="0" applyAlignment="0" applyProtection="0"/>
    <xf numFmtId="0" fontId="9" fillId="13" borderId="8" applyNumberFormat="0" applyFont="0" applyAlignment="0" applyProtection="0"/>
    <xf numFmtId="0" fontId="9" fillId="24" borderId="0" applyNumberFormat="0" applyBorder="0" applyAlignment="0" applyProtection="0"/>
    <xf numFmtId="0" fontId="9" fillId="20" borderId="0" applyNumberFormat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35" borderId="0" applyNumberFormat="0" applyBorder="0" applyAlignment="0" applyProtection="0"/>
    <xf numFmtId="0" fontId="9" fillId="31" borderId="0" applyNumberFormat="0" applyBorder="0" applyAlignment="0" applyProtection="0"/>
    <xf numFmtId="9" fontId="25" fillId="0" borderId="0" applyFont="0" applyFill="0" applyBorder="0" applyAlignment="0" applyProtection="0"/>
    <xf numFmtId="0" fontId="9" fillId="27" borderId="0" applyNumberFormat="0" applyBorder="0" applyAlignment="0" applyProtection="0"/>
    <xf numFmtId="9" fontId="25" fillId="0" borderId="0" applyFont="0" applyFill="0" applyBorder="0" applyAlignment="0" applyProtection="0"/>
    <xf numFmtId="0" fontId="9" fillId="23" borderId="0" applyNumberFormat="0" applyBorder="0" applyAlignment="0" applyProtection="0"/>
    <xf numFmtId="9" fontId="25" fillId="0" borderId="0" applyFont="0" applyFill="0" applyBorder="0" applyAlignment="0" applyProtection="0"/>
    <xf numFmtId="0" fontId="9" fillId="19" borderId="0" applyNumberFormat="0" applyBorder="0" applyAlignment="0" applyProtection="0"/>
    <xf numFmtId="0" fontId="9" fillId="15" borderId="0" applyNumberFormat="0" applyBorder="0" applyAlignment="0" applyProtection="0"/>
    <xf numFmtId="0" fontId="25" fillId="0" borderId="0"/>
    <xf numFmtId="0" fontId="9" fillId="13" borderId="8" applyNumberFormat="0" applyFont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9" fillId="0" borderId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0" fontId="9" fillId="13" borderId="8" applyNumberFormat="0" applyFont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0" fontId="9" fillId="0" borderId="0"/>
    <xf numFmtId="9" fontId="2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25" fillId="0" borderId="0"/>
    <xf numFmtId="9" fontId="9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7" fillId="0" borderId="0"/>
  </cellStyleXfs>
  <cellXfs count="51">
    <xf numFmtId="0" fontId="0" fillId="0" borderId="0" xfId="0"/>
    <xf numFmtId="0" fontId="5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 vertical="center" wrapText="1" indent="1"/>
    </xf>
    <xf numFmtId="0" fontId="6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left" vertical="center" wrapText="1" inden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0" borderId="0" xfId="0" applyFont="1"/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8" fillId="0" borderId="0" xfId="0" applyFont="1" applyAlignment="1">
      <alignment horizontal="center"/>
    </xf>
    <xf numFmtId="6" fontId="0" fillId="5" borderId="0" xfId="0" applyNumberFormat="1" applyFill="1" applyAlignment="1">
      <alignment horizontal="center"/>
    </xf>
    <xf numFmtId="1" fontId="1" fillId="0" borderId="0" xfId="0" applyNumberFormat="1" applyFont="1"/>
    <xf numFmtId="0" fontId="29" fillId="40" borderId="10" xfId="0" applyFont="1" applyFill="1" applyBorder="1" applyAlignment="1">
      <alignment horizontal="center"/>
    </xf>
    <xf numFmtId="0" fontId="0" fillId="41" borderId="1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3" borderId="10" xfId="0" applyFill="1" applyBorder="1" applyAlignment="1">
      <alignment horizontal="center"/>
    </xf>
    <xf numFmtId="0" fontId="0" fillId="42" borderId="10" xfId="0" applyFill="1" applyBorder="1" applyAlignment="1">
      <alignment horizontal="center"/>
    </xf>
    <xf numFmtId="0" fontId="29" fillId="4" borderId="10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39" borderId="10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28" fillId="0" borderId="10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28" fillId="0" borderId="10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28" fillId="0" borderId="10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10" xfId="0" applyFill="1" applyBorder="1" applyAlignment="1">
      <alignment horizontal="center"/>
    </xf>
    <xf numFmtId="0" fontId="28" fillId="0" borderId="10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8" borderId="10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4" borderId="0" xfId="0" applyFill="1" applyAlignment="1">
      <alignment horizontal="center"/>
    </xf>
  </cellXfs>
  <cellStyles count="4181">
    <cellStyle name="20% - Accent1" xfId="18" builtinId="30" customBuiltin="1"/>
    <cellStyle name="20% - Accent1 10" xfId="330"/>
    <cellStyle name="20% - Accent1 10 2" xfId="2054"/>
    <cellStyle name="20% - Accent1 11" xfId="569"/>
    <cellStyle name="20% - Accent1 11 2" xfId="2055"/>
    <cellStyle name="20% - Accent1 12" xfId="594"/>
    <cellStyle name="20% - Accent1 12 2" xfId="2056"/>
    <cellStyle name="20% - Accent1 13" xfId="616"/>
    <cellStyle name="20% - Accent1 13 2" xfId="2057"/>
    <cellStyle name="20% - Accent1 14" xfId="639"/>
    <cellStyle name="20% - Accent1 14 2" xfId="2058"/>
    <cellStyle name="20% - Accent1 15" xfId="658"/>
    <cellStyle name="20% - Accent1 15 2" xfId="2059"/>
    <cellStyle name="20% - Accent1 16" xfId="667"/>
    <cellStyle name="20% - Accent1 16 2" xfId="2060"/>
    <cellStyle name="20% - Accent1 17" xfId="724"/>
    <cellStyle name="20% - Accent1 17 2" xfId="2061"/>
    <cellStyle name="20% - Accent1 18" xfId="749"/>
    <cellStyle name="20% - Accent1 18 2" xfId="2062"/>
    <cellStyle name="20% - Accent1 19" xfId="774"/>
    <cellStyle name="20% - Accent1 19 2" xfId="2063"/>
    <cellStyle name="20% - Accent1 2" xfId="313"/>
    <cellStyle name="20% - Accent1 2 2" xfId="2064"/>
    <cellStyle name="20% - Accent1 20" xfId="800"/>
    <cellStyle name="20% - Accent1 20 2" xfId="2065"/>
    <cellStyle name="20% - Accent1 21" xfId="825"/>
    <cellStyle name="20% - Accent1 21 2" xfId="2066"/>
    <cellStyle name="20% - Accent1 22" xfId="850"/>
    <cellStyle name="20% - Accent1 22 2" xfId="2067"/>
    <cellStyle name="20% - Accent1 23" xfId="875"/>
    <cellStyle name="20% - Accent1 23 2" xfId="2068"/>
    <cellStyle name="20% - Accent1 24" xfId="897"/>
    <cellStyle name="20% - Accent1 24 2" xfId="2069"/>
    <cellStyle name="20% - Accent1 25" xfId="923"/>
    <cellStyle name="20% - Accent1 25 2" xfId="2070"/>
    <cellStyle name="20% - Accent1 26" xfId="949"/>
    <cellStyle name="20% - Accent1 26 2" xfId="2071"/>
    <cellStyle name="20% - Accent1 27" xfId="967"/>
    <cellStyle name="20% - Accent1 27 2" xfId="2072"/>
    <cellStyle name="20% - Accent1 28" xfId="998"/>
    <cellStyle name="20% - Accent1 28 2" xfId="2073"/>
    <cellStyle name="20% - Accent1 29" xfId="1023"/>
    <cellStyle name="20% - Accent1 29 2" xfId="2074"/>
    <cellStyle name="20% - Accent1 3" xfId="373"/>
    <cellStyle name="20% - Accent1 3 2" xfId="2075"/>
    <cellStyle name="20% - Accent1 30" xfId="1048"/>
    <cellStyle name="20% - Accent1 30 2" xfId="2076"/>
    <cellStyle name="20% - Accent1 31" xfId="1071"/>
    <cellStyle name="20% - Accent1 31 2" xfId="2077"/>
    <cellStyle name="20% - Accent1 32" xfId="1093"/>
    <cellStyle name="20% - Accent1 32 2" xfId="2078"/>
    <cellStyle name="20% - Accent1 33" xfId="1112"/>
    <cellStyle name="20% - Accent1 33 2" xfId="2079"/>
    <cellStyle name="20% - Accent1 34" xfId="1121"/>
    <cellStyle name="20% - Accent1 34 2" xfId="2080"/>
    <cellStyle name="20% - Accent1 35" xfId="1181"/>
    <cellStyle name="20% - Accent1 35 2" xfId="2081"/>
    <cellStyle name="20% - Accent1 36" xfId="1207"/>
    <cellStyle name="20% - Accent1 36 2" xfId="2082"/>
    <cellStyle name="20% - Accent1 37" xfId="1233"/>
    <cellStyle name="20% - Accent1 37 2" xfId="2083"/>
    <cellStyle name="20% - Accent1 38" xfId="1256"/>
    <cellStyle name="20% - Accent1 38 2" xfId="2084"/>
    <cellStyle name="20% - Accent1 39" xfId="1279"/>
    <cellStyle name="20% - Accent1 39 2" xfId="2085"/>
    <cellStyle name="20% - Accent1 4" xfId="398"/>
    <cellStyle name="20% - Accent1 4 2" xfId="2086"/>
    <cellStyle name="20% - Accent1 40" xfId="1302"/>
    <cellStyle name="20% - Accent1 40 2" xfId="2087"/>
    <cellStyle name="20% - Accent1 41" xfId="1325"/>
    <cellStyle name="20% - Accent1 41 2" xfId="2088"/>
    <cellStyle name="20% - Accent1 42" xfId="1345"/>
    <cellStyle name="20% - Accent1 42 2" xfId="2089"/>
    <cellStyle name="20% - Accent1 5" xfId="416"/>
    <cellStyle name="20% - Accent1 5 2" xfId="2090"/>
    <cellStyle name="20% - Accent1 6" xfId="447"/>
    <cellStyle name="20% - Accent1 6 2" xfId="2091"/>
    <cellStyle name="20% - Accent1 7" xfId="473"/>
    <cellStyle name="20% - Accent1 7 2" xfId="2092"/>
    <cellStyle name="20% - Accent1 8" xfId="496"/>
    <cellStyle name="20% - Accent1 8 2" xfId="2093"/>
    <cellStyle name="20% - Accent1 9" xfId="521"/>
    <cellStyle name="20% - Accent1 9 2" xfId="2094"/>
    <cellStyle name="20% - Accent2" xfId="22" builtinId="34" customBuiltin="1"/>
    <cellStyle name="20% - Accent2 10" xfId="331"/>
    <cellStyle name="20% - Accent2 10 2" xfId="2095"/>
    <cellStyle name="20% - Accent2 11" xfId="568"/>
    <cellStyle name="20% - Accent2 11 2" xfId="2096"/>
    <cellStyle name="20% - Accent2 12" xfId="593"/>
    <cellStyle name="20% - Accent2 12 2" xfId="2097"/>
    <cellStyle name="20% - Accent2 13" xfId="615"/>
    <cellStyle name="20% - Accent2 13 2" xfId="2098"/>
    <cellStyle name="20% - Accent2 14" xfId="638"/>
    <cellStyle name="20% - Accent2 14 2" xfId="2099"/>
    <cellStyle name="20% - Accent2 15" xfId="657"/>
    <cellStyle name="20% - Accent2 15 2" xfId="2100"/>
    <cellStyle name="20% - Accent2 16" xfId="668"/>
    <cellStyle name="20% - Accent2 16 2" xfId="2101"/>
    <cellStyle name="20% - Accent2 17" xfId="723"/>
    <cellStyle name="20% - Accent2 17 2" xfId="2102"/>
    <cellStyle name="20% - Accent2 18" xfId="748"/>
    <cellStyle name="20% - Accent2 18 2" xfId="2103"/>
    <cellStyle name="20% - Accent2 19" xfId="773"/>
    <cellStyle name="20% - Accent2 19 2" xfId="2104"/>
    <cellStyle name="20% - Accent2 2" xfId="314"/>
    <cellStyle name="20% - Accent2 2 2" xfId="2105"/>
    <cellStyle name="20% - Accent2 20" xfId="799"/>
    <cellStyle name="20% - Accent2 20 2" xfId="2106"/>
    <cellStyle name="20% - Accent2 21" xfId="824"/>
    <cellStyle name="20% - Accent2 21 2" xfId="2107"/>
    <cellStyle name="20% - Accent2 22" xfId="849"/>
    <cellStyle name="20% - Accent2 22 2" xfId="2108"/>
    <cellStyle name="20% - Accent2 23" xfId="874"/>
    <cellStyle name="20% - Accent2 23 2" xfId="2109"/>
    <cellStyle name="20% - Accent2 24" xfId="896"/>
    <cellStyle name="20% - Accent2 24 2" xfId="2110"/>
    <cellStyle name="20% - Accent2 25" xfId="922"/>
    <cellStyle name="20% - Accent2 25 2" xfId="2111"/>
    <cellStyle name="20% - Accent2 26" xfId="948"/>
    <cellStyle name="20% - Accent2 26 2" xfId="2112"/>
    <cellStyle name="20% - Accent2 27" xfId="966"/>
    <cellStyle name="20% - Accent2 27 2" xfId="2113"/>
    <cellStyle name="20% - Accent2 28" xfId="997"/>
    <cellStyle name="20% - Accent2 28 2" xfId="2114"/>
    <cellStyle name="20% - Accent2 29" xfId="1022"/>
    <cellStyle name="20% - Accent2 29 2" xfId="2115"/>
    <cellStyle name="20% - Accent2 3" xfId="372"/>
    <cellStyle name="20% - Accent2 3 2" xfId="2116"/>
    <cellStyle name="20% - Accent2 30" xfId="1047"/>
    <cellStyle name="20% - Accent2 30 2" xfId="2117"/>
    <cellStyle name="20% - Accent2 31" xfId="1070"/>
    <cellStyle name="20% - Accent2 31 2" xfId="2118"/>
    <cellStyle name="20% - Accent2 32" xfId="1092"/>
    <cellStyle name="20% - Accent2 32 2" xfId="2119"/>
    <cellStyle name="20% - Accent2 33" xfId="1111"/>
    <cellStyle name="20% - Accent2 33 2" xfId="2120"/>
    <cellStyle name="20% - Accent2 34" xfId="1122"/>
    <cellStyle name="20% - Accent2 34 2" xfId="2121"/>
    <cellStyle name="20% - Accent2 35" xfId="1180"/>
    <cellStyle name="20% - Accent2 35 2" xfId="2122"/>
    <cellStyle name="20% - Accent2 36" xfId="1206"/>
    <cellStyle name="20% - Accent2 36 2" xfId="2123"/>
    <cellStyle name="20% - Accent2 37" xfId="1232"/>
    <cellStyle name="20% - Accent2 37 2" xfId="2124"/>
    <cellStyle name="20% - Accent2 38" xfId="1255"/>
    <cellStyle name="20% - Accent2 38 2" xfId="2125"/>
    <cellStyle name="20% - Accent2 39" xfId="1278"/>
    <cellStyle name="20% - Accent2 39 2" xfId="2126"/>
    <cellStyle name="20% - Accent2 4" xfId="397"/>
    <cellStyle name="20% - Accent2 4 2" xfId="2127"/>
    <cellStyle name="20% - Accent2 40" xfId="1301"/>
    <cellStyle name="20% - Accent2 40 2" xfId="2128"/>
    <cellStyle name="20% - Accent2 41" xfId="1324"/>
    <cellStyle name="20% - Accent2 41 2" xfId="2129"/>
    <cellStyle name="20% - Accent2 42" xfId="1344"/>
    <cellStyle name="20% - Accent2 42 2" xfId="2130"/>
    <cellStyle name="20% - Accent2 5" xfId="415"/>
    <cellStyle name="20% - Accent2 5 2" xfId="2131"/>
    <cellStyle name="20% - Accent2 6" xfId="446"/>
    <cellStyle name="20% - Accent2 6 2" xfId="2132"/>
    <cellStyle name="20% - Accent2 7" xfId="472"/>
    <cellStyle name="20% - Accent2 7 2" xfId="2133"/>
    <cellStyle name="20% - Accent2 8" xfId="495"/>
    <cellStyle name="20% - Accent2 8 2" xfId="2134"/>
    <cellStyle name="20% - Accent2 9" xfId="520"/>
    <cellStyle name="20% - Accent2 9 2" xfId="2135"/>
    <cellStyle name="20% - Accent3" xfId="26" builtinId="38" customBuiltin="1"/>
    <cellStyle name="20% - Accent3 10" xfId="332"/>
    <cellStyle name="20% - Accent3 10 2" xfId="2136"/>
    <cellStyle name="20% - Accent3 11" xfId="566"/>
    <cellStyle name="20% - Accent3 11 2" xfId="2137"/>
    <cellStyle name="20% - Accent3 12" xfId="591"/>
    <cellStyle name="20% - Accent3 12 2" xfId="2138"/>
    <cellStyle name="20% - Accent3 13" xfId="613"/>
    <cellStyle name="20% - Accent3 13 2" xfId="2139"/>
    <cellStyle name="20% - Accent3 14" xfId="636"/>
    <cellStyle name="20% - Accent3 14 2" xfId="2140"/>
    <cellStyle name="20% - Accent3 15" xfId="655"/>
    <cellStyle name="20% - Accent3 15 2" xfId="2141"/>
    <cellStyle name="20% - Accent3 16" xfId="669"/>
    <cellStyle name="20% - Accent3 16 2" xfId="2142"/>
    <cellStyle name="20% - Accent3 17" xfId="721"/>
    <cellStyle name="20% - Accent3 17 2" xfId="2143"/>
    <cellStyle name="20% - Accent3 18" xfId="746"/>
    <cellStyle name="20% - Accent3 18 2" xfId="2144"/>
    <cellStyle name="20% - Accent3 19" xfId="771"/>
    <cellStyle name="20% - Accent3 19 2" xfId="2145"/>
    <cellStyle name="20% - Accent3 2" xfId="315"/>
    <cellStyle name="20% - Accent3 2 2" xfId="2146"/>
    <cellStyle name="20% - Accent3 20" xfId="797"/>
    <cellStyle name="20% - Accent3 20 2" xfId="2147"/>
    <cellStyle name="20% - Accent3 21" xfId="822"/>
    <cellStyle name="20% - Accent3 21 2" xfId="2148"/>
    <cellStyle name="20% - Accent3 22" xfId="847"/>
    <cellStyle name="20% - Accent3 22 2" xfId="2149"/>
    <cellStyle name="20% - Accent3 23" xfId="872"/>
    <cellStyle name="20% - Accent3 23 2" xfId="2150"/>
    <cellStyle name="20% - Accent3 24" xfId="894"/>
    <cellStyle name="20% - Accent3 24 2" xfId="2151"/>
    <cellStyle name="20% - Accent3 25" xfId="920"/>
    <cellStyle name="20% - Accent3 25 2" xfId="2152"/>
    <cellStyle name="20% - Accent3 26" xfId="946"/>
    <cellStyle name="20% - Accent3 26 2" xfId="2153"/>
    <cellStyle name="20% - Accent3 27" xfId="965"/>
    <cellStyle name="20% - Accent3 27 2" xfId="2154"/>
    <cellStyle name="20% - Accent3 28" xfId="995"/>
    <cellStyle name="20% - Accent3 28 2" xfId="2155"/>
    <cellStyle name="20% - Accent3 29" xfId="1020"/>
    <cellStyle name="20% - Accent3 29 2" xfId="2156"/>
    <cellStyle name="20% - Accent3 3" xfId="370"/>
    <cellStyle name="20% - Accent3 3 2" xfId="2157"/>
    <cellStyle name="20% - Accent3 30" xfId="1045"/>
    <cellStyle name="20% - Accent3 30 2" xfId="2158"/>
    <cellStyle name="20% - Accent3 31" xfId="1068"/>
    <cellStyle name="20% - Accent3 31 2" xfId="2159"/>
    <cellStyle name="20% - Accent3 32" xfId="1090"/>
    <cellStyle name="20% - Accent3 32 2" xfId="2160"/>
    <cellStyle name="20% - Accent3 33" xfId="1109"/>
    <cellStyle name="20% - Accent3 33 2" xfId="2161"/>
    <cellStyle name="20% - Accent3 34" xfId="1123"/>
    <cellStyle name="20% - Accent3 34 2" xfId="2162"/>
    <cellStyle name="20% - Accent3 35" xfId="1178"/>
    <cellStyle name="20% - Accent3 35 2" xfId="2163"/>
    <cellStyle name="20% - Accent3 36" xfId="1204"/>
    <cellStyle name="20% - Accent3 36 2" xfId="2164"/>
    <cellStyle name="20% - Accent3 37" xfId="1230"/>
    <cellStyle name="20% - Accent3 37 2" xfId="2165"/>
    <cellStyle name="20% - Accent3 38" xfId="1253"/>
    <cellStyle name="20% - Accent3 38 2" xfId="2166"/>
    <cellStyle name="20% - Accent3 39" xfId="1276"/>
    <cellStyle name="20% - Accent3 39 2" xfId="2167"/>
    <cellStyle name="20% - Accent3 4" xfId="395"/>
    <cellStyle name="20% - Accent3 4 2" xfId="2168"/>
    <cellStyle name="20% - Accent3 40" xfId="1299"/>
    <cellStyle name="20% - Accent3 40 2" xfId="2169"/>
    <cellStyle name="20% - Accent3 41" xfId="1322"/>
    <cellStyle name="20% - Accent3 41 2" xfId="2170"/>
    <cellStyle name="20% - Accent3 42" xfId="1342"/>
    <cellStyle name="20% - Accent3 42 2" xfId="2171"/>
    <cellStyle name="20% - Accent3 5" xfId="414"/>
    <cellStyle name="20% - Accent3 5 2" xfId="2172"/>
    <cellStyle name="20% - Accent3 6" xfId="444"/>
    <cellStyle name="20% - Accent3 6 2" xfId="2173"/>
    <cellStyle name="20% - Accent3 7" xfId="470"/>
    <cellStyle name="20% - Accent3 7 2" xfId="2174"/>
    <cellStyle name="20% - Accent3 8" xfId="493"/>
    <cellStyle name="20% - Accent3 8 2" xfId="2175"/>
    <cellStyle name="20% - Accent3 9" xfId="518"/>
    <cellStyle name="20% - Accent3 9 2" xfId="2176"/>
    <cellStyle name="20% - Accent4" xfId="30" builtinId="42" customBuiltin="1"/>
    <cellStyle name="20% - Accent4 10" xfId="400"/>
    <cellStyle name="20% - Accent4 10 2" xfId="2177"/>
    <cellStyle name="20% - Accent4 11" xfId="564"/>
    <cellStyle name="20% - Accent4 11 2" xfId="2178"/>
    <cellStyle name="20% - Accent4 12" xfId="589"/>
    <cellStyle name="20% - Accent4 12 2" xfId="2179"/>
    <cellStyle name="20% - Accent4 13" xfId="611"/>
    <cellStyle name="20% - Accent4 13 2" xfId="2180"/>
    <cellStyle name="20% - Accent4 14" xfId="634"/>
    <cellStyle name="20% - Accent4 14 2" xfId="2181"/>
    <cellStyle name="20% - Accent4 15" xfId="653"/>
    <cellStyle name="20% - Accent4 15 2" xfId="2182"/>
    <cellStyle name="20% - Accent4 16" xfId="670"/>
    <cellStyle name="20% - Accent4 16 2" xfId="2183"/>
    <cellStyle name="20% - Accent4 17" xfId="719"/>
    <cellStyle name="20% - Accent4 17 2" xfId="2184"/>
    <cellStyle name="20% - Accent4 18" xfId="744"/>
    <cellStyle name="20% - Accent4 18 2" xfId="2185"/>
    <cellStyle name="20% - Accent4 19" xfId="769"/>
    <cellStyle name="20% - Accent4 19 2" xfId="2186"/>
    <cellStyle name="20% - Accent4 2" xfId="316"/>
    <cellStyle name="20% - Accent4 2 2" xfId="2187"/>
    <cellStyle name="20% - Accent4 20" xfId="795"/>
    <cellStyle name="20% - Accent4 20 2" xfId="2188"/>
    <cellStyle name="20% - Accent4 21" xfId="820"/>
    <cellStyle name="20% - Accent4 21 2" xfId="2189"/>
    <cellStyle name="20% - Accent4 22" xfId="845"/>
    <cellStyle name="20% - Accent4 22 2" xfId="2190"/>
    <cellStyle name="20% - Accent4 23" xfId="870"/>
    <cellStyle name="20% - Accent4 23 2" xfId="2191"/>
    <cellStyle name="20% - Accent4 24" xfId="892"/>
    <cellStyle name="20% - Accent4 24 2" xfId="2192"/>
    <cellStyle name="20% - Accent4 25" xfId="918"/>
    <cellStyle name="20% - Accent4 25 2" xfId="2193"/>
    <cellStyle name="20% - Accent4 26" xfId="944"/>
    <cellStyle name="20% - Accent4 26 2" xfId="2194"/>
    <cellStyle name="20% - Accent4 27" xfId="961"/>
    <cellStyle name="20% - Accent4 27 2" xfId="2195"/>
    <cellStyle name="20% - Accent4 28" xfId="993"/>
    <cellStyle name="20% - Accent4 28 2" xfId="2196"/>
    <cellStyle name="20% - Accent4 29" xfId="1018"/>
    <cellStyle name="20% - Accent4 29 2" xfId="2197"/>
    <cellStyle name="20% - Accent4 3" xfId="368"/>
    <cellStyle name="20% - Accent4 3 2" xfId="2198"/>
    <cellStyle name="20% - Accent4 30" xfId="1043"/>
    <cellStyle name="20% - Accent4 30 2" xfId="2199"/>
    <cellStyle name="20% - Accent4 31" xfId="1066"/>
    <cellStyle name="20% - Accent4 31 2" xfId="2200"/>
    <cellStyle name="20% - Accent4 32" xfId="1088"/>
    <cellStyle name="20% - Accent4 32 2" xfId="2201"/>
    <cellStyle name="20% - Accent4 33" xfId="1107"/>
    <cellStyle name="20% - Accent4 33 2" xfId="2202"/>
    <cellStyle name="20% - Accent4 34" xfId="1124"/>
    <cellStyle name="20% - Accent4 34 2" xfId="2203"/>
    <cellStyle name="20% - Accent4 35" xfId="1176"/>
    <cellStyle name="20% - Accent4 35 2" xfId="2204"/>
    <cellStyle name="20% - Accent4 36" xfId="1202"/>
    <cellStyle name="20% - Accent4 36 2" xfId="2205"/>
    <cellStyle name="20% - Accent4 37" xfId="1228"/>
    <cellStyle name="20% - Accent4 37 2" xfId="2206"/>
    <cellStyle name="20% - Accent4 38" xfId="1251"/>
    <cellStyle name="20% - Accent4 38 2" xfId="2207"/>
    <cellStyle name="20% - Accent4 39" xfId="1274"/>
    <cellStyle name="20% - Accent4 39 2" xfId="2208"/>
    <cellStyle name="20% - Accent4 4" xfId="393"/>
    <cellStyle name="20% - Accent4 4 2" xfId="2209"/>
    <cellStyle name="20% - Accent4 40" xfId="1297"/>
    <cellStyle name="20% - Accent4 40 2" xfId="2210"/>
    <cellStyle name="20% - Accent4 41" xfId="1320"/>
    <cellStyle name="20% - Accent4 41 2" xfId="2211"/>
    <cellStyle name="20% - Accent4 42" xfId="1340"/>
    <cellStyle name="20% - Accent4 42 2" xfId="2212"/>
    <cellStyle name="20% - Accent4 5" xfId="410"/>
    <cellStyle name="20% - Accent4 5 2" xfId="2213"/>
    <cellStyle name="20% - Accent4 6" xfId="442"/>
    <cellStyle name="20% - Accent4 6 2" xfId="2214"/>
    <cellStyle name="20% - Accent4 7" xfId="468"/>
    <cellStyle name="20% - Accent4 7 2" xfId="2215"/>
    <cellStyle name="20% - Accent4 8" xfId="491"/>
    <cellStyle name="20% - Accent4 8 2" xfId="2216"/>
    <cellStyle name="20% - Accent4 9" xfId="516"/>
    <cellStyle name="20% - Accent4 9 2" xfId="2217"/>
    <cellStyle name="20% - Accent5" xfId="34" builtinId="46" customBuiltin="1"/>
    <cellStyle name="20% - Accent5 10" xfId="450"/>
    <cellStyle name="20% - Accent5 10 2" xfId="2218"/>
    <cellStyle name="20% - Accent5 11" xfId="562"/>
    <cellStyle name="20% - Accent5 11 2" xfId="2219"/>
    <cellStyle name="20% - Accent5 12" xfId="587"/>
    <cellStyle name="20% - Accent5 12 2" xfId="2220"/>
    <cellStyle name="20% - Accent5 13" xfId="609"/>
    <cellStyle name="20% - Accent5 13 2" xfId="2221"/>
    <cellStyle name="20% - Accent5 14" xfId="632"/>
    <cellStyle name="20% - Accent5 14 2" xfId="2222"/>
    <cellStyle name="20% - Accent5 15" xfId="651"/>
    <cellStyle name="20% - Accent5 15 2" xfId="2223"/>
    <cellStyle name="20% - Accent5 16" xfId="671"/>
    <cellStyle name="20% - Accent5 16 2" xfId="2224"/>
    <cellStyle name="20% - Accent5 17" xfId="717"/>
    <cellStyle name="20% - Accent5 17 2" xfId="2225"/>
    <cellStyle name="20% - Accent5 18" xfId="742"/>
    <cellStyle name="20% - Accent5 18 2" xfId="2226"/>
    <cellStyle name="20% - Accent5 19" xfId="767"/>
    <cellStyle name="20% - Accent5 19 2" xfId="2227"/>
    <cellStyle name="20% - Accent5 2" xfId="317"/>
    <cellStyle name="20% - Accent5 2 2" xfId="2228"/>
    <cellStyle name="20% - Accent5 20" xfId="793"/>
    <cellStyle name="20% - Accent5 20 2" xfId="2229"/>
    <cellStyle name="20% - Accent5 21" xfId="818"/>
    <cellStyle name="20% - Accent5 21 2" xfId="2230"/>
    <cellStyle name="20% - Accent5 22" xfId="843"/>
    <cellStyle name="20% - Accent5 22 2" xfId="2231"/>
    <cellStyle name="20% - Accent5 23" xfId="868"/>
    <cellStyle name="20% - Accent5 23 2" xfId="2232"/>
    <cellStyle name="20% - Accent5 24" xfId="890"/>
    <cellStyle name="20% - Accent5 24 2" xfId="2233"/>
    <cellStyle name="20% - Accent5 25" xfId="916"/>
    <cellStyle name="20% - Accent5 25 2" xfId="2234"/>
    <cellStyle name="20% - Accent5 26" xfId="942"/>
    <cellStyle name="20% - Accent5 26 2" xfId="2235"/>
    <cellStyle name="20% - Accent5 27" xfId="950"/>
    <cellStyle name="20% - Accent5 27 2" xfId="2236"/>
    <cellStyle name="20% - Accent5 28" xfId="991"/>
    <cellStyle name="20% - Accent5 28 2" xfId="2237"/>
    <cellStyle name="20% - Accent5 29" xfId="1016"/>
    <cellStyle name="20% - Accent5 29 2" xfId="2238"/>
    <cellStyle name="20% - Accent5 3" xfId="366"/>
    <cellStyle name="20% - Accent5 3 2" xfId="2239"/>
    <cellStyle name="20% - Accent5 30" xfId="1041"/>
    <cellStyle name="20% - Accent5 30 2" xfId="2240"/>
    <cellStyle name="20% - Accent5 31" xfId="1064"/>
    <cellStyle name="20% - Accent5 31 2" xfId="2241"/>
    <cellStyle name="20% - Accent5 32" xfId="1086"/>
    <cellStyle name="20% - Accent5 32 2" xfId="2242"/>
    <cellStyle name="20% - Accent5 33" xfId="1105"/>
    <cellStyle name="20% - Accent5 33 2" xfId="2243"/>
    <cellStyle name="20% - Accent5 34" xfId="1125"/>
    <cellStyle name="20% - Accent5 34 2" xfId="2244"/>
    <cellStyle name="20% - Accent5 35" xfId="1174"/>
    <cellStyle name="20% - Accent5 35 2" xfId="2245"/>
    <cellStyle name="20% - Accent5 36" xfId="1200"/>
    <cellStyle name="20% - Accent5 36 2" xfId="2246"/>
    <cellStyle name="20% - Accent5 37" xfId="1226"/>
    <cellStyle name="20% - Accent5 37 2" xfId="2247"/>
    <cellStyle name="20% - Accent5 38" xfId="1249"/>
    <cellStyle name="20% - Accent5 38 2" xfId="2248"/>
    <cellStyle name="20% - Accent5 39" xfId="1272"/>
    <cellStyle name="20% - Accent5 39 2" xfId="2249"/>
    <cellStyle name="20% - Accent5 4" xfId="391"/>
    <cellStyle name="20% - Accent5 4 2" xfId="2250"/>
    <cellStyle name="20% - Accent5 40" xfId="1295"/>
    <cellStyle name="20% - Accent5 40 2" xfId="2251"/>
    <cellStyle name="20% - Accent5 41" xfId="1318"/>
    <cellStyle name="20% - Accent5 41 2" xfId="2252"/>
    <cellStyle name="20% - Accent5 42" xfId="1338"/>
    <cellStyle name="20% - Accent5 42 2" xfId="2253"/>
    <cellStyle name="20% - Accent5 5" xfId="409"/>
    <cellStyle name="20% - Accent5 5 2" xfId="2254"/>
    <cellStyle name="20% - Accent5 6" xfId="440"/>
    <cellStyle name="20% - Accent5 6 2" xfId="2255"/>
    <cellStyle name="20% - Accent5 7" xfId="466"/>
    <cellStyle name="20% - Accent5 7 2" xfId="2256"/>
    <cellStyle name="20% - Accent5 8" xfId="489"/>
    <cellStyle name="20% - Accent5 8 2" xfId="2257"/>
    <cellStyle name="20% - Accent5 9" xfId="514"/>
    <cellStyle name="20% - Accent5 9 2" xfId="2258"/>
    <cellStyle name="20% - Accent6" xfId="38" builtinId="50" customBuiltin="1"/>
    <cellStyle name="20% - Accent6 10" xfId="451"/>
    <cellStyle name="20% - Accent6 10 2" xfId="2259"/>
    <cellStyle name="20% - Accent6 11" xfId="561"/>
    <cellStyle name="20% - Accent6 11 2" xfId="2260"/>
    <cellStyle name="20% - Accent6 12" xfId="586"/>
    <cellStyle name="20% - Accent6 12 2" xfId="2261"/>
    <cellStyle name="20% - Accent6 13" xfId="608"/>
    <cellStyle name="20% - Accent6 13 2" xfId="2262"/>
    <cellStyle name="20% - Accent6 14" xfId="631"/>
    <cellStyle name="20% - Accent6 14 2" xfId="2263"/>
    <cellStyle name="20% - Accent6 15" xfId="650"/>
    <cellStyle name="20% - Accent6 15 2" xfId="2264"/>
    <cellStyle name="20% - Accent6 16" xfId="672"/>
    <cellStyle name="20% - Accent6 16 2" xfId="2265"/>
    <cellStyle name="20% - Accent6 17" xfId="716"/>
    <cellStyle name="20% - Accent6 17 2" xfId="2266"/>
    <cellStyle name="20% - Accent6 18" xfId="741"/>
    <cellStyle name="20% - Accent6 18 2" xfId="2267"/>
    <cellStyle name="20% - Accent6 19" xfId="766"/>
    <cellStyle name="20% - Accent6 19 2" xfId="2268"/>
    <cellStyle name="20% - Accent6 2" xfId="318"/>
    <cellStyle name="20% - Accent6 2 2" xfId="2269"/>
    <cellStyle name="20% - Accent6 20" xfId="792"/>
    <cellStyle name="20% - Accent6 20 2" xfId="2270"/>
    <cellStyle name="20% - Accent6 21" xfId="817"/>
    <cellStyle name="20% - Accent6 21 2" xfId="2271"/>
    <cellStyle name="20% - Accent6 22" xfId="842"/>
    <cellStyle name="20% - Accent6 22 2" xfId="2272"/>
    <cellStyle name="20% - Accent6 23" xfId="867"/>
    <cellStyle name="20% - Accent6 23 2" xfId="2273"/>
    <cellStyle name="20% - Accent6 24" xfId="889"/>
    <cellStyle name="20% - Accent6 24 2" xfId="2274"/>
    <cellStyle name="20% - Accent6 25" xfId="915"/>
    <cellStyle name="20% - Accent6 25 2" xfId="2275"/>
    <cellStyle name="20% - Accent6 26" xfId="941"/>
    <cellStyle name="20% - Accent6 26 2" xfId="2276"/>
    <cellStyle name="20% - Accent6 27" xfId="959"/>
    <cellStyle name="20% - Accent6 27 2" xfId="2277"/>
    <cellStyle name="20% - Accent6 28" xfId="990"/>
    <cellStyle name="20% - Accent6 28 2" xfId="2278"/>
    <cellStyle name="20% - Accent6 29" xfId="1015"/>
    <cellStyle name="20% - Accent6 29 2" xfId="2279"/>
    <cellStyle name="20% - Accent6 3" xfId="365"/>
    <cellStyle name="20% - Accent6 3 2" xfId="2280"/>
    <cellStyle name="20% - Accent6 30" xfId="1040"/>
    <cellStyle name="20% - Accent6 30 2" xfId="2281"/>
    <cellStyle name="20% - Accent6 31" xfId="1063"/>
    <cellStyle name="20% - Accent6 31 2" xfId="2282"/>
    <cellStyle name="20% - Accent6 32" xfId="1085"/>
    <cellStyle name="20% - Accent6 32 2" xfId="2283"/>
    <cellStyle name="20% - Accent6 33" xfId="1104"/>
    <cellStyle name="20% - Accent6 33 2" xfId="2284"/>
    <cellStyle name="20% - Accent6 34" xfId="1126"/>
    <cellStyle name="20% - Accent6 34 2" xfId="2285"/>
    <cellStyle name="20% - Accent6 35" xfId="1173"/>
    <cellStyle name="20% - Accent6 35 2" xfId="2286"/>
    <cellStyle name="20% - Accent6 36" xfId="1199"/>
    <cellStyle name="20% - Accent6 36 2" xfId="2287"/>
    <cellStyle name="20% - Accent6 37" xfId="1225"/>
    <cellStyle name="20% - Accent6 37 2" xfId="2288"/>
    <cellStyle name="20% - Accent6 38" xfId="1248"/>
    <cellStyle name="20% - Accent6 38 2" xfId="2289"/>
    <cellStyle name="20% - Accent6 39" xfId="1271"/>
    <cellStyle name="20% - Accent6 39 2" xfId="2290"/>
    <cellStyle name="20% - Accent6 4" xfId="390"/>
    <cellStyle name="20% - Accent6 4 2" xfId="2291"/>
    <cellStyle name="20% - Accent6 40" xfId="1294"/>
    <cellStyle name="20% - Accent6 40 2" xfId="2292"/>
    <cellStyle name="20% - Accent6 41" xfId="1317"/>
    <cellStyle name="20% - Accent6 41 2" xfId="2293"/>
    <cellStyle name="20% - Accent6 42" xfId="1337"/>
    <cellStyle name="20% - Accent6 42 2" xfId="2294"/>
    <cellStyle name="20% - Accent6 5" xfId="408"/>
    <cellStyle name="20% - Accent6 5 2" xfId="2295"/>
    <cellStyle name="20% - Accent6 6" xfId="439"/>
    <cellStyle name="20% - Accent6 6 2" xfId="2296"/>
    <cellStyle name="20% - Accent6 7" xfId="465"/>
    <cellStyle name="20% - Accent6 7 2" xfId="2297"/>
    <cellStyle name="20% - Accent6 8" xfId="488"/>
    <cellStyle name="20% - Accent6 8 2" xfId="2298"/>
    <cellStyle name="20% - Accent6 9" xfId="513"/>
    <cellStyle name="20% - Accent6 9 2" xfId="2299"/>
    <cellStyle name="40% - Accent1" xfId="19" builtinId="31" customBuiltin="1"/>
    <cellStyle name="40% - Accent1 10" xfId="453"/>
    <cellStyle name="40% - Accent1 10 2" xfId="2300"/>
    <cellStyle name="40% - Accent1 11" xfId="560"/>
    <cellStyle name="40% - Accent1 11 2" xfId="2301"/>
    <cellStyle name="40% - Accent1 12" xfId="585"/>
    <cellStyle name="40% - Accent1 12 2" xfId="2302"/>
    <cellStyle name="40% - Accent1 13" xfId="607"/>
    <cellStyle name="40% - Accent1 13 2" xfId="2303"/>
    <cellStyle name="40% - Accent1 14" xfId="630"/>
    <cellStyle name="40% - Accent1 14 2" xfId="2304"/>
    <cellStyle name="40% - Accent1 15" xfId="649"/>
    <cellStyle name="40% - Accent1 15 2" xfId="2305"/>
    <cellStyle name="40% - Accent1 16" xfId="673"/>
    <cellStyle name="40% - Accent1 16 2" xfId="2306"/>
    <cellStyle name="40% - Accent1 17" xfId="715"/>
    <cellStyle name="40% - Accent1 17 2" xfId="2307"/>
    <cellStyle name="40% - Accent1 18" xfId="740"/>
    <cellStyle name="40% - Accent1 18 2" xfId="2308"/>
    <cellStyle name="40% - Accent1 19" xfId="765"/>
    <cellStyle name="40% - Accent1 19 2" xfId="2309"/>
    <cellStyle name="40% - Accent1 2" xfId="319"/>
    <cellStyle name="40% - Accent1 2 2" xfId="2310"/>
    <cellStyle name="40% - Accent1 20" xfId="791"/>
    <cellStyle name="40% - Accent1 20 2" xfId="2311"/>
    <cellStyle name="40% - Accent1 21" xfId="816"/>
    <cellStyle name="40% - Accent1 21 2" xfId="2312"/>
    <cellStyle name="40% - Accent1 22" xfId="841"/>
    <cellStyle name="40% - Accent1 22 2" xfId="2313"/>
    <cellStyle name="40% - Accent1 23" xfId="866"/>
    <cellStyle name="40% - Accent1 23 2" xfId="2314"/>
    <cellStyle name="40% - Accent1 24" xfId="888"/>
    <cellStyle name="40% - Accent1 24 2" xfId="2315"/>
    <cellStyle name="40% - Accent1 25" xfId="914"/>
    <cellStyle name="40% - Accent1 25 2" xfId="2316"/>
    <cellStyle name="40% - Accent1 26" xfId="940"/>
    <cellStyle name="40% - Accent1 26 2" xfId="2317"/>
    <cellStyle name="40% - Accent1 27" xfId="958"/>
    <cellStyle name="40% - Accent1 27 2" xfId="2318"/>
    <cellStyle name="40% - Accent1 28" xfId="989"/>
    <cellStyle name="40% - Accent1 28 2" xfId="2319"/>
    <cellStyle name="40% - Accent1 29" xfId="1014"/>
    <cellStyle name="40% - Accent1 29 2" xfId="2320"/>
    <cellStyle name="40% - Accent1 3" xfId="364"/>
    <cellStyle name="40% - Accent1 3 2" xfId="2321"/>
    <cellStyle name="40% - Accent1 30" xfId="1039"/>
    <cellStyle name="40% - Accent1 30 2" xfId="2322"/>
    <cellStyle name="40% - Accent1 31" xfId="1062"/>
    <cellStyle name="40% - Accent1 31 2" xfId="2323"/>
    <cellStyle name="40% - Accent1 32" xfId="1084"/>
    <cellStyle name="40% - Accent1 32 2" xfId="2324"/>
    <cellStyle name="40% - Accent1 33" xfId="1103"/>
    <cellStyle name="40% - Accent1 33 2" xfId="2325"/>
    <cellStyle name="40% - Accent1 34" xfId="1127"/>
    <cellStyle name="40% - Accent1 34 2" xfId="2326"/>
    <cellStyle name="40% - Accent1 35" xfId="1172"/>
    <cellStyle name="40% - Accent1 35 2" xfId="2327"/>
    <cellStyle name="40% - Accent1 36" xfId="1198"/>
    <cellStyle name="40% - Accent1 36 2" xfId="2328"/>
    <cellStyle name="40% - Accent1 37" xfId="1224"/>
    <cellStyle name="40% - Accent1 37 2" xfId="2329"/>
    <cellStyle name="40% - Accent1 38" xfId="1247"/>
    <cellStyle name="40% - Accent1 38 2" xfId="2330"/>
    <cellStyle name="40% - Accent1 39" xfId="1270"/>
    <cellStyle name="40% - Accent1 39 2" xfId="2331"/>
    <cellStyle name="40% - Accent1 4" xfId="389"/>
    <cellStyle name="40% - Accent1 4 2" xfId="2332"/>
    <cellStyle name="40% - Accent1 40" xfId="1293"/>
    <cellStyle name="40% - Accent1 40 2" xfId="2333"/>
    <cellStyle name="40% - Accent1 41" xfId="1316"/>
    <cellStyle name="40% - Accent1 41 2" xfId="2334"/>
    <cellStyle name="40% - Accent1 42" xfId="1336"/>
    <cellStyle name="40% - Accent1 42 2" xfId="2335"/>
    <cellStyle name="40% - Accent1 5" xfId="407"/>
    <cellStyle name="40% - Accent1 5 2" xfId="2336"/>
    <cellStyle name="40% - Accent1 6" xfId="438"/>
    <cellStyle name="40% - Accent1 6 2" xfId="2337"/>
    <cellStyle name="40% - Accent1 7" xfId="464"/>
    <cellStyle name="40% - Accent1 7 2" xfId="2338"/>
    <cellStyle name="40% - Accent1 8" xfId="487"/>
    <cellStyle name="40% - Accent1 8 2" xfId="2339"/>
    <cellStyle name="40% - Accent1 9" xfId="512"/>
    <cellStyle name="40% - Accent1 9 2" xfId="2340"/>
    <cellStyle name="40% - Accent2" xfId="23" builtinId="35" customBuiltin="1"/>
    <cellStyle name="40% - Accent2 10" xfId="455"/>
    <cellStyle name="40% - Accent2 10 2" xfId="2341"/>
    <cellStyle name="40% - Accent2 11" xfId="556"/>
    <cellStyle name="40% - Accent2 11 2" xfId="2342"/>
    <cellStyle name="40% - Accent2 12" xfId="581"/>
    <cellStyle name="40% - Accent2 12 2" xfId="2343"/>
    <cellStyle name="40% - Accent2 13" xfId="603"/>
    <cellStyle name="40% - Accent2 13 2" xfId="2344"/>
    <cellStyle name="40% - Accent2 14" xfId="625"/>
    <cellStyle name="40% - Accent2 14 2" xfId="2345"/>
    <cellStyle name="40% - Accent2 15" xfId="645"/>
    <cellStyle name="40% - Accent2 15 2" xfId="2346"/>
    <cellStyle name="40% - Accent2 16" xfId="674"/>
    <cellStyle name="40% - Accent2 16 2" xfId="2347"/>
    <cellStyle name="40% - Accent2 17" xfId="710"/>
    <cellStyle name="40% - Accent2 17 2" xfId="2348"/>
    <cellStyle name="40% - Accent2 18" xfId="736"/>
    <cellStyle name="40% - Accent2 18 2" xfId="2349"/>
    <cellStyle name="40% - Accent2 19" xfId="761"/>
    <cellStyle name="40% - Accent2 19 2" xfId="2350"/>
    <cellStyle name="40% - Accent2 2" xfId="320"/>
    <cellStyle name="40% - Accent2 2 2" xfId="2351"/>
    <cellStyle name="40% - Accent2 20" xfId="786"/>
    <cellStyle name="40% - Accent2 20 2" xfId="2352"/>
    <cellStyle name="40% - Accent2 21" xfId="812"/>
    <cellStyle name="40% - Accent2 21 2" xfId="2353"/>
    <cellStyle name="40% - Accent2 22" xfId="837"/>
    <cellStyle name="40% - Accent2 22 2" xfId="2354"/>
    <cellStyle name="40% - Accent2 23" xfId="862"/>
    <cellStyle name="40% - Accent2 23 2" xfId="2355"/>
    <cellStyle name="40% - Accent2 24" xfId="884"/>
    <cellStyle name="40% - Accent2 24 2" xfId="2356"/>
    <cellStyle name="40% - Accent2 25" xfId="910"/>
    <cellStyle name="40% - Accent2 25 2" xfId="2357"/>
    <cellStyle name="40% - Accent2 26" xfId="935"/>
    <cellStyle name="40% - Accent2 26 2" xfId="2358"/>
    <cellStyle name="40% - Accent2 27" xfId="957"/>
    <cellStyle name="40% - Accent2 27 2" xfId="2359"/>
    <cellStyle name="40% - Accent2 28" xfId="985"/>
    <cellStyle name="40% - Accent2 28 2" xfId="2360"/>
    <cellStyle name="40% - Accent2 29" xfId="1010"/>
    <cellStyle name="40% - Accent2 29 2" xfId="2361"/>
    <cellStyle name="40% - Accent2 3" xfId="360"/>
    <cellStyle name="40% - Accent2 3 2" xfId="2362"/>
    <cellStyle name="40% - Accent2 30" xfId="1035"/>
    <cellStyle name="40% - Accent2 30 2" xfId="2363"/>
    <cellStyle name="40% - Accent2 31" xfId="1057"/>
    <cellStyle name="40% - Accent2 31 2" xfId="2364"/>
    <cellStyle name="40% - Accent2 32" xfId="1080"/>
    <cellStyle name="40% - Accent2 32 2" xfId="2365"/>
    <cellStyle name="40% - Accent2 33" xfId="1099"/>
    <cellStyle name="40% - Accent2 33 2" xfId="2366"/>
    <cellStyle name="40% - Accent2 34" xfId="1128"/>
    <cellStyle name="40% - Accent2 34 2" xfId="2367"/>
    <cellStyle name="40% - Accent2 35" xfId="1168"/>
    <cellStyle name="40% - Accent2 35 2" xfId="2368"/>
    <cellStyle name="40% - Accent2 36" xfId="1194"/>
    <cellStyle name="40% - Accent2 36 2" xfId="2369"/>
    <cellStyle name="40% - Accent2 37" xfId="1220"/>
    <cellStyle name="40% - Accent2 37 2" xfId="2370"/>
    <cellStyle name="40% - Accent2 38" xfId="1243"/>
    <cellStyle name="40% - Accent2 38 2" xfId="2371"/>
    <cellStyle name="40% - Accent2 39" xfId="1266"/>
    <cellStyle name="40% - Accent2 39 2" xfId="2372"/>
    <cellStyle name="40% - Accent2 4" xfId="385"/>
    <cellStyle name="40% - Accent2 4 2" xfId="2373"/>
    <cellStyle name="40% - Accent2 40" xfId="1289"/>
    <cellStyle name="40% - Accent2 40 2" xfId="2374"/>
    <cellStyle name="40% - Accent2 41" xfId="1312"/>
    <cellStyle name="40% - Accent2 41 2" xfId="2375"/>
    <cellStyle name="40% - Accent2 42" xfId="1332"/>
    <cellStyle name="40% - Accent2 42 2" xfId="2376"/>
    <cellStyle name="40% - Accent2 5" xfId="406"/>
    <cellStyle name="40% - Accent2 5 2" xfId="2377"/>
    <cellStyle name="40% - Accent2 6" xfId="434"/>
    <cellStyle name="40% - Accent2 6 2" xfId="2378"/>
    <cellStyle name="40% - Accent2 7" xfId="460"/>
    <cellStyle name="40% - Accent2 7 2" xfId="2379"/>
    <cellStyle name="40% - Accent2 8" xfId="482"/>
    <cellStyle name="40% - Accent2 8 2" xfId="2380"/>
    <cellStyle name="40% - Accent2 9" xfId="508"/>
    <cellStyle name="40% - Accent2 9 2" xfId="2381"/>
    <cellStyle name="40% - Accent3" xfId="27" builtinId="39" customBuiltin="1"/>
    <cellStyle name="40% - Accent3 10" xfId="499"/>
    <cellStyle name="40% - Accent3 10 2" xfId="2382"/>
    <cellStyle name="40% - Accent3 11" xfId="429"/>
    <cellStyle name="40% - Accent3 11 2" xfId="2383"/>
    <cellStyle name="40% - Accent3 12" xfId="570"/>
    <cellStyle name="40% - Accent3 12 2" xfId="2384"/>
    <cellStyle name="40% - Accent3 13" xfId="595"/>
    <cellStyle name="40% - Accent3 13 2" xfId="2385"/>
    <cellStyle name="40% - Accent3 14" xfId="617"/>
    <cellStyle name="40% - Accent3 14 2" xfId="2386"/>
    <cellStyle name="40% - Accent3 15" xfId="640"/>
    <cellStyle name="40% - Accent3 15 2" xfId="2387"/>
    <cellStyle name="40% - Accent3 16" xfId="675"/>
    <cellStyle name="40% - Accent3 16 2" xfId="2388"/>
    <cellStyle name="40% - Accent3 17" xfId="666"/>
    <cellStyle name="40% - Accent3 17 2" xfId="2389"/>
    <cellStyle name="40% - Accent3 18" xfId="725"/>
    <cellStyle name="40% - Accent3 18 2" xfId="2390"/>
    <cellStyle name="40% - Accent3 19" xfId="750"/>
    <cellStyle name="40% - Accent3 19 2" xfId="2391"/>
    <cellStyle name="40% - Accent3 2" xfId="321"/>
    <cellStyle name="40% - Accent3 2 2" xfId="2392"/>
    <cellStyle name="40% - Accent3 20" xfId="775"/>
    <cellStyle name="40% - Accent3 20 2" xfId="2393"/>
    <cellStyle name="40% - Accent3 21" xfId="801"/>
    <cellStyle name="40% - Accent3 21 2" xfId="2394"/>
    <cellStyle name="40% - Accent3 22" xfId="826"/>
    <cellStyle name="40% - Accent3 22 2" xfId="2395"/>
    <cellStyle name="40% - Accent3 23" xfId="851"/>
    <cellStyle name="40% - Accent3 23 2" xfId="2396"/>
    <cellStyle name="40% - Accent3 24" xfId="876"/>
    <cellStyle name="40% - Accent3 24 2" xfId="2397"/>
    <cellStyle name="40% - Accent3 25" xfId="898"/>
    <cellStyle name="40% - Accent3 25 2" xfId="2398"/>
    <cellStyle name="40% - Accent3 26" xfId="924"/>
    <cellStyle name="40% - Accent3 26 2" xfId="2399"/>
    <cellStyle name="40% - Accent3 27" xfId="956"/>
    <cellStyle name="40% - Accent3 27 2" xfId="2400"/>
    <cellStyle name="40% - Accent3 28" xfId="969"/>
    <cellStyle name="40% - Accent3 28 2" xfId="2401"/>
    <cellStyle name="40% - Accent3 29" xfId="999"/>
    <cellStyle name="40% - Accent3 29 2" xfId="2402"/>
    <cellStyle name="40% - Accent3 3" xfId="359"/>
    <cellStyle name="40% - Accent3 3 2" xfId="2403"/>
    <cellStyle name="40% - Accent3 30" xfId="1024"/>
    <cellStyle name="40% - Accent3 30 2" xfId="2404"/>
    <cellStyle name="40% - Accent3 31" xfId="1049"/>
    <cellStyle name="40% - Accent3 31 2" xfId="2405"/>
    <cellStyle name="40% - Accent3 32" xfId="1072"/>
    <cellStyle name="40% - Accent3 32 2" xfId="2406"/>
    <cellStyle name="40% - Accent3 33" xfId="1094"/>
    <cellStyle name="40% - Accent3 33 2" xfId="2407"/>
    <cellStyle name="40% - Accent3 34" xfId="1129"/>
    <cellStyle name="40% - Accent3 34 2" xfId="2408"/>
    <cellStyle name="40% - Accent3 35" xfId="1167"/>
    <cellStyle name="40% - Accent3 35 2" xfId="2409"/>
    <cellStyle name="40% - Accent3 36" xfId="1193"/>
    <cellStyle name="40% - Accent3 36 2" xfId="2410"/>
    <cellStyle name="40% - Accent3 37" xfId="1219"/>
    <cellStyle name="40% - Accent3 37 2" xfId="2411"/>
    <cellStyle name="40% - Accent3 38" xfId="1242"/>
    <cellStyle name="40% - Accent3 38 2" xfId="2412"/>
    <cellStyle name="40% - Accent3 39" xfId="1265"/>
    <cellStyle name="40% - Accent3 39 2" xfId="2413"/>
    <cellStyle name="40% - Accent3 4" xfId="384"/>
    <cellStyle name="40% - Accent3 4 2" xfId="2414"/>
    <cellStyle name="40% - Accent3 40" xfId="1288"/>
    <cellStyle name="40% - Accent3 40 2" xfId="2415"/>
    <cellStyle name="40% - Accent3 41" xfId="1311"/>
    <cellStyle name="40% - Accent3 41 2" xfId="2416"/>
    <cellStyle name="40% - Accent3 42" xfId="1331"/>
    <cellStyle name="40% - Accent3 42 2" xfId="2417"/>
    <cellStyle name="40% - Accent3 5" xfId="405"/>
    <cellStyle name="40% - Accent3 5 2" xfId="2418"/>
    <cellStyle name="40% - Accent3 6" xfId="418"/>
    <cellStyle name="40% - Accent3 6 2" xfId="2419"/>
    <cellStyle name="40% - Accent3 7" xfId="448"/>
    <cellStyle name="40% - Accent3 7 2" xfId="2420"/>
    <cellStyle name="40% - Accent3 8" xfId="474"/>
    <cellStyle name="40% - Accent3 8 2" xfId="2421"/>
    <cellStyle name="40% - Accent3 9" xfId="497"/>
    <cellStyle name="40% - Accent3 9 2" xfId="2422"/>
    <cellStyle name="40% - Accent4" xfId="31" builtinId="43" customBuiltin="1"/>
    <cellStyle name="40% - Accent4 10" xfId="500"/>
    <cellStyle name="40% - Accent4 10 2" xfId="2423"/>
    <cellStyle name="40% - Accent4 11" xfId="554"/>
    <cellStyle name="40% - Accent4 11 2" xfId="2424"/>
    <cellStyle name="40% - Accent4 12" xfId="579"/>
    <cellStyle name="40% - Accent4 12 2" xfId="2425"/>
    <cellStyle name="40% - Accent4 13" xfId="601"/>
    <cellStyle name="40% - Accent4 13 2" xfId="2426"/>
    <cellStyle name="40% - Accent4 14" xfId="623"/>
    <cellStyle name="40% - Accent4 14 2" xfId="2427"/>
    <cellStyle name="40% - Accent4 15" xfId="643"/>
    <cellStyle name="40% - Accent4 15 2" xfId="2428"/>
    <cellStyle name="40% - Accent4 16" xfId="676"/>
    <cellStyle name="40% - Accent4 16 2" xfId="2429"/>
    <cellStyle name="40% - Accent4 17" xfId="708"/>
    <cellStyle name="40% - Accent4 17 2" xfId="2430"/>
    <cellStyle name="40% - Accent4 18" xfId="734"/>
    <cellStyle name="40% - Accent4 18 2" xfId="2431"/>
    <cellStyle name="40% - Accent4 19" xfId="759"/>
    <cellStyle name="40% - Accent4 19 2" xfId="2432"/>
    <cellStyle name="40% - Accent4 2" xfId="322"/>
    <cellStyle name="40% - Accent4 2 2" xfId="2433"/>
    <cellStyle name="40% - Accent4 20" xfId="784"/>
    <cellStyle name="40% - Accent4 20 2" xfId="2434"/>
    <cellStyle name="40% - Accent4 21" xfId="810"/>
    <cellStyle name="40% - Accent4 21 2" xfId="2435"/>
    <cellStyle name="40% - Accent4 22" xfId="835"/>
    <cellStyle name="40% - Accent4 22 2" xfId="2436"/>
    <cellStyle name="40% - Accent4 23" xfId="860"/>
    <cellStyle name="40% - Accent4 23 2" xfId="2437"/>
    <cellStyle name="40% - Accent4 24" xfId="882"/>
    <cellStyle name="40% - Accent4 24 2" xfId="2438"/>
    <cellStyle name="40% - Accent4 25" xfId="908"/>
    <cellStyle name="40% - Accent4 25 2" xfId="2439"/>
    <cellStyle name="40% - Accent4 26" xfId="933"/>
    <cellStyle name="40% - Accent4 26 2" xfId="2440"/>
    <cellStyle name="40% - Accent4 27" xfId="955"/>
    <cellStyle name="40% - Accent4 27 2" xfId="2441"/>
    <cellStyle name="40% - Accent4 28" xfId="983"/>
    <cellStyle name="40% - Accent4 28 2" xfId="2442"/>
    <cellStyle name="40% - Accent4 29" xfId="1008"/>
    <cellStyle name="40% - Accent4 29 2" xfId="2443"/>
    <cellStyle name="40% - Accent4 3" xfId="358"/>
    <cellStyle name="40% - Accent4 3 2" xfId="2444"/>
    <cellStyle name="40% - Accent4 30" xfId="1033"/>
    <cellStyle name="40% - Accent4 30 2" xfId="2445"/>
    <cellStyle name="40% - Accent4 31" xfId="1055"/>
    <cellStyle name="40% - Accent4 31 2" xfId="2446"/>
    <cellStyle name="40% - Accent4 32" xfId="1078"/>
    <cellStyle name="40% - Accent4 32 2" xfId="2447"/>
    <cellStyle name="40% - Accent4 33" xfId="1097"/>
    <cellStyle name="40% - Accent4 33 2" xfId="2448"/>
    <cellStyle name="40% - Accent4 34" xfId="1130"/>
    <cellStyle name="40% - Accent4 34 2" xfId="2449"/>
    <cellStyle name="40% - Accent4 35" xfId="1165"/>
    <cellStyle name="40% - Accent4 35 2" xfId="2450"/>
    <cellStyle name="40% - Accent4 36" xfId="1191"/>
    <cellStyle name="40% - Accent4 36 2" xfId="2451"/>
    <cellStyle name="40% - Accent4 37" xfId="1217"/>
    <cellStyle name="40% - Accent4 37 2" xfId="2452"/>
    <cellStyle name="40% - Accent4 38" xfId="1240"/>
    <cellStyle name="40% - Accent4 38 2" xfId="2453"/>
    <cellStyle name="40% - Accent4 39" xfId="1263"/>
    <cellStyle name="40% - Accent4 39 2" xfId="2454"/>
    <cellStyle name="40% - Accent4 4" xfId="383"/>
    <cellStyle name="40% - Accent4 4 2" xfId="2455"/>
    <cellStyle name="40% - Accent4 40" xfId="1286"/>
    <cellStyle name="40% - Accent4 40 2" xfId="2456"/>
    <cellStyle name="40% - Accent4 41" xfId="1309"/>
    <cellStyle name="40% - Accent4 41 2" xfId="2457"/>
    <cellStyle name="40% - Accent4 42" xfId="1329"/>
    <cellStyle name="40% - Accent4 42 2" xfId="2458"/>
    <cellStyle name="40% - Accent4 5" xfId="404"/>
    <cellStyle name="40% - Accent4 5 2" xfId="2459"/>
    <cellStyle name="40% - Accent4 6" xfId="433"/>
    <cellStyle name="40% - Accent4 6 2" xfId="2460"/>
    <cellStyle name="40% - Accent4 7" xfId="459"/>
    <cellStyle name="40% - Accent4 7 2" xfId="2461"/>
    <cellStyle name="40% - Accent4 8" xfId="481"/>
    <cellStyle name="40% - Accent4 8 2" xfId="2462"/>
    <cellStyle name="40% - Accent4 9" xfId="507"/>
    <cellStyle name="40% - Accent4 9 2" xfId="2463"/>
    <cellStyle name="40% - Accent5" xfId="35" builtinId="47" customBuiltin="1"/>
    <cellStyle name="40% - Accent5 10" xfId="501"/>
    <cellStyle name="40% - Accent5 10 2" xfId="2464"/>
    <cellStyle name="40% - Accent5 11" xfId="553"/>
    <cellStyle name="40% - Accent5 11 2" xfId="2465"/>
    <cellStyle name="40% - Accent5 12" xfId="578"/>
    <cellStyle name="40% - Accent5 12 2" xfId="2466"/>
    <cellStyle name="40% - Accent5 13" xfId="600"/>
    <cellStyle name="40% - Accent5 13 2" xfId="2467"/>
    <cellStyle name="40% - Accent5 14" xfId="622"/>
    <cellStyle name="40% - Accent5 14 2" xfId="2468"/>
    <cellStyle name="40% - Accent5 15" xfId="642"/>
    <cellStyle name="40% - Accent5 15 2" xfId="2469"/>
    <cellStyle name="40% - Accent5 16" xfId="677"/>
    <cellStyle name="40% - Accent5 16 2" xfId="2470"/>
    <cellStyle name="40% - Accent5 17" xfId="707"/>
    <cellStyle name="40% - Accent5 17 2" xfId="2471"/>
    <cellStyle name="40% - Accent5 18" xfId="733"/>
    <cellStyle name="40% - Accent5 18 2" xfId="2472"/>
    <cellStyle name="40% - Accent5 19" xfId="758"/>
    <cellStyle name="40% - Accent5 19 2" xfId="2473"/>
    <cellStyle name="40% - Accent5 2" xfId="323"/>
    <cellStyle name="40% - Accent5 2 2" xfId="2474"/>
    <cellStyle name="40% - Accent5 20" xfId="783"/>
    <cellStyle name="40% - Accent5 20 2" xfId="2475"/>
    <cellStyle name="40% - Accent5 21" xfId="809"/>
    <cellStyle name="40% - Accent5 21 2" xfId="2476"/>
    <cellStyle name="40% - Accent5 22" xfId="834"/>
    <cellStyle name="40% - Accent5 22 2" xfId="2477"/>
    <cellStyle name="40% - Accent5 23" xfId="859"/>
    <cellStyle name="40% - Accent5 23 2" xfId="2478"/>
    <cellStyle name="40% - Accent5 24" xfId="881"/>
    <cellStyle name="40% - Accent5 24 2" xfId="2479"/>
    <cellStyle name="40% - Accent5 25" xfId="907"/>
    <cellStyle name="40% - Accent5 25 2" xfId="2480"/>
    <cellStyle name="40% - Accent5 26" xfId="932"/>
    <cellStyle name="40% - Accent5 26 2" xfId="2481"/>
    <cellStyle name="40% - Accent5 27" xfId="954"/>
    <cellStyle name="40% - Accent5 27 2" xfId="2482"/>
    <cellStyle name="40% - Accent5 28" xfId="982"/>
    <cellStyle name="40% - Accent5 28 2" xfId="2483"/>
    <cellStyle name="40% - Accent5 29" xfId="1007"/>
    <cellStyle name="40% - Accent5 29 2" xfId="2484"/>
    <cellStyle name="40% - Accent5 3" xfId="357"/>
    <cellStyle name="40% - Accent5 3 2" xfId="2485"/>
    <cellStyle name="40% - Accent5 30" xfId="1032"/>
    <cellStyle name="40% - Accent5 30 2" xfId="2486"/>
    <cellStyle name="40% - Accent5 31" xfId="1054"/>
    <cellStyle name="40% - Accent5 31 2" xfId="2487"/>
    <cellStyle name="40% - Accent5 32" xfId="1077"/>
    <cellStyle name="40% - Accent5 32 2" xfId="2488"/>
    <cellStyle name="40% - Accent5 33" xfId="1096"/>
    <cellStyle name="40% - Accent5 33 2" xfId="2489"/>
    <cellStyle name="40% - Accent5 34" xfId="1131"/>
    <cellStyle name="40% - Accent5 34 2" xfId="2490"/>
    <cellStyle name="40% - Accent5 35" xfId="1164"/>
    <cellStyle name="40% - Accent5 35 2" xfId="2491"/>
    <cellStyle name="40% - Accent5 36" xfId="1190"/>
    <cellStyle name="40% - Accent5 36 2" xfId="2492"/>
    <cellStyle name="40% - Accent5 37" xfId="1216"/>
    <cellStyle name="40% - Accent5 37 2" xfId="2493"/>
    <cellStyle name="40% - Accent5 38" xfId="1239"/>
    <cellStyle name="40% - Accent5 38 2" xfId="2494"/>
    <cellStyle name="40% - Accent5 39" xfId="1262"/>
    <cellStyle name="40% - Accent5 39 2" xfId="2495"/>
    <cellStyle name="40% - Accent5 4" xfId="382"/>
    <cellStyle name="40% - Accent5 4 2" xfId="2496"/>
    <cellStyle name="40% - Accent5 40" xfId="1285"/>
    <cellStyle name="40% - Accent5 40 2" xfId="2497"/>
    <cellStyle name="40% - Accent5 41" xfId="1308"/>
    <cellStyle name="40% - Accent5 41 2" xfId="2498"/>
    <cellStyle name="40% - Accent5 42" xfId="1328"/>
    <cellStyle name="40% - Accent5 42 2" xfId="2499"/>
    <cellStyle name="40% - Accent5 5" xfId="403"/>
    <cellStyle name="40% - Accent5 5 2" xfId="2500"/>
    <cellStyle name="40% - Accent5 6" xfId="432"/>
    <cellStyle name="40% - Accent5 6 2" xfId="2501"/>
    <cellStyle name="40% - Accent5 7" xfId="458"/>
    <cellStyle name="40% - Accent5 7 2" xfId="2502"/>
    <cellStyle name="40% - Accent5 8" xfId="480"/>
    <cellStyle name="40% - Accent5 8 2" xfId="2503"/>
    <cellStyle name="40% - Accent5 9" xfId="506"/>
    <cellStyle name="40% - Accent5 9 2" xfId="2504"/>
    <cellStyle name="40% - Accent6" xfId="39" builtinId="51" customBuiltin="1"/>
    <cellStyle name="40% - Accent6 10" xfId="502"/>
    <cellStyle name="40% - Accent6 10 2" xfId="2505"/>
    <cellStyle name="40% - Accent6 11" xfId="552"/>
    <cellStyle name="40% - Accent6 11 2" xfId="2506"/>
    <cellStyle name="40% - Accent6 12" xfId="577"/>
    <cellStyle name="40% - Accent6 12 2" xfId="2507"/>
    <cellStyle name="40% - Accent6 13" xfId="599"/>
    <cellStyle name="40% - Accent6 13 2" xfId="2508"/>
    <cellStyle name="40% - Accent6 14" xfId="621"/>
    <cellStyle name="40% - Accent6 14 2" xfId="2509"/>
    <cellStyle name="40% - Accent6 15" xfId="641"/>
    <cellStyle name="40% - Accent6 15 2" xfId="2510"/>
    <cellStyle name="40% - Accent6 16" xfId="678"/>
    <cellStyle name="40% - Accent6 16 2" xfId="2511"/>
    <cellStyle name="40% - Accent6 17" xfId="706"/>
    <cellStyle name="40% - Accent6 17 2" xfId="2512"/>
    <cellStyle name="40% - Accent6 18" xfId="732"/>
    <cellStyle name="40% - Accent6 18 2" xfId="2513"/>
    <cellStyle name="40% - Accent6 19" xfId="757"/>
    <cellStyle name="40% - Accent6 19 2" xfId="2514"/>
    <cellStyle name="40% - Accent6 2" xfId="324"/>
    <cellStyle name="40% - Accent6 2 2" xfId="2515"/>
    <cellStyle name="40% - Accent6 20" xfId="782"/>
    <cellStyle name="40% - Accent6 20 2" xfId="2516"/>
    <cellStyle name="40% - Accent6 21" xfId="808"/>
    <cellStyle name="40% - Accent6 21 2" xfId="2517"/>
    <cellStyle name="40% - Accent6 22" xfId="833"/>
    <cellStyle name="40% - Accent6 22 2" xfId="2518"/>
    <cellStyle name="40% - Accent6 23" xfId="858"/>
    <cellStyle name="40% - Accent6 23 2" xfId="2519"/>
    <cellStyle name="40% - Accent6 24" xfId="880"/>
    <cellStyle name="40% - Accent6 24 2" xfId="2520"/>
    <cellStyle name="40% - Accent6 25" xfId="906"/>
    <cellStyle name="40% - Accent6 25 2" xfId="2521"/>
    <cellStyle name="40% - Accent6 26" xfId="931"/>
    <cellStyle name="40% - Accent6 26 2" xfId="2522"/>
    <cellStyle name="40% - Accent6 27" xfId="953"/>
    <cellStyle name="40% - Accent6 27 2" xfId="2523"/>
    <cellStyle name="40% - Accent6 28" xfId="981"/>
    <cellStyle name="40% - Accent6 28 2" xfId="2524"/>
    <cellStyle name="40% - Accent6 29" xfId="1006"/>
    <cellStyle name="40% - Accent6 29 2" xfId="2525"/>
    <cellStyle name="40% - Accent6 3" xfId="356"/>
    <cellStyle name="40% - Accent6 3 2" xfId="2526"/>
    <cellStyle name="40% - Accent6 30" xfId="1031"/>
    <cellStyle name="40% - Accent6 30 2" xfId="2527"/>
    <cellStyle name="40% - Accent6 31" xfId="1053"/>
    <cellStyle name="40% - Accent6 31 2" xfId="2528"/>
    <cellStyle name="40% - Accent6 32" xfId="1076"/>
    <cellStyle name="40% - Accent6 32 2" xfId="2529"/>
    <cellStyle name="40% - Accent6 33" xfId="1095"/>
    <cellStyle name="40% - Accent6 33 2" xfId="2530"/>
    <cellStyle name="40% - Accent6 34" xfId="1132"/>
    <cellStyle name="40% - Accent6 34 2" xfId="2531"/>
    <cellStyle name="40% - Accent6 35" xfId="1163"/>
    <cellStyle name="40% - Accent6 35 2" xfId="2532"/>
    <cellStyle name="40% - Accent6 36" xfId="1189"/>
    <cellStyle name="40% - Accent6 36 2" xfId="2533"/>
    <cellStyle name="40% - Accent6 37" xfId="1215"/>
    <cellStyle name="40% - Accent6 37 2" xfId="2534"/>
    <cellStyle name="40% - Accent6 38" xfId="1238"/>
    <cellStyle name="40% - Accent6 38 2" xfId="2535"/>
    <cellStyle name="40% - Accent6 39" xfId="1261"/>
    <cellStyle name="40% - Accent6 39 2" xfId="2536"/>
    <cellStyle name="40% - Accent6 4" xfId="381"/>
    <cellStyle name="40% - Accent6 4 2" xfId="2537"/>
    <cellStyle name="40% - Accent6 40" xfId="1284"/>
    <cellStyle name="40% - Accent6 40 2" xfId="2538"/>
    <cellStyle name="40% - Accent6 41" xfId="1307"/>
    <cellStyle name="40% - Accent6 41 2" xfId="2539"/>
    <cellStyle name="40% - Accent6 42" xfId="1327"/>
    <cellStyle name="40% - Accent6 42 2" xfId="2540"/>
    <cellStyle name="40% - Accent6 5" xfId="402"/>
    <cellStyle name="40% - Accent6 5 2" xfId="2541"/>
    <cellStyle name="40% - Accent6 6" xfId="431"/>
    <cellStyle name="40% - Accent6 6 2" xfId="2542"/>
    <cellStyle name="40% - Accent6 7" xfId="457"/>
    <cellStyle name="40% - Accent6 7 2" xfId="2543"/>
    <cellStyle name="40% - Accent6 8" xfId="479"/>
    <cellStyle name="40% - Accent6 8 2" xfId="2544"/>
    <cellStyle name="40% - Accent6 9" xfId="505"/>
    <cellStyle name="40% - Accent6 9 2" xfId="2545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10" xfId="2645"/>
    <cellStyle name="Comma 10 2" xfId="4178"/>
    <cellStyle name="Comma 11" xfId="61"/>
    <cellStyle name="Comma 11 2" xfId="2663"/>
    <cellStyle name="Comma 12" xfId="47"/>
    <cellStyle name="Comma 13" xfId="71"/>
    <cellStyle name="Comma 13 2" xfId="2673"/>
    <cellStyle name="Comma 16" xfId="76"/>
    <cellStyle name="Comma 16 2" xfId="2678"/>
    <cellStyle name="Comma 17" xfId="65"/>
    <cellStyle name="Comma 17 2" xfId="2667"/>
    <cellStyle name="Comma 2" xfId="41"/>
    <cellStyle name="Comma 2 10" xfId="194"/>
    <cellStyle name="Comma 2 10 2" xfId="2799"/>
    <cellStyle name="Comma 2 100" xfId="1855"/>
    <cellStyle name="Comma 2 100 2" xfId="3926"/>
    <cellStyle name="Comma 2 101" xfId="1868"/>
    <cellStyle name="Comma 2 101 2" xfId="3939"/>
    <cellStyle name="Comma 2 102" xfId="1881"/>
    <cellStyle name="Comma 2 102 2" xfId="3952"/>
    <cellStyle name="Comma 2 103" xfId="1894"/>
    <cellStyle name="Comma 2 103 2" xfId="3965"/>
    <cellStyle name="Comma 2 104" xfId="1907"/>
    <cellStyle name="Comma 2 104 2" xfId="3978"/>
    <cellStyle name="Comma 2 105" xfId="1920"/>
    <cellStyle name="Comma 2 105 2" xfId="3991"/>
    <cellStyle name="Comma 2 106" xfId="1933"/>
    <cellStyle name="Comma 2 106 2" xfId="4004"/>
    <cellStyle name="Comma 2 107" xfId="1944"/>
    <cellStyle name="Comma 2 107 2" xfId="4015"/>
    <cellStyle name="Comma 2 108" xfId="1927"/>
    <cellStyle name="Comma 2 108 2" xfId="3998"/>
    <cellStyle name="Comma 2 109" xfId="1968"/>
    <cellStyle name="Comma 2 109 2" xfId="4039"/>
    <cellStyle name="Comma 2 11" xfId="205"/>
    <cellStyle name="Comma 2 11 2" xfId="2810"/>
    <cellStyle name="Comma 2 110" xfId="1980"/>
    <cellStyle name="Comma 2 110 2" xfId="4051"/>
    <cellStyle name="Comma 2 111" xfId="1991"/>
    <cellStyle name="Comma 2 111 2" xfId="4062"/>
    <cellStyle name="Comma 2 112" xfId="2003"/>
    <cellStyle name="Comma 2 112 2" xfId="4074"/>
    <cellStyle name="Comma 2 113" xfId="2019"/>
    <cellStyle name="Comma 2 113 2" xfId="4090"/>
    <cellStyle name="Comma 2 114" xfId="2030"/>
    <cellStyle name="Comma 2 114 2" xfId="4101"/>
    <cellStyle name="Comma 2 115" xfId="2041"/>
    <cellStyle name="Comma 2 115 2" xfId="4112"/>
    <cellStyle name="Comma 2 116" xfId="2649"/>
    <cellStyle name="Comma 2 117" xfId="2653"/>
    <cellStyle name="Comma 2 118" xfId="50"/>
    <cellStyle name="Comma 2 12" xfId="216"/>
    <cellStyle name="Comma 2 12 2" xfId="2821"/>
    <cellStyle name="Comma 2 13" xfId="229"/>
    <cellStyle name="Comma 2 13 2" xfId="2834"/>
    <cellStyle name="Comma 2 14" xfId="240"/>
    <cellStyle name="Comma 2 14 2" xfId="2845"/>
    <cellStyle name="Comma 2 15" xfId="252"/>
    <cellStyle name="Comma 2 15 2" xfId="2857"/>
    <cellStyle name="Comma 2 16" xfId="274"/>
    <cellStyle name="Comma 2 16 2" xfId="2879"/>
    <cellStyle name="Comma 2 17" xfId="270"/>
    <cellStyle name="Comma 2 17 2" xfId="2875"/>
    <cellStyle name="Comma 2 18" xfId="277"/>
    <cellStyle name="Comma 2 18 2" xfId="2882"/>
    <cellStyle name="Comma 2 19" xfId="273"/>
    <cellStyle name="Comma 2 19 2" xfId="2878"/>
    <cellStyle name="Comma 2 2" xfId="68"/>
    <cellStyle name="Comma 2 2 10" xfId="204"/>
    <cellStyle name="Comma 2 2 10 2" xfId="2809"/>
    <cellStyle name="Comma 2 2 100" xfId="1867"/>
    <cellStyle name="Comma 2 2 100 2" xfId="3938"/>
    <cellStyle name="Comma 2 2 101" xfId="1880"/>
    <cellStyle name="Comma 2 2 101 2" xfId="3951"/>
    <cellStyle name="Comma 2 2 102" xfId="1893"/>
    <cellStyle name="Comma 2 2 102 2" xfId="3964"/>
    <cellStyle name="Comma 2 2 103" xfId="1906"/>
    <cellStyle name="Comma 2 2 103 2" xfId="3977"/>
    <cellStyle name="Comma 2 2 104" xfId="1919"/>
    <cellStyle name="Comma 2 2 104 2" xfId="3990"/>
    <cellStyle name="Comma 2 2 105" xfId="1932"/>
    <cellStyle name="Comma 2 2 105 2" xfId="4003"/>
    <cellStyle name="Comma 2 2 106" xfId="1943"/>
    <cellStyle name="Comma 2 2 106 2" xfId="4014"/>
    <cellStyle name="Comma 2 2 107" xfId="1901"/>
    <cellStyle name="Comma 2 2 107 2" xfId="3972"/>
    <cellStyle name="Comma 2 2 108" xfId="1967"/>
    <cellStyle name="Comma 2 2 108 2" xfId="4038"/>
    <cellStyle name="Comma 2 2 109" xfId="1979"/>
    <cellStyle name="Comma 2 2 109 2" xfId="4050"/>
    <cellStyle name="Comma 2 2 11" xfId="215"/>
    <cellStyle name="Comma 2 2 11 2" xfId="2820"/>
    <cellStyle name="Comma 2 2 110" xfId="1990"/>
    <cellStyle name="Comma 2 2 110 2" xfId="4061"/>
    <cellStyle name="Comma 2 2 111" xfId="2004"/>
    <cellStyle name="Comma 2 2 111 2" xfId="4075"/>
    <cellStyle name="Comma 2 2 112" xfId="2018"/>
    <cellStyle name="Comma 2 2 112 2" xfId="4089"/>
    <cellStyle name="Comma 2 2 113" xfId="2029"/>
    <cellStyle name="Comma 2 2 113 2" xfId="4100"/>
    <cellStyle name="Comma 2 2 114" xfId="2040"/>
    <cellStyle name="Comma 2 2 114 2" xfId="4111"/>
    <cellStyle name="Comma 2 2 115" xfId="2670"/>
    <cellStyle name="Comma 2 2 12" xfId="228"/>
    <cellStyle name="Comma 2 2 12 2" xfId="2833"/>
    <cellStyle name="Comma 2 2 13" xfId="239"/>
    <cellStyle name="Comma 2 2 13 2" xfId="2844"/>
    <cellStyle name="Comma 2 2 14" xfId="251"/>
    <cellStyle name="Comma 2 2 14 2" xfId="2856"/>
    <cellStyle name="Comma 2 2 15" xfId="275"/>
    <cellStyle name="Comma 2 2 15 2" xfId="2880"/>
    <cellStyle name="Comma 2 2 16" xfId="269"/>
    <cellStyle name="Comma 2 2 16 2" xfId="2874"/>
    <cellStyle name="Comma 2 2 17" xfId="279"/>
    <cellStyle name="Comma 2 2 17 2" xfId="2884"/>
    <cellStyle name="Comma 2 2 18" xfId="272"/>
    <cellStyle name="Comma 2 2 18 2" xfId="2877"/>
    <cellStyle name="Comma 2 2 19" xfId="340"/>
    <cellStyle name="Comma 2 2 19 2" xfId="2929"/>
    <cellStyle name="Comma 2 2 2" xfId="100"/>
    <cellStyle name="Comma 2 2 2 2" xfId="2704"/>
    <cellStyle name="Comma 2 2 20" xfId="334"/>
    <cellStyle name="Comma 2 2 20 2" xfId="2923"/>
    <cellStyle name="Comma 2 2 21" xfId="343"/>
    <cellStyle name="Comma 2 2 21 2" xfId="2932"/>
    <cellStyle name="Comma 2 2 22" xfId="325"/>
    <cellStyle name="Comma 2 2 22 2" xfId="2917"/>
    <cellStyle name="Comma 2 2 23" xfId="337"/>
    <cellStyle name="Comma 2 2 23 2" xfId="2926"/>
    <cellStyle name="Comma 2 2 24" xfId="378"/>
    <cellStyle name="Comma 2 2 24 2" xfId="2954"/>
    <cellStyle name="Comma 2 2 25" xfId="349"/>
    <cellStyle name="Comma 2 2 25 2" xfId="2938"/>
    <cellStyle name="Comma 2 2 26" xfId="425"/>
    <cellStyle name="Comma 2 2 26 2" xfId="2973"/>
    <cellStyle name="Comma 2 2 27" xfId="538"/>
    <cellStyle name="Comma 2 2 27 2" xfId="3025"/>
    <cellStyle name="Comma 2 2 28" xfId="535"/>
    <cellStyle name="Comma 2 2 28 2" xfId="3022"/>
    <cellStyle name="Comma 2 2 29" xfId="541"/>
    <cellStyle name="Comma 2 2 29 2" xfId="3028"/>
    <cellStyle name="Comma 2 2 3" xfId="113"/>
    <cellStyle name="Comma 2 2 3 2" xfId="2718"/>
    <cellStyle name="Comma 2 2 30" xfId="532"/>
    <cellStyle name="Comma 2 2 30 2" xfId="3019"/>
    <cellStyle name="Comma 2 2 31" xfId="547"/>
    <cellStyle name="Comma 2 2 31 2" xfId="3034"/>
    <cellStyle name="Comma 2 2 32" xfId="572"/>
    <cellStyle name="Comma 2 2 32 2" xfId="3046"/>
    <cellStyle name="Comma 2 2 33" xfId="692"/>
    <cellStyle name="Comma 2 2 33 2" xfId="3101"/>
    <cellStyle name="Comma 2 2 34" xfId="686"/>
    <cellStyle name="Comma 2 2 34 2" xfId="3095"/>
    <cellStyle name="Comma 2 2 35" xfId="695"/>
    <cellStyle name="Comma 2 2 35 2" xfId="3104"/>
    <cellStyle name="Comma 2 2 36" xfId="683"/>
    <cellStyle name="Comma 2 2 36 2" xfId="3092"/>
    <cellStyle name="Comma 2 2 37" xfId="701"/>
    <cellStyle name="Comma 2 2 37 2" xfId="3110"/>
    <cellStyle name="Comma 2 2 38" xfId="727"/>
    <cellStyle name="Comma 2 2 38 2" xfId="3123"/>
    <cellStyle name="Comma 2 2 39" xfId="752"/>
    <cellStyle name="Comma 2 2 39 2" xfId="3135"/>
    <cellStyle name="Comma 2 2 4" xfId="126"/>
    <cellStyle name="Comma 2 2 4 2" xfId="2731"/>
    <cellStyle name="Comma 2 2 40" xfId="777"/>
    <cellStyle name="Comma 2 2 40 2" xfId="3147"/>
    <cellStyle name="Comma 2 2 41" xfId="803"/>
    <cellStyle name="Comma 2 2 41 2" xfId="3160"/>
    <cellStyle name="Comma 2 2 42" xfId="828"/>
    <cellStyle name="Comma 2 2 42 2" xfId="3172"/>
    <cellStyle name="Comma 2 2 43" xfId="853"/>
    <cellStyle name="Comma 2 2 43 2" xfId="3184"/>
    <cellStyle name="Comma 2 2 44" xfId="926"/>
    <cellStyle name="Comma 2 2 44 2" xfId="3218"/>
    <cellStyle name="Comma 2 2 45" xfId="689"/>
    <cellStyle name="Comma 2 2 45 2" xfId="3098"/>
    <cellStyle name="Comma 2 2 46" xfId="929"/>
    <cellStyle name="Comma 2 2 46 2" xfId="3221"/>
    <cellStyle name="Comma 2 2 47" xfId="900"/>
    <cellStyle name="Comma 2 2 47 2" xfId="3205"/>
    <cellStyle name="Comma 2 2 48" xfId="976"/>
    <cellStyle name="Comma 2 2 48 2" xfId="3242"/>
    <cellStyle name="Comma 2 2 49" xfId="1001"/>
    <cellStyle name="Comma 2 2 49 2" xfId="3254"/>
    <cellStyle name="Comma 2 2 5" xfId="139"/>
    <cellStyle name="Comma 2 2 5 2" xfId="2744"/>
    <cellStyle name="Comma 2 2 50" xfId="1026"/>
    <cellStyle name="Comma 2 2 50 2" xfId="3266"/>
    <cellStyle name="Comma 2 2 51" xfId="1146"/>
    <cellStyle name="Comma 2 2 51 2" xfId="3322"/>
    <cellStyle name="Comma 2 2 52" xfId="1143"/>
    <cellStyle name="Comma 2 2 52 2" xfId="3319"/>
    <cellStyle name="Comma 2 2 53" xfId="1149"/>
    <cellStyle name="Comma 2 2 53 2" xfId="3325"/>
    <cellStyle name="Comma 2 2 54" xfId="1140"/>
    <cellStyle name="Comma 2 2 54 2" xfId="3316"/>
    <cellStyle name="Comma 2 2 55" xfId="1154"/>
    <cellStyle name="Comma 2 2 55 2" xfId="3330"/>
    <cellStyle name="Comma 2 2 56" xfId="1135"/>
    <cellStyle name="Comma 2 2 56 2" xfId="3311"/>
    <cellStyle name="Comma 2 2 57" xfId="1160"/>
    <cellStyle name="Comma 2 2 57 2" xfId="3336"/>
    <cellStyle name="Comma 2 2 58" xfId="1186"/>
    <cellStyle name="Comma 2 2 58 2" xfId="3349"/>
    <cellStyle name="Comma 2 2 59" xfId="1212"/>
    <cellStyle name="Comma 2 2 59 2" xfId="3362"/>
    <cellStyle name="Comma 2 2 6" xfId="142"/>
    <cellStyle name="Comma 2 2 6 2" xfId="2747"/>
    <cellStyle name="Comma 2 2 60" xfId="1357"/>
    <cellStyle name="Comma 2 2 60 2" xfId="3428"/>
    <cellStyle name="Comma 2 2 61" xfId="1371"/>
    <cellStyle name="Comma 2 2 61 2" xfId="3442"/>
    <cellStyle name="Comma 2 2 62" xfId="1384"/>
    <cellStyle name="Comma 2 2 62 2" xfId="3455"/>
    <cellStyle name="Comma 2 2 63" xfId="1392"/>
    <cellStyle name="Comma 2 2 63 2" xfId="3463"/>
    <cellStyle name="Comma 2 2 64" xfId="1402"/>
    <cellStyle name="Comma 2 2 64 2" xfId="3473"/>
    <cellStyle name="Comma 2 2 65" xfId="1415"/>
    <cellStyle name="Comma 2 2 65 2" xfId="3486"/>
    <cellStyle name="Comma 2 2 66" xfId="1434"/>
    <cellStyle name="Comma 2 2 66 2" xfId="3505"/>
    <cellStyle name="Comma 2 2 67" xfId="1447"/>
    <cellStyle name="Comma 2 2 67 2" xfId="3518"/>
    <cellStyle name="Comma 2 2 68" xfId="1458"/>
    <cellStyle name="Comma 2 2 68 2" xfId="3529"/>
    <cellStyle name="Comma 2 2 69" xfId="1473"/>
    <cellStyle name="Comma 2 2 69 2" xfId="3544"/>
    <cellStyle name="Comma 2 2 7" xfId="163"/>
    <cellStyle name="Comma 2 2 7 2" xfId="2768"/>
    <cellStyle name="Comma 2 2 70" xfId="1489"/>
    <cellStyle name="Comma 2 2 70 2" xfId="3560"/>
    <cellStyle name="Comma 2 2 71" xfId="1502"/>
    <cellStyle name="Comma 2 2 71 2" xfId="3573"/>
    <cellStyle name="Comma 2 2 72" xfId="1515"/>
    <cellStyle name="Comma 2 2 72 2" xfId="3586"/>
    <cellStyle name="Comma 2 2 73" xfId="1525"/>
    <cellStyle name="Comma 2 2 73 2" xfId="3596"/>
    <cellStyle name="Comma 2 2 74" xfId="1538"/>
    <cellStyle name="Comma 2 2 74 2" xfId="3609"/>
    <cellStyle name="Comma 2 2 75" xfId="1548"/>
    <cellStyle name="Comma 2 2 75 2" xfId="3619"/>
    <cellStyle name="Comma 2 2 76" xfId="1562"/>
    <cellStyle name="Comma 2 2 76 2" xfId="3633"/>
    <cellStyle name="Comma 2 2 77" xfId="1575"/>
    <cellStyle name="Comma 2 2 77 2" xfId="3646"/>
    <cellStyle name="Comma 2 2 78" xfId="1586"/>
    <cellStyle name="Comma 2 2 78 2" xfId="3657"/>
    <cellStyle name="Comma 2 2 79" xfId="1600"/>
    <cellStyle name="Comma 2 2 79 2" xfId="3671"/>
    <cellStyle name="Comma 2 2 8" xfId="177"/>
    <cellStyle name="Comma 2 2 8 2" xfId="2782"/>
    <cellStyle name="Comma 2 2 80" xfId="1615"/>
    <cellStyle name="Comma 2 2 80 2" xfId="3686"/>
    <cellStyle name="Comma 2 2 81" xfId="1627"/>
    <cellStyle name="Comma 2 2 81 2" xfId="3698"/>
    <cellStyle name="Comma 2 2 82" xfId="1640"/>
    <cellStyle name="Comma 2 2 82 2" xfId="3711"/>
    <cellStyle name="Comma 2 2 83" xfId="1652"/>
    <cellStyle name="Comma 2 2 83 2" xfId="3723"/>
    <cellStyle name="Comma 2 2 84" xfId="1664"/>
    <cellStyle name="Comma 2 2 84 2" xfId="3735"/>
    <cellStyle name="Comma 2 2 85" xfId="1676"/>
    <cellStyle name="Comma 2 2 85 2" xfId="3747"/>
    <cellStyle name="Comma 2 2 86" xfId="1690"/>
    <cellStyle name="Comma 2 2 86 2" xfId="3761"/>
    <cellStyle name="Comma 2 2 87" xfId="1702"/>
    <cellStyle name="Comma 2 2 87 2" xfId="3773"/>
    <cellStyle name="Comma 2 2 88" xfId="1715"/>
    <cellStyle name="Comma 2 2 88 2" xfId="3786"/>
    <cellStyle name="Comma 2 2 89" xfId="1727"/>
    <cellStyle name="Comma 2 2 89 2" xfId="3798"/>
    <cellStyle name="Comma 2 2 9" xfId="193"/>
    <cellStyle name="Comma 2 2 9 2" xfId="2798"/>
    <cellStyle name="Comma 2 2 90" xfId="1733"/>
    <cellStyle name="Comma 2 2 90 2" xfId="3804"/>
    <cellStyle name="Comma 2 2 91" xfId="1752"/>
    <cellStyle name="Comma 2 2 91 2" xfId="3823"/>
    <cellStyle name="Comma 2 2 92" xfId="1764"/>
    <cellStyle name="Comma 2 2 92 2" xfId="3835"/>
    <cellStyle name="Comma 2 2 93" xfId="1776"/>
    <cellStyle name="Comma 2 2 93 2" xfId="3847"/>
    <cellStyle name="Comma 2 2 94" xfId="1788"/>
    <cellStyle name="Comma 2 2 94 2" xfId="3859"/>
    <cellStyle name="Comma 2 2 95" xfId="1799"/>
    <cellStyle name="Comma 2 2 95 2" xfId="3870"/>
    <cellStyle name="Comma 2 2 96" xfId="1812"/>
    <cellStyle name="Comma 2 2 96 2" xfId="3883"/>
    <cellStyle name="Comma 2 2 97" xfId="1823"/>
    <cellStyle name="Comma 2 2 97 2" xfId="3894"/>
    <cellStyle name="Comma 2 2 98" xfId="1838"/>
    <cellStyle name="Comma 2 2 98 2" xfId="3909"/>
    <cellStyle name="Comma 2 2 99" xfId="1854"/>
    <cellStyle name="Comma 2 2 99 2" xfId="3925"/>
    <cellStyle name="Comma 2 20" xfId="339"/>
    <cellStyle name="Comma 2 20 2" xfId="2928"/>
    <cellStyle name="Comma 2 21" xfId="335"/>
    <cellStyle name="Comma 2 21 2" xfId="2924"/>
    <cellStyle name="Comma 2 22" xfId="342"/>
    <cellStyle name="Comma 2 22 2" xfId="2931"/>
    <cellStyle name="Comma 2 23" xfId="327"/>
    <cellStyle name="Comma 2 23 2" xfId="2919"/>
    <cellStyle name="Comma 2 24" xfId="336"/>
    <cellStyle name="Comma 2 24 2" xfId="2925"/>
    <cellStyle name="Comma 2 25" xfId="377"/>
    <cellStyle name="Comma 2 25 2" xfId="2953"/>
    <cellStyle name="Comma 2 26" xfId="347"/>
    <cellStyle name="Comma 2 26 2" xfId="2936"/>
    <cellStyle name="Comma 2 27" xfId="424"/>
    <cellStyle name="Comma 2 27 2" xfId="2972"/>
    <cellStyle name="Comma 2 28" xfId="537"/>
    <cellStyle name="Comma 2 28 2" xfId="3024"/>
    <cellStyle name="Comma 2 29" xfId="536"/>
    <cellStyle name="Comma 2 29 2" xfId="3023"/>
    <cellStyle name="Comma 2 3" xfId="99"/>
    <cellStyle name="Comma 2 3 2" xfId="2546"/>
    <cellStyle name="Comma 2 3 2 2" xfId="4123"/>
    <cellStyle name="Comma 2 3 3" xfId="2703"/>
    <cellStyle name="Comma 2 30" xfId="540"/>
    <cellStyle name="Comma 2 30 2" xfId="3027"/>
    <cellStyle name="Comma 2 31" xfId="533"/>
    <cellStyle name="Comma 2 31 2" xfId="3020"/>
    <cellStyle name="Comma 2 32" xfId="546"/>
    <cellStyle name="Comma 2 32 2" xfId="3033"/>
    <cellStyle name="Comma 2 33" xfId="571"/>
    <cellStyle name="Comma 2 33 2" xfId="3045"/>
    <cellStyle name="Comma 2 34" xfId="691"/>
    <cellStyle name="Comma 2 34 2" xfId="3100"/>
    <cellStyle name="Comma 2 35" xfId="687"/>
    <cellStyle name="Comma 2 35 2" xfId="3096"/>
    <cellStyle name="Comma 2 36" xfId="694"/>
    <cellStyle name="Comma 2 36 2" xfId="3103"/>
    <cellStyle name="Comma 2 37" xfId="684"/>
    <cellStyle name="Comma 2 37 2" xfId="3093"/>
    <cellStyle name="Comma 2 38" xfId="700"/>
    <cellStyle name="Comma 2 38 2" xfId="3109"/>
    <cellStyle name="Comma 2 39" xfId="726"/>
    <cellStyle name="Comma 2 39 2" xfId="3122"/>
    <cellStyle name="Comma 2 4" xfId="112"/>
    <cellStyle name="Comma 2 4 2" xfId="2547"/>
    <cellStyle name="Comma 2 4 2 2" xfId="4124"/>
    <cellStyle name="Comma 2 4 3" xfId="2717"/>
    <cellStyle name="Comma 2 40" xfId="751"/>
    <cellStyle name="Comma 2 40 2" xfId="3134"/>
    <cellStyle name="Comma 2 41" xfId="776"/>
    <cellStyle name="Comma 2 41 2" xfId="3146"/>
    <cellStyle name="Comma 2 42" xfId="802"/>
    <cellStyle name="Comma 2 42 2" xfId="3159"/>
    <cellStyle name="Comma 2 43" xfId="827"/>
    <cellStyle name="Comma 2 43 2" xfId="3171"/>
    <cellStyle name="Comma 2 44" xfId="852"/>
    <cellStyle name="Comma 2 44 2" xfId="3183"/>
    <cellStyle name="Comma 2 45" xfId="925"/>
    <cellStyle name="Comma 2 45 2" xfId="3217"/>
    <cellStyle name="Comma 2 46" xfId="688"/>
    <cellStyle name="Comma 2 46 2" xfId="3097"/>
    <cellStyle name="Comma 2 47" xfId="928"/>
    <cellStyle name="Comma 2 47 2" xfId="3220"/>
    <cellStyle name="Comma 2 48" xfId="899"/>
    <cellStyle name="Comma 2 48 2" xfId="3204"/>
    <cellStyle name="Comma 2 49" xfId="975"/>
    <cellStyle name="Comma 2 49 2" xfId="3241"/>
    <cellStyle name="Comma 2 5" xfId="127"/>
    <cellStyle name="Comma 2 5 2" xfId="2548"/>
    <cellStyle name="Comma 2 5 2 2" xfId="4125"/>
    <cellStyle name="Comma 2 5 3" xfId="2732"/>
    <cellStyle name="Comma 2 50" xfId="1000"/>
    <cellStyle name="Comma 2 50 2" xfId="3253"/>
    <cellStyle name="Comma 2 51" xfId="1025"/>
    <cellStyle name="Comma 2 51 2" xfId="3265"/>
    <cellStyle name="Comma 2 52" xfId="1145"/>
    <cellStyle name="Comma 2 52 2" xfId="3321"/>
    <cellStyle name="Comma 2 53" xfId="1144"/>
    <cellStyle name="Comma 2 53 2" xfId="3320"/>
    <cellStyle name="Comma 2 54" xfId="1148"/>
    <cellStyle name="Comma 2 54 2" xfId="3324"/>
    <cellStyle name="Comma 2 55" xfId="1141"/>
    <cellStyle name="Comma 2 55 2" xfId="3317"/>
    <cellStyle name="Comma 2 56" xfId="1152"/>
    <cellStyle name="Comma 2 56 2" xfId="3328"/>
    <cellStyle name="Comma 2 57" xfId="1137"/>
    <cellStyle name="Comma 2 57 2" xfId="3313"/>
    <cellStyle name="Comma 2 58" xfId="1158"/>
    <cellStyle name="Comma 2 58 2" xfId="3334"/>
    <cellStyle name="Comma 2 59" xfId="1184"/>
    <cellStyle name="Comma 2 59 2" xfId="3347"/>
    <cellStyle name="Comma 2 6" xfId="140"/>
    <cellStyle name="Comma 2 6 2" xfId="2745"/>
    <cellStyle name="Comma 2 60" xfId="1210"/>
    <cellStyle name="Comma 2 60 2" xfId="3360"/>
    <cellStyle name="Comma 2 61" xfId="1356"/>
    <cellStyle name="Comma 2 61 2" xfId="3427"/>
    <cellStyle name="Comma 2 62" xfId="1372"/>
    <cellStyle name="Comma 2 62 2" xfId="3443"/>
    <cellStyle name="Comma 2 63" xfId="1385"/>
    <cellStyle name="Comma 2 63 2" xfId="3456"/>
    <cellStyle name="Comma 2 64" xfId="1396"/>
    <cellStyle name="Comma 2 64 2" xfId="3467"/>
    <cellStyle name="Comma 2 65" xfId="1404"/>
    <cellStyle name="Comma 2 65 2" xfId="3475"/>
    <cellStyle name="Comma 2 66" xfId="1416"/>
    <cellStyle name="Comma 2 66 2" xfId="3487"/>
    <cellStyle name="Comma 2 67" xfId="1433"/>
    <cellStyle name="Comma 2 67 2" xfId="3504"/>
    <cellStyle name="Comma 2 68" xfId="1448"/>
    <cellStyle name="Comma 2 68 2" xfId="3519"/>
    <cellStyle name="Comma 2 69" xfId="1459"/>
    <cellStyle name="Comma 2 69 2" xfId="3530"/>
    <cellStyle name="Comma 2 7" xfId="134"/>
    <cellStyle name="Comma 2 7 2" xfId="2739"/>
    <cellStyle name="Comma 2 70" xfId="1472"/>
    <cellStyle name="Comma 2 70 2" xfId="3543"/>
    <cellStyle name="Comma 2 71" xfId="1490"/>
    <cellStyle name="Comma 2 71 2" xfId="3561"/>
    <cellStyle name="Comma 2 72" xfId="1503"/>
    <cellStyle name="Comma 2 72 2" xfId="3574"/>
    <cellStyle name="Comma 2 73" xfId="1516"/>
    <cellStyle name="Comma 2 73 2" xfId="3587"/>
    <cellStyle name="Comma 2 74" xfId="1526"/>
    <cellStyle name="Comma 2 74 2" xfId="3597"/>
    <cellStyle name="Comma 2 75" xfId="1539"/>
    <cellStyle name="Comma 2 75 2" xfId="3610"/>
    <cellStyle name="Comma 2 76" xfId="1549"/>
    <cellStyle name="Comma 2 76 2" xfId="3620"/>
    <cellStyle name="Comma 2 77" xfId="1561"/>
    <cellStyle name="Comma 2 77 2" xfId="3632"/>
    <cellStyle name="Comma 2 78" xfId="1576"/>
    <cellStyle name="Comma 2 78 2" xfId="3647"/>
    <cellStyle name="Comma 2 79" xfId="1587"/>
    <cellStyle name="Comma 2 79 2" xfId="3658"/>
    <cellStyle name="Comma 2 8" xfId="164"/>
    <cellStyle name="Comma 2 8 2" xfId="2769"/>
    <cellStyle name="Comma 2 80" xfId="1599"/>
    <cellStyle name="Comma 2 80 2" xfId="3670"/>
    <cellStyle name="Comma 2 81" xfId="1616"/>
    <cellStyle name="Comma 2 81 2" xfId="3687"/>
    <cellStyle name="Comma 2 82" xfId="1628"/>
    <cellStyle name="Comma 2 82 2" xfId="3699"/>
    <cellStyle name="Comma 2 83" xfId="1641"/>
    <cellStyle name="Comma 2 83 2" xfId="3712"/>
    <cellStyle name="Comma 2 84" xfId="1653"/>
    <cellStyle name="Comma 2 84 2" xfId="3724"/>
    <cellStyle name="Comma 2 85" xfId="1665"/>
    <cellStyle name="Comma 2 85 2" xfId="3736"/>
    <cellStyle name="Comma 2 86" xfId="1677"/>
    <cellStyle name="Comma 2 86 2" xfId="3748"/>
    <cellStyle name="Comma 2 87" xfId="1691"/>
    <cellStyle name="Comma 2 87 2" xfId="3762"/>
    <cellStyle name="Comma 2 88" xfId="1703"/>
    <cellStyle name="Comma 2 88 2" xfId="3774"/>
    <cellStyle name="Comma 2 89" xfId="1716"/>
    <cellStyle name="Comma 2 89 2" xfId="3787"/>
    <cellStyle name="Comma 2 9" xfId="176"/>
    <cellStyle name="Comma 2 9 2" xfId="2781"/>
    <cellStyle name="Comma 2 90" xfId="1728"/>
    <cellStyle name="Comma 2 90 2" xfId="3799"/>
    <cellStyle name="Comma 2 91" xfId="1734"/>
    <cellStyle name="Comma 2 91 2" xfId="3805"/>
    <cellStyle name="Comma 2 92" xfId="1753"/>
    <cellStyle name="Comma 2 92 2" xfId="3824"/>
    <cellStyle name="Comma 2 93" xfId="1765"/>
    <cellStyle name="Comma 2 93 2" xfId="3836"/>
    <cellStyle name="Comma 2 94" xfId="1777"/>
    <cellStyle name="Comma 2 94 2" xfId="3848"/>
    <cellStyle name="Comma 2 95" xfId="1789"/>
    <cellStyle name="Comma 2 95 2" xfId="3860"/>
    <cellStyle name="Comma 2 96" xfId="1800"/>
    <cellStyle name="Comma 2 96 2" xfId="3871"/>
    <cellStyle name="Comma 2 97" xfId="1811"/>
    <cellStyle name="Comma 2 97 2" xfId="3882"/>
    <cellStyle name="Comma 2 98" xfId="1824"/>
    <cellStyle name="Comma 2 98 2" xfId="3895"/>
    <cellStyle name="Comma 2 99" xfId="1837"/>
    <cellStyle name="Comma 2 99 2" xfId="3908"/>
    <cellStyle name="Comma 26" xfId="81"/>
    <cellStyle name="Comma 26 2" xfId="2683"/>
    <cellStyle name="Comma 3" xfId="87"/>
    <cellStyle name="Comma 3 10" xfId="203"/>
    <cellStyle name="Comma 3 10 2" xfId="2808"/>
    <cellStyle name="Comma 3 100" xfId="1866"/>
    <cellStyle name="Comma 3 100 2" xfId="3937"/>
    <cellStyle name="Comma 3 101" xfId="1879"/>
    <cellStyle name="Comma 3 101 2" xfId="3950"/>
    <cellStyle name="Comma 3 102" xfId="1892"/>
    <cellStyle name="Comma 3 102 2" xfId="3963"/>
    <cellStyle name="Comma 3 103" xfId="1905"/>
    <cellStyle name="Comma 3 103 2" xfId="3976"/>
    <cellStyle name="Comma 3 104" xfId="1918"/>
    <cellStyle name="Comma 3 104 2" xfId="3989"/>
    <cellStyle name="Comma 3 105" xfId="1931"/>
    <cellStyle name="Comma 3 105 2" xfId="4002"/>
    <cellStyle name="Comma 3 106" xfId="1942"/>
    <cellStyle name="Comma 3 106 2" xfId="4013"/>
    <cellStyle name="Comma 3 107" xfId="1914"/>
    <cellStyle name="Comma 3 107 2" xfId="3985"/>
    <cellStyle name="Comma 3 108" xfId="1966"/>
    <cellStyle name="Comma 3 108 2" xfId="4037"/>
    <cellStyle name="Comma 3 109" xfId="1978"/>
    <cellStyle name="Comma 3 109 2" xfId="4049"/>
    <cellStyle name="Comma 3 11" xfId="214"/>
    <cellStyle name="Comma 3 11 2" xfId="2819"/>
    <cellStyle name="Comma 3 110" xfId="1989"/>
    <cellStyle name="Comma 3 110 2" xfId="4060"/>
    <cellStyle name="Comma 3 111" xfId="2005"/>
    <cellStyle name="Comma 3 111 2" xfId="4076"/>
    <cellStyle name="Comma 3 112" xfId="2017"/>
    <cellStyle name="Comma 3 112 2" xfId="4088"/>
    <cellStyle name="Comma 3 113" xfId="2028"/>
    <cellStyle name="Comma 3 113 2" xfId="4099"/>
    <cellStyle name="Comma 3 114" xfId="2039"/>
    <cellStyle name="Comma 3 114 2" xfId="4110"/>
    <cellStyle name="Comma 3 115" xfId="2690"/>
    <cellStyle name="Comma 3 12" xfId="227"/>
    <cellStyle name="Comma 3 12 2" xfId="2832"/>
    <cellStyle name="Comma 3 13" xfId="238"/>
    <cellStyle name="Comma 3 13 2" xfId="2843"/>
    <cellStyle name="Comma 3 14" xfId="250"/>
    <cellStyle name="Comma 3 14 2" xfId="2855"/>
    <cellStyle name="Comma 3 15" xfId="276"/>
    <cellStyle name="Comma 3 15 2" xfId="2881"/>
    <cellStyle name="Comma 3 16" xfId="268"/>
    <cellStyle name="Comma 3 16 2" xfId="2873"/>
    <cellStyle name="Comma 3 17" xfId="281"/>
    <cellStyle name="Comma 3 17 2" xfId="2886"/>
    <cellStyle name="Comma 3 18" xfId="271"/>
    <cellStyle name="Comma 3 18 2" xfId="2876"/>
    <cellStyle name="Comma 3 19" xfId="341"/>
    <cellStyle name="Comma 3 19 2" xfId="2930"/>
    <cellStyle name="Comma 3 2" xfId="101"/>
    <cellStyle name="Comma 3 2 2" xfId="2549"/>
    <cellStyle name="Comma 3 2 2 2" xfId="4126"/>
    <cellStyle name="Comma 3 2 3" xfId="2705"/>
    <cellStyle name="Comma 3 20" xfId="333"/>
    <cellStyle name="Comma 3 20 2" xfId="2922"/>
    <cellStyle name="Comma 3 21" xfId="344"/>
    <cellStyle name="Comma 3 21 2" xfId="2933"/>
    <cellStyle name="Comma 3 22" xfId="376"/>
    <cellStyle name="Comma 3 22 2" xfId="2952"/>
    <cellStyle name="Comma 3 23" xfId="338"/>
    <cellStyle name="Comma 3 23 2" xfId="2927"/>
    <cellStyle name="Comma 3 24" xfId="380"/>
    <cellStyle name="Comma 3 24 2" xfId="2956"/>
    <cellStyle name="Comma 3 25" xfId="353"/>
    <cellStyle name="Comma 3 25 2" xfId="2942"/>
    <cellStyle name="Comma 3 26" xfId="427"/>
    <cellStyle name="Comma 3 26 2" xfId="2975"/>
    <cellStyle name="Comma 3 27" xfId="539"/>
    <cellStyle name="Comma 3 27 2" xfId="3026"/>
    <cellStyle name="Comma 3 28" xfId="534"/>
    <cellStyle name="Comma 3 28 2" xfId="3021"/>
    <cellStyle name="Comma 3 29" xfId="543"/>
    <cellStyle name="Comma 3 29 2" xfId="3030"/>
    <cellStyle name="Comma 3 3" xfId="114"/>
    <cellStyle name="Comma 3 3 2" xfId="2550"/>
    <cellStyle name="Comma 3 3 2 2" xfId="4127"/>
    <cellStyle name="Comma 3 3 3" xfId="2719"/>
    <cellStyle name="Comma 3 30" xfId="530"/>
    <cellStyle name="Comma 3 30 2" xfId="3017"/>
    <cellStyle name="Comma 3 31" xfId="549"/>
    <cellStyle name="Comma 3 31 2" xfId="3036"/>
    <cellStyle name="Comma 3 32" xfId="574"/>
    <cellStyle name="Comma 3 32 2" xfId="3048"/>
    <cellStyle name="Comma 3 33" xfId="693"/>
    <cellStyle name="Comma 3 33 2" xfId="3102"/>
    <cellStyle name="Comma 3 34" xfId="685"/>
    <cellStyle name="Comma 3 34 2" xfId="3094"/>
    <cellStyle name="Comma 3 35" xfId="697"/>
    <cellStyle name="Comma 3 35 2" xfId="3106"/>
    <cellStyle name="Comma 3 36" xfId="681"/>
    <cellStyle name="Comma 3 36 2" xfId="3090"/>
    <cellStyle name="Comma 3 37" xfId="703"/>
    <cellStyle name="Comma 3 37 2" xfId="3112"/>
    <cellStyle name="Comma 3 38" xfId="729"/>
    <cellStyle name="Comma 3 38 2" xfId="3125"/>
    <cellStyle name="Comma 3 39" xfId="754"/>
    <cellStyle name="Comma 3 39 2" xfId="3137"/>
    <cellStyle name="Comma 3 4" xfId="122"/>
    <cellStyle name="Comma 3 4 2" xfId="2551"/>
    <cellStyle name="Comma 3 4 2 2" xfId="4128"/>
    <cellStyle name="Comma 3 4 3" xfId="2727"/>
    <cellStyle name="Comma 3 40" xfId="779"/>
    <cellStyle name="Comma 3 40 2" xfId="3149"/>
    <cellStyle name="Comma 3 41" xfId="805"/>
    <cellStyle name="Comma 3 41 2" xfId="3162"/>
    <cellStyle name="Comma 3 42" xfId="830"/>
    <cellStyle name="Comma 3 42 2" xfId="3174"/>
    <cellStyle name="Comma 3 43" xfId="855"/>
    <cellStyle name="Comma 3 43 2" xfId="3186"/>
    <cellStyle name="Comma 3 44" xfId="927"/>
    <cellStyle name="Comma 3 44 2" xfId="3219"/>
    <cellStyle name="Comma 3 45" xfId="690"/>
    <cellStyle name="Comma 3 45 2" xfId="3099"/>
    <cellStyle name="Comma 3 46" xfId="972"/>
    <cellStyle name="Comma 3 46 2" xfId="3238"/>
    <cellStyle name="Comma 3 47" xfId="904"/>
    <cellStyle name="Comma 3 47 2" xfId="3209"/>
    <cellStyle name="Comma 3 48" xfId="978"/>
    <cellStyle name="Comma 3 48 2" xfId="3244"/>
    <cellStyle name="Comma 3 49" xfId="1003"/>
    <cellStyle name="Comma 3 49 2" xfId="3256"/>
    <cellStyle name="Comma 3 5" xfId="138"/>
    <cellStyle name="Comma 3 5 2" xfId="2552"/>
    <cellStyle name="Comma 3 5 2 2" xfId="4129"/>
    <cellStyle name="Comma 3 5 3" xfId="2743"/>
    <cellStyle name="Comma 3 50" xfId="1028"/>
    <cellStyle name="Comma 3 50 2" xfId="3268"/>
    <cellStyle name="Comma 3 51" xfId="1147"/>
    <cellStyle name="Comma 3 51 2" xfId="3323"/>
    <cellStyle name="Comma 3 52" xfId="1142"/>
    <cellStyle name="Comma 3 52 2" xfId="3318"/>
    <cellStyle name="Comma 3 53" xfId="1150"/>
    <cellStyle name="Comma 3 53 2" xfId="3326"/>
    <cellStyle name="Comma 3 54" xfId="1139"/>
    <cellStyle name="Comma 3 54 2" xfId="3315"/>
    <cellStyle name="Comma 3 55" xfId="1156"/>
    <cellStyle name="Comma 3 55 2" xfId="3332"/>
    <cellStyle name="Comma 3 56" xfId="1133"/>
    <cellStyle name="Comma 3 56 2" xfId="3309"/>
    <cellStyle name="Comma 3 57" xfId="1162"/>
    <cellStyle name="Comma 3 57 2" xfId="3338"/>
    <cellStyle name="Comma 3 58" xfId="1188"/>
    <cellStyle name="Comma 3 58 2" xfId="3351"/>
    <cellStyle name="Comma 3 59" xfId="1214"/>
    <cellStyle name="Comma 3 59 2" xfId="3364"/>
    <cellStyle name="Comma 3 6" xfId="152"/>
    <cellStyle name="Comma 3 6 2" xfId="2757"/>
    <cellStyle name="Comma 3 60" xfId="1358"/>
    <cellStyle name="Comma 3 60 2" xfId="3429"/>
    <cellStyle name="Comma 3 61" xfId="1370"/>
    <cellStyle name="Comma 3 61 2" xfId="3441"/>
    <cellStyle name="Comma 3 62" xfId="1383"/>
    <cellStyle name="Comma 3 62 2" xfId="3454"/>
    <cellStyle name="Comma 3 63" xfId="1391"/>
    <cellStyle name="Comma 3 63 2" xfId="3462"/>
    <cellStyle name="Comma 3 64" xfId="1379"/>
    <cellStyle name="Comma 3 64 2" xfId="3450"/>
    <cellStyle name="Comma 3 65" xfId="1413"/>
    <cellStyle name="Comma 3 65 2" xfId="3484"/>
    <cellStyle name="Comma 3 66" xfId="1435"/>
    <cellStyle name="Comma 3 66 2" xfId="3506"/>
    <cellStyle name="Comma 3 67" xfId="1446"/>
    <cellStyle name="Comma 3 67 2" xfId="3517"/>
    <cellStyle name="Comma 3 68" xfId="1457"/>
    <cellStyle name="Comma 3 68 2" xfId="3528"/>
    <cellStyle name="Comma 3 69" xfId="1474"/>
    <cellStyle name="Comma 3 69 2" xfId="3545"/>
    <cellStyle name="Comma 3 7" xfId="162"/>
    <cellStyle name="Comma 3 7 2" xfId="2767"/>
    <cellStyle name="Comma 3 70" xfId="1488"/>
    <cellStyle name="Comma 3 70 2" xfId="3559"/>
    <cellStyle name="Comma 3 71" xfId="1501"/>
    <cellStyle name="Comma 3 71 2" xfId="3572"/>
    <cellStyle name="Comma 3 72" xfId="1514"/>
    <cellStyle name="Comma 3 72 2" xfId="3585"/>
    <cellStyle name="Comma 3 73" xfId="1521"/>
    <cellStyle name="Comma 3 73 2" xfId="3592"/>
    <cellStyle name="Comma 3 74" xfId="1537"/>
    <cellStyle name="Comma 3 74 2" xfId="3608"/>
    <cellStyle name="Comma 3 75" xfId="1547"/>
    <cellStyle name="Comma 3 75 2" xfId="3618"/>
    <cellStyle name="Comma 3 76" xfId="1563"/>
    <cellStyle name="Comma 3 76 2" xfId="3634"/>
    <cellStyle name="Comma 3 77" xfId="1574"/>
    <cellStyle name="Comma 3 77 2" xfId="3645"/>
    <cellStyle name="Comma 3 78" xfId="1585"/>
    <cellStyle name="Comma 3 78 2" xfId="3656"/>
    <cellStyle name="Comma 3 79" xfId="1601"/>
    <cellStyle name="Comma 3 79 2" xfId="3672"/>
    <cellStyle name="Comma 3 8" xfId="178"/>
    <cellStyle name="Comma 3 8 2" xfId="2783"/>
    <cellStyle name="Comma 3 80" xfId="1614"/>
    <cellStyle name="Comma 3 80 2" xfId="3685"/>
    <cellStyle name="Comma 3 81" xfId="1626"/>
    <cellStyle name="Comma 3 81 2" xfId="3697"/>
    <cellStyle name="Comma 3 82" xfId="1639"/>
    <cellStyle name="Comma 3 82 2" xfId="3710"/>
    <cellStyle name="Comma 3 83" xfId="1651"/>
    <cellStyle name="Comma 3 83 2" xfId="3722"/>
    <cellStyle name="Comma 3 84" xfId="1663"/>
    <cellStyle name="Comma 3 84 2" xfId="3734"/>
    <cellStyle name="Comma 3 85" xfId="1675"/>
    <cellStyle name="Comma 3 85 2" xfId="3746"/>
    <cellStyle name="Comma 3 86" xfId="1689"/>
    <cellStyle name="Comma 3 86 2" xfId="3760"/>
    <cellStyle name="Comma 3 87" xfId="1701"/>
    <cellStyle name="Comma 3 87 2" xfId="3772"/>
    <cellStyle name="Comma 3 88" xfId="1714"/>
    <cellStyle name="Comma 3 88 2" xfId="3785"/>
    <cellStyle name="Comma 3 89" xfId="1726"/>
    <cellStyle name="Comma 3 89 2" xfId="3797"/>
    <cellStyle name="Comma 3 9" xfId="192"/>
    <cellStyle name="Comma 3 9 2" xfId="2797"/>
    <cellStyle name="Comma 3 90" xfId="1710"/>
    <cellStyle name="Comma 3 90 2" xfId="3781"/>
    <cellStyle name="Comma 3 91" xfId="1751"/>
    <cellStyle name="Comma 3 91 2" xfId="3822"/>
    <cellStyle name="Comma 3 92" xfId="1763"/>
    <cellStyle name="Comma 3 92 2" xfId="3834"/>
    <cellStyle name="Comma 3 93" xfId="1775"/>
    <cellStyle name="Comma 3 93 2" xfId="3846"/>
    <cellStyle name="Comma 3 94" xfId="1787"/>
    <cellStyle name="Comma 3 94 2" xfId="3858"/>
    <cellStyle name="Comma 3 95" xfId="1798"/>
    <cellStyle name="Comma 3 95 2" xfId="3869"/>
    <cellStyle name="Comma 3 96" xfId="1813"/>
    <cellStyle name="Comma 3 96 2" xfId="3884"/>
    <cellStyle name="Comma 3 97" xfId="1822"/>
    <cellStyle name="Comma 3 97 2" xfId="3893"/>
    <cellStyle name="Comma 3 98" xfId="1839"/>
    <cellStyle name="Comma 3 98 2" xfId="3910"/>
    <cellStyle name="Comma 3 99" xfId="1853"/>
    <cellStyle name="Comma 3 99 2" xfId="3924"/>
    <cellStyle name="Comma 4" xfId="102"/>
    <cellStyle name="Comma 4 2" xfId="117"/>
    <cellStyle name="Comma 4 2 2" xfId="2553"/>
    <cellStyle name="Comma 4 2 2 2" xfId="4130"/>
    <cellStyle name="Comma 4 2 3" xfId="2722"/>
    <cellStyle name="Comma 4 3" xfId="2554"/>
    <cellStyle name="Comma 4 3 2" xfId="2555"/>
    <cellStyle name="Comma 4 3 2 2" xfId="4132"/>
    <cellStyle name="Comma 4 3 3" xfId="4131"/>
    <cellStyle name="Comma 4 4" xfId="2556"/>
    <cellStyle name="Comma 4 4 2" xfId="2557"/>
    <cellStyle name="Comma 4 4 2 2" xfId="4134"/>
    <cellStyle name="Comma 4 4 3" xfId="4133"/>
    <cellStyle name="Comma 4 5" xfId="2558"/>
    <cellStyle name="Comma 4 5 2" xfId="2559"/>
    <cellStyle name="Comma 4 5 2 2" xfId="4136"/>
    <cellStyle name="Comma 4 5 3" xfId="4135"/>
    <cellStyle name="Comma 4 6" xfId="2560"/>
    <cellStyle name="Comma 4 6 2" xfId="4137"/>
    <cellStyle name="Comma 4 7" xfId="2706"/>
    <cellStyle name="Comma 5" xfId="90"/>
    <cellStyle name="Comma 5 10" xfId="181"/>
    <cellStyle name="Comma 5 10 2" xfId="2786"/>
    <cellStyle name="Comma 5 100" xfId="1842"/>
    <cellStyle name="Comma 5 100 2" xfId="3913"/>
    <cellStyle name="Comma 5 101" xfId="1846"/>
    <cellStyle name="Comma 5 101 2" xfId="3917"/>
    <cellStyle name="Comma 5 102" xfId="1840"/>
    <cellStyle name="Comma 5 102 2" xfId="3911"/>
    <cellStyle name="Comma 5 103" xfId="1849"/>
    <cellStyle name="Comma 5 103 2" xfId="3920"/>
    <cellStyle name="Comma 5 104" xfId="1862"/>
    <cellStyle name="Comma 5 104 2" xfId="3933"/>
    <cellStyle name="Comma 5 105" xfId="1875"/>
    <cellStyle name="Comma 5 105 2" xfId="3946"/>
    <cellStyle name="Comma 5 106" xfId="1888"/>
    <cellStyle name="Comma 5 106 2" xfId="3959"/>
    <cellStyle name="Comma 5 107" xfId="1957"/>
    <cellStyle name="Comma 5 107 2" xfId="4028"/>
    <cellStyle name="Comma 5 108" xfId="1958"/>
    <cellStyle name="Comma 5 108 2" xfId="4029"/>
    <cellStyle name="Comma 5 109" xfId="1946"/>
    <cellStyle name="Comma 5 109 2" xfId="4017"/>
    <cellStyle name="Comma 5 11" xfId="185"/>
    <cellStyle name="Comma 5 11 2" xfId="2790"/>
    <cellStyle name="Comma 5 110" xfId="1960"/>
    <cellStyle name="Comma 5 110 2" xfId="4031"/>
    <cellStyle name="Comma 5 111" xfId="2008"/>
    <cellStyle name="Comma 5 111 2" xfId="4079"/>
    <cellStyle name="Comma 5 112" xfId="2009"/>
    <cellStyle name="Comma 5 112 2" xfId="4080"/>
    <cellStyle name="Comma 5 113" xfId="2007"/>
    <cellStyle name="Comma 5 113 2" xfId="4078"/>
    <cellStyle name="Comma 5 114" xfId="2011"/>
    <cellStyle name="Comma 5 114 2" xfId="4082"/>
    <cellStyle name="Comma 5 115" xfId="2694"/>
    <cellStyle name="Comma 5 12" xfId="179"/>
    <cellStyle name="Comma 5 12 2" xfId="2784"/>
    <cellStyle name="Comma 5 13" xfId="188"/>
    <cellStyle name="Comma 5 13 2" xfId="2793"/>
    <cellStyle name="Comma 5 14" xfId="197"/>
    <cellStyle name="Comma 5 14 2" xfId="2802"/>
    <cellStyle name="Comma 5 15" xfId="278"/>
    <cellStyle name="Comma 5 15 2" xfId="2883"/>
    <cellStyle name="Comma 5 16" xfId="267"/>
    <cellStyle name="Comma 5 16 2" xfId="2872"/>
    <cellStyle name="Comma 5 17" xfId="283"/>
    <cellStyle name="Comma 5 17 2" xfId="2888"/>
    <cellStyle name="Comma 5 18" xfId="266"/>
    <cellStyle name="Comma 5 18 2" xfId="2871"/>
    <cellStyle name="Comma 5 19" xfId="345"/>
    <cellStyle name="Comma 5 19 2" xfId="2934"/>
    <cellStyle name="Comma 5 2" xfId="103"/>
    <cellStyle name="Comma 5 2 2" xfId="2561"/>
    <cellStyle name="Comma 5 2 2 2" xfId="4138"/>
    <cellStyle name="Comma 5 2 3" xfId="2707"/>
    <cellStyle name="Comma 5 20" xfId="329"/>
    <cellStyle name="Comma 5 20 2" xfId="2921"/>
    <cellStyle name="Comma 5 21" xfId="350"/>
    <cellStyle name="Comma 5 21 2" xfId="2939"/>
    <cellStyle name="Comma 5 22" xfId="379"/>
    <cellStyle name="Comma 5 22 2" xfId="2955"/>
    <cellStyle name="Comma 5 23" xfId="351"/>
    <cellStyle name="Comma 5 23 2" xfId="2940"/>
    <cellStyle name="Comma 5 24" xfId="426"/>
    <cellStyle name="Comma 5 24 2" xfId="2974"/>
    <cellStyle name="Comma 5 25" xfId="452"/>
    <cellStyle name="Comma 5 25 2" xfId="2984"/>
    <cellStyle name="Comma 5 26" xfId="476"/>
    <cellStyle name="Comma 5 26 2" xfId="2993"/>
    <cellStyle name="Comma 5 27" xfId="542"/>
    <cellStyle name="Comma 5 27 2" xfId="3029"/>
    <cellStyle name="Comma 5 28" xfId="531"/>
    <cellStyle name="Comma 5 28 2" xfId="3018"/>
    <cellStyle name="Comma 5 29" xfId="548"/>
    <cellStyle name="Comma 5 29 2" xfId="3035"/>
    <cellStyle name="Comma 5 3" xfId="118"/>
    <cellStyle name="Comma 5 3 2" xfId="2562"/>
    <cellStyle name="Comma 5 3 2 2" xfId="4139"/>
    <cellStyle name="Comma 5 3 3" xfId="2723"/>
    <cellStyle name="Comma 5 30" xfId="573"/>
    <cellStyle name="Comma 5 30 2" xfId="3047"/>
    <cellStyle name="Comma 5 31" xfId="596"/>
    <cellStyle name="Comma 5 31 2" xfId="3057"/>
    <cellStyle name="Comma 5 32" xfId="618"/>
    <cellStyle name="Comma 5 32 2" xfId="3066"/>
    <cellStyle name="Comma 5 33" xfId="696"/>
    <cellStyle name="Comma 5 33 2" xfId="3105"/>
    <cellStyle name="Comma 5 34" xfId="682"/>
    <cellStyle name="Comma 5 34 2" xfId="3091"/>
    <cellStyle name="Comma 5 35" xfId="702"/>
    <cellStyle name="Comma 5 35 2" xfId="3111"/>
    <cellStyle name="Comma 5 36" xfId="728"/>
    <cellStyle name="Comma 5 36 2" xfId="3124"/>
    <cellStyle name="Comma 5 37" xfId="753"/>
    <cellStyle name="Comma 5 37 2" xfId="3136"/>
    <cellStyle name="Comma 5 38" xfId="778"/>
    <cellStyle name="Comma 5 38 2" xfId="3148"/>
    <cellStyle name="Comma 5 39" xfId="804"/>
    <cellStyle name="Comma 5 39 2" xfId="3161"/>
    <cellStyle name="Comma 5 4" xfId="116"/>
    <cellStyle name="Comma 5 4 2" xfId="2563"/>
    <cellStyle name="Comma 5 4 2 2" xfId="4140"/>
    <cellStyle name="Comma 5 4 3" xfId="2721"/>
    <cellStyle name="Comma 5 40" xfId="829"/>
    <cellStyle name="Comma 5 40 2" xfId="3173"/>
    <cellStyle name="Comma 5 41" xfId="854"/>
    <cellStyle name="Comma 5 41 2" xfId="3185"/>
    <cellStyle name="Comma 5 42" xfId="877"/>
    <cellStyle name="Comma 5 42 2" xfId="3195"/>
    <cellStyle name="Comma 5 43" xfId="901"/>
    <cellStyle name="Comma 5 43 2" xfId="3206"/>
    <cellStyle name="Comma 5 44" xfId="930"/>
    <cellStyle name="Comma 5 44 2" xfId="3222"/>
    <cellStyle name="Comma 5 45" xfId="902"/>
    <cellStyle name="Comma 5 45 2" xfId="3207"/>
    <cellStyle name="Comma 5 46" xfId="977"/>
    <cellStyle name="Comma 5 46 2" xfId="3243"/>
    <cellStyle name="Comma 5 47" xfId="1002"/>
    <cellStyle name="Comma 5 47 2" xfId="3255"/>
    <cellStyle name="Comma 5 48" xfId="1027"/>
    <cellStyle name="Comma 5 48 2" xfId="3267"/>
    <cellStyle name="Comma 5 49" xfId="1050"/>
    <cellStyle name="Comma 5 49 2" xfId="3277"/>
    <cellStyle name="Comma 5 5" xfId="115"/>
    <cellStyle name="Comma 5 5 2" xfId="2564"/>
    <cellStyle name="Comma 5 5 2 2" xfId="4141"/>
    <cellStyle name="Comma 5 5 3" xfId="2720"/>
    <cellStyle name="Comma 5 50" xfId="1073"/>
    <cellStyle name="Comma 5 50 2" xfId="3287"/>
    <cellStyle name="Comma 5 51" xfId="1151"/>
    <cellStyle name="Comma 5 51 2" xfId="3327"/>
    <cellStyle name="Comma 5 52" xfId="1138"/>
    <cellStyle name="Comma 5 52 2" xfId="3314"/>
    <cellStyle name="Comma 5 53" xfId="1157"/>
    <cellStyle name="Comma 5 53 2" xfId="3333"/>
    <cellStyle name="Comma 5 54" xfId="1183"/>
    <cellStyle name="Comma 5 54 2" xfId="3346"/>
    <cellStyle name="Comma 5 55" xfId="1209"/>
    <cellStyle name="Comma 5 55 2" xfId="3359"/>
    <cellStyle name="Comma 5 56" xfId="1235"/>
    <cellStyle name="Comma 5 56 2" xfId="3372"/>
    <cellStyle name="Comma 5 57" xfId="1258"/>
    <cellStyle name="Comma 5 57 2" xfId="3382"/>
    <cellStyle name="Comma 5 58" xfId="1281"/>
    <cellStyle name="Comma 5 58 2" xfId="3392"/>
    <cellStyle name="Comma 5 59" xfId="1304"/>
    <cellStyle name="Comma 5 59 2" xfId="3402"/>
    <cellStyle name="Comma 5 6" xfId="154"/>
    <cellStyle name="Comma 5 6 2" xfId="2759"/>
    <cellStyle name="Comma 5 60" xfId="1362"/>
    <cellStyle name="Comma 5 60 2" xfId="3433"/>
    <cellStyle name="Comma 5 61" xfId="1363"/>
    <cellStyle name="Comma 5 61 2" xfId="3434"/>
    <cellStyle name="Comma 5 62" xfId="1361"/>
    <cellStyle name="Comma 5 62 2" xfId="3432"/>
    <cellStyle name="Comma 5 63" xfId="1378"/>
    <cellStyle name="Comma 5 63 2" xfId="3449"/>
    <cellStyle name="Comma 5 64" xfId="1397"/>
    <cellStyle name="Comma 5 64 2" xfId="3468"/>
    <cellStyle name="Comma 5 65" xfId="1359"/>
    <cellStyle name="Comma 5 65 2" xfId="3430"/>
    <cellStyle name="Comma 5 66" xfId="1438"/>
    <cellStyle name="Comma 5 66 2" xfId="3509"/>
    <cellStyle name="Comma 5 67" xfId="1439"/>
    <cellStyle name="Comma 5 67 2" xfId="3510"/>
    <cellStyle name="Comma 5 68" xfId="1437"/>
    <cellStyle name="Comma 5 68 2" xfId="3508"/>
    <cellStyle name="Comma 5 69" xfId="1478"/>
    <cellStyle name="Comma 5 69 2" xfId="3549"/>
    <cellStyle name="Comma 5 7" xfId="155"/>
    <cellStyle name="Comma 5 7 2" xfId="2760"/>
    <cellStyle name="Comma 5 70" xfId="1479"/>
    <cellStyle name="Comma 5 70 2" xfId="3550"/>
    <cellStyle name="Comma 5 71" xfId="1477"/>
    <cellStyle name="Comma 5 71 2" xfId="3548"/>
    <cellStyle name="Comma 5 72" xfId="1481"/>
    <cellStyle name="Comma 5 72 2" xfId="3552"/>
    <cellStyle name="Comma 5 73" xfId="1484"/>
    <cellStyle name="Comma 5 73 2" xfId="3555"/>
    <cellStyle name="Comma 5 74" xfId="1509"/>
    <cellStyle name="Comma 5 74 2" xfId="3580"/>
    <cellStyle name="Comma 5 75" xfId="1475"/>
    <cellStyle name="Comma 5 75 2" xfId="3546"/>
    <cellStyle name="Comma 5 76" xfId="1566"/>
    <cellStyle name="Comma 5 76 2" xfId="3637"/>
    <cellStyle name="Comma 5 77" xfId="1567"/>
    <cellStyle name="Comma 5 77 2" xfId="3638"/>
    <cellStyle name="Comma 5 78" xfId="1565"/>
    <cellStyle name="Comma 5 78 2" xfId="3636"/>
    <cellStyle name="Comma 5 79" xfId="1605"/>
    <cellStyle name="Comma 5 79 2" xfId="3676"/>
    <cellStyle name="Comma 5 8" xfId="182"/>
    <cellStyle name="Comma 5 8 2" xfId="2787"/>
    <cellStyle name="Comma 5 80" xfId="1606"/>
    <cellStyle name="Comma 5 80 2" xfId="3677"/>
    <cellStyle name="Comma 5 81" xfId="1604"/>
    <cellStyle name="Comma 5 81 2" xfId="3675"/>
    <cellStyle name="Comma 5 82" xfId="1608"/>
    <cellStyle name="Comma 5 82 2" xfId="3679"/>
    <cellStyle name="Comma 5 83" xfId="1602"/>
    <cellStyle name="Comma 5 83 2" xfId="3673"/>
    <cellStyle name="Comma 5 84" xfId="1598"/>
    <cellStyle name="Comma 5 84 2" xfId="3669"/>
    <cellStyle name="Comma 5 85" xfId="1619"/>
    <cellStyle name="Comma 5 85 2" xfId="3690"/>
    <cellStyle name="Comma 5 86" xfId="1631"/>
    <cellStyle name="Comma 5 86 2" xfId="3702"/>
    <cellStyle name="Comma 5 87" xfId="1644"/>
    <cellStyle name="Comma 5 87 2" xfId="3715"/>
    <cellStyle name="Comma 5 88" xfId="1656"/>
    <cellStyle name="Comma 5 88 2" xfId="3727"/>
    <cellStyle name="Comma 5 89" xfId="1668"/>
    <cellStyle name="Comma 5 89 2" xfId="3739"/>
    <cellStyle name="Comma 5 9" xfId="183"/>
    <cellStyle name="Comma 5 9 2" xfId="2788"/>
    <cellStyle name="Comma 5 90" xfId="1722"/>
    <cellStyle name="Comma 5 90 2" xfId="3793"/>
    <cellStyle name="Comma 5 91" xfId="1730"/>
    <cellStyle name="Comma 5 91 2" xfId="3801"/>
    <cellStyle name="Comma 5 92" xfId="1721"/>
    <cellStyle name="Comma 5 92 2" xfId="3792"/>
    <cellStyle name="Comma 5 93" xfId="1744"/>
    <cellStyle name="Comma 5 93 2" xfId="3815"/>
    <cellStyle name="Comma 5 94" xfId="1685"/>
    <cellStyle name="Comma 5 94 2" xfId="3756"/>
    <cellStyle name="Comma 5 95" xfId="1747"/>
    <cellStyle name="Comma 5 95 2" xfId="3818"/>
    <cellStyle name="Comma 5 96" xfId="1815"/>
    <cellStyle name="Comma 5 96 2" xfId="3886"/>
    <cellStyle name="Comma 5 97" xfId="1816"/>
    <cellStyle name="Comma 5 97 2" xfId="3887"/>
    <cellStyle name="Comma 5 98" xfId="1843"/>
    <cellStyle name="Comma 5 98 2" xfId="3914"/>
    <cellStyle name="Comma 5 99" xfId="1844"/>
    <cellStyle name="Comma 5 99 2" xfId="3915"/>
    <cellStyle name="Comma 6" xfId="95"/>
    <cellStyle name="Comma 6 10" xfId="199"/>
    <cellStyle name="Comma 6 10 2" xfId="2804"/>
    <cellStyle name="Comma 6 100" xfId="1861"/>
    <cellStyle name="Comma 6 100 2" xfId="3932"/>
    <cellStyle name="Comma 6 101" xfId="1874"/>
    <cellStyle name="Comma 6 101 2" xfId="3945"/>
    <cellStyle name="Comma 6 102" xfId="1887"/>
    <cellStyle name="Comma 6 102 2" xfId="3958"/>
    <cellStyle name="Comma 6 103" xfId="1900"/>
    <cellStyle name="Comma 6 103 2" xfId="3971"/>
    <cellStyle name="Comma 6 104" xfId="1913"/>
    <cellStyle name="Comma 6 104 2" xfId="3984"/>
    <cellStyle name="Comma 6 105" xfId="1926"/>
    <cellStyle name="Comma 6 105 2" xfId="3997"/>
    <cellStyle name="Comma 6 106" xfId="1959"/>
    <cellStyle name="Comma 6 106 2" xfId="4030"/>
    <cellStyle name="Comma 6 107" xfId="1938"/>
    <cellStyle name="Comma 6 107 2" xfId="4009"/>
    <cellStyle name="Comma 6 108" xfId="1962"/>
    <cellStyle name="Comma 6 108 2" xfId="4033"/>
    <cellStyle name="Comma 6 109" xfId="1974"/>
    <cellStyle name="Comma 6 109 2" xfId="4045"/>
    <cellStyle name="Comma 6 11" xfId="210"/>
    <cellStyle name="Comma 6 11 2" xfId="2815"/>
    <cellStyle name="Comma 6 110" xfId="2010"/>
    <cellStyle name="Comma 6 110 2" xfId="4081"/>
    <cellStyle name="Comma 6 111" xfId="2006"/>
    <cellStyle name="Comma 6 111 2" xfId="4077"/>
    <cellStyle name="Comma 6 112" xfId="2013"/>
    <cellStyle name="Comma 6 112 2" xfId="4084"/>
    <cellStyle name="Comma 6 113" xfId="2024"/>
    <cellStyle name="Comma 6 113 2" xfId="4095"/>
    <cellStyle name="Comma 6 114" xfId="2699"/>
    <cellStyle name="Comma 6 12" xfId="222"/>
    <cellStyle name="Comma 6 12 2" xfId="2827"/>
    <cellStyle name="Comma 6 13" xfId="234"/>
    <cellStyle name="Comma 6 13 2" xfId="2839"/>
    <cellStyle name="Comma 6 14" xfId="280"/>
    <cellStyle name="Comma 6 14 2" xfId="2885"/>
    <cellStyle name="Comma 6 15" xfId="265"/>
    <cellStyle name="Comma 6 15 2" xfId="2870"/>
    <cellStyle name="Comma 6 16" xfId="284"/>
    <cellStyle name="Comma 6 16 2" xfId="2889"/>
    <cellStyle name="Comma 6 17" xfId="263"/>
    <cellStyle name="Comma 6 17 2" xfId="2868"/>
    <cellStyle name="Comma 6 18" xfId="346"/>
    <cellStyle name="Comma 6 18 2" xfId="2935"/>
    <cellStyle name="Comma 6 19" xfId="328"/>
    <cellStyle name="Comma 6 19 2" xfId="2920"/>
    <cellStyle name="Comma 6 2" xfId="119"/>
    <cellStyle name="Comma 6 2 2" xfId="2565"/>
    <cellStyle name="Comma 6 2 2 2" xfId="4142"/>
    <cellStyle name="Comma 6 2 3" xfId="2724"/>
    <cellStyle name="Comma 6 20" xfId="352"/>
    <cellStyle name="Comma 6 20 2" xfId="2941"/>
    <cellStyle name="Comma 6 21" xfId="422"/>
    <cellStyle name="Comma 6 21 2" xfId="2970"/>
    <cellStyle name="Comma 6 22" xfId="355"/>
    <cellStyle name="Comma 6 22 2" xfId="2944"/>
    <cellStyle name="Comma 6 23" xfId="428"/>
    <cellStyle name="Comma 6 23 2" xfId="2976"/>
    <cellStyle name="Comma 6 24" xfId="454"/>
    <cellStyle name="Comma 6 24 2" xfId="2985"/>
    <cellStyle name="Comma 6 25" xfId="477"/>
    <cellStyle name="Comma 6 25 2" xfId="2994"/>
    <cellStyle name="Comma 6 26" xfId="544"/>
    <cellStyle name="Comma 6 26 2" xfId="3031"/>
    <cellStyle name="Comma 6 27" xfId="504"/>
    <cellStyle name="Comma 6 27 2" xfId="3004"/>
    <cellStyle name="Comma 6 28" xfId="550"/>
    <cellStyle name="Comma 6 28 2" xfId="3037"/>
    <cellStyle name="Comma 6 29" xfId="575"/>
    <cellStyle name="Comma 6 29 2" xfId="3049"/>
    <cellStyle name="Comma 6 3" xfId="111"/>
    <cellStyle name="Comma 6 3 2" xfId="2566"/>
    <cellStyle name="Comma 6 3 2 2" xfId="4143"/>
    <cellStyle name="Comma 6 3 3" xfId="2716"/>
    <cellStyle name="Comma 6 30" xfId="597"/>
    <cellStyle name="Comma 6 30 2" xfId="3058"/>
    <cellStyle name="Comma 6 31" xfId="619"/>
    <cellStyle name="Comma 6 31 2" xfId="3067"/>
    <cellStyle name="Comma 6 32" xfId="698"/>
    <cellStyle name="Comma 6 32 2" xfId="3107"/>
    <cellStyle name="Comma 6 33" xfId="680"/>
    <cellStyle name="Comma 6 33 2" xfId="3089"/>
    <cellStyle name="Comma 6 34" xfId="704"/>
    <cellStyle name="Comma 6 34 2" xfId="3113"/>
    <cellStyle name="Comma 6 35" xfId="730"/>
    <cellStyle name="Comma 6 35 2" xfId="3126"/>
    <cellStyle name="Comma 6 36" xfId="755"/>
    <cellStyle name="Comma 6 36 2" xfId="3138"/>
    <cellStyle name="Comma 6 37" xfId="780"/>
    <cellStyle name="Comma 6 37 2" xfId="3150"/>
    <cellStyle name="Comma 6 38" xfId="806"/>
    <cellStyle name="Comma 6 38 2" xfId="3163"/>
    <cellStyle name="Comma 6 39" xfId="831"/>
    <cellStyle name="Comma 6 39 2" xfId="3175"/>
    <cellStyle name="Comma 6 4" xfId="120"/>
    <cellStyle name="Comma 6 4 2" xfId="2567"/>
    <cellStyle name="Comma 6 4 2 2" xfId="4144"/>
    <cellStyle name="Comma 6 4 3" xfId="2725"/>
    <cellStyle name="Comma 6 40" xfId="856"/>
    <cellStyle name="Comma 6 40 2" xfId="3187"/>
    <cellStyle name="Comma 6 41" xfId="878"/>
    <cellStyle name="Comma 6 41 2" xfId="3196"/>
    <cellStyle name="Comma 6 42" xfId="903"/>
    <cellStyle name="Comma 6 42 2" xfId="3208"/>
    <cellStyle name="Comma 6 43" xfId="973"/>
    <cellStyle name="Comma 6 43 2" xfId="3239"/>
    <cellStyle name="Comma 6 44" xfId="951"/>
    <cellStyle name="Comma 6 44 2" xfId="3230"/>
    <cellStyle name="Comma 6 45" xfId="979"/>
    <cellStyle name="Comma 6 45 2" xfId="3245"/>
    <cellStyle name="Comma 6 46" xfId="1004"/>
    <cellStyle name="Comma 6 46 2" xfId="3257"/>
    <cellStyle name="Comma 6 47" xfId="1029"/>
    <cellStyle name="Comma 6 47 2" xfId="3269"/>
    <cellStyle name="Comma 6 48" xfId="1051"/>
    <cellStyle name="Comma 6 48 2" xfId="3278"/>
    <cellStyle name="Comma 6 49" xfId="1074"/>
    <cellStyle name="Comma 6 49 2" xfId="3288"/>
    <cellStyle name="Comma 6 5" xfId="156"/>
    <cellStyle name="Comma 6 5 2" xfId="2568"/>
    <cellStyle name="Comma 6 5 2 2" xfId="4145"/>
    <cellStyle name="Comma 6 5 3" xfId="2761"/>
    <cellStyle name="Comma 6 50" xfId="1153"/>
    <cellStyle name="Comma 6 50 2" xfId="3329"/>
    <cellStyle name="Comma 6 51" xfId="1136"/>
    <cellStyle name="Comma 6 51 2" xfId="3312"/>
    <cellStyle name="Comma 6 52" xfId="1159"/>
    <cellStyle name="Comma 6 52 2" xfId="3335"/>
    <cellStyle name="Comma 6 53" xfId="1185"/>
    <cellStyle name="Comma 6 53 2" xfId="3348"/>
    <cellStyle name="Comma 6 54" xfId="1211"/>
    <cellStyle name="Comma 6 54 2" xfId="3361"/>
    <cellStyle name="Comma 6 55" xfId="1236"/>
    <cellStyle name="Comma 6 55 2" xfId="3373"/>
    <cellStyle name="Comma 6 56" xfId="1259"/>
    <cellStyle name="Comma 6 56 2" xfId="3383"/>
    <cellStyle name="Comma 6 57" xfId="1282"/>
    <cellStyle name="Comma 6 57 2" xfId="3393"/>
    <cellStyle name="Comma 6 58" xfId="1305"/>
    <cellStyle name="Comma 6 58 2" xfId="3403"/>
    <cellStyle name="Comma 6 59" xfId="1364"/>
    <cellStyle name="Comma 6 59 2" xfId="3435"/>
    <cellStyle name="Comma 6 6" xfId="153"/>
    <cellStyle name="Comma 6 6 2" xfId="2758"/>
    <cellStyle name="Comma 6 60" xfId="1360"/>
    <cellStyle name="Comma 6 60 2" xfId="3431"/>
    <cellStyle name="Comma 6 61" xfId="1366"/>
    <cellStyle name="Comma 6 61 2" xfId="3437"/>
    <cellStyle name="Comma 6 62" xfId="1387"/>
    <cellStyle name="Comma 6 62 2" xfId="3458"/>
    <cellStyle name="Comma 6 63" xfId="1412"/>
    <cellStyle name="Comma 6 63 2" xfId="3483"/>
    <cellStyle name="Comma 6 64" xfId="1424"/>
    <cellStyle name="Comma 6 64 2" xfId="3495"/>
    <cellStyle name="Comma 6 65" xfId="1440"/>
    <cellStyle name="Comma 6 65 2" xfId="3511"/>
    <cellStyle name="Comma 6 66" xfId="1436"/>
    <cellStyle name="Comma 6 66 2" xfId="3507"/>
    <cellStyle name="Comma 6 67" xfId="1442"/>
    <cellStyle name="Comma 6 67 2" xfId="3513"/>
    <cellStyle name="Comma 6 68" xfId="1480"/>
    <cellStyle name="Comma 6 68 2" xfId="3551"/>
    <cellStyle name="Comma 6 69" xfId="1476"/>
    <cellStyle name="Comma 6 69 2" xfId="3547"/>
    <cellStyle name="Comma 6 7" xfId="184"/>
    <cellStyle name="Comma 6 7 2" xfId="2789"/>
    <cellStyle name="Comma 6 70" xfId="1483"/>
    <cellStyle name="Comma 6 70 2" xfId="3554"/>
    <cellStyle name="Comma 6 71" xfId="1496"/>
    <cellStyle name="Comma 6 71 2" xfId="3567"/>
    <cellStyle name="Comma 6 72" xfId="1510"/>
    <cellStyle name="Comma 6 72 2" xfId="3581"/>
    <cellStyle name="Comma 6 73" xfId="1497"/>
    <cellStyle name="Comma 6 73 2" xfId="3568"/>
    <cellStyle name="Comma 6 74" xfId="1533"/>
    <cellStyle name="Comma 6 74 2" xfId="3604"/>
    <cellStyle name="Comma 6 75" xfId="1568"/>
    <cellStyle name="Comma 6 75 2" xfId="3639"/>
    <cellStyle name="Comma 6 76" xfId="1564"/>
    <cellStyle name="Comma 6 76 2" xfId="3635"/>
    <cellStyle name="Comma 6 77" xfId="1570"/>
    <cellStyle name="Comma 6 77 2" xfId="3641"/>
    <cellStyle name="Comma 6 78" xfId="1607"/>
    <cellStyle name="Comma 6 78 2" xfId="3678"/>
    <cellStyle name="Comma 6 79" xfId="1603"/>
    <cellStyle name="Comma 6 79 2" xfId="3674"/>
    <cellStyle name="Comma 6 8" xfId="180"/>
    <cellStyle name="Comma 6 8 2" xfId="2785"/>
    <cellStyle name="Comma 6 80" xfId="1610"/>
    <cellStyle name="Comma 6 80 2" xfId="3681"/>
    <cellStyle name="Comma 6 81" xfId="1622"/>
    <cellStyle name="Comma 6 81 2" xfId="3693"/>
    <cellStyle name="Comma 6 82" xfId="1634"/>
    <cellStyle name="Comma 6 82 2" xfId="3705"/>
    <cellStyle name="Comma 6 83" xfId="1647"/>
    <cellStyle name="Comma 6 83 2" xfId="3718"/>
    <cellStyle name="Comma 6 84" xfId="1659"/>
    <cellStyle name="Comma 6 84 2" xfId="3730"/>
    <cellStyle name="Comma 6 85" xfId="1671"/>
    <cellStyle name="Comma 6 85 2" xfId="3742"/>
    <cellStyle name="Comma 6 86" xfId="1684"/>
    <cellStyle name="Comma 6 86 2" xfId="3755"/>
    <cellStyle name="Comma 6 87" xfId="1696"/>
    <cellStyle name="Comma 6 87 2" xfId="3767"/>
    <cellStyle name="Comma 6 88" xfId="1709"/>
    <cellStyle name="Comma 6 88 2" xfId="3780"/>
    <cellStyle name="Comma 6 89" xfId="1743"/>
    <cellStyle name="Comma 6 89 2" xfId="3814"/>
    <cellStyle name="Comma 6 9" xfId="187"/>
    <cellStyle name="Comma 6 9 2" xfId="2792"/>
    <cellStyle name="Comma 6 90" xfId="1697"/>
    <cellStyle name="Comma 6 90 2" xfId="3768"/>
    <cellStyle name="Comma 6 91" xfId="1746"/>
    <cellStyle name="Comma 6 91 2" xfId="3817"/>
    <cellStyle name="Comma 6 92" xfId="1759"/>
    <cellStyle name="Comma 6 92 2" xfId="3830"/>
    <cellStyle name="Comma 6 93" xfId="1771"/>
    <cellStyle name="Comma 6 93 2" xfId="3842"/>
    <cellStyle name="Comma 6 94" xfId="1783"/>
    <cellStyle name="Comma 6 94 2" xfId="3854"/>
    <cellStyle name="Comma 6 95" xfId="1817"/>
    <cellStyle name="Comma 6 95 2" xfId="3888"/>
    <cellStyle name="Comma 6 96" xfId="1814"/>
    <cellStyle name="Comma 6 96 2" xfId="3885"/>
    <cellStyle name="Comma 6 97" xfId="1845"/>
    <cellStyle name="Comma 6 97 2" xfId="3916"/>
    <cellStyle name="Comma 6 98" xfId="1841"/>
    <cellStyle name="Comma 6 98 2" xfId="3912"/>
    <cellStyle name="Comma 6 99" xfId="1848"/>
    <cellStyle name="Comma 6 99 2" xfId="3919"/>
    <cellStyle name="Comma 7" xfId="98"/>
    <cellStyle name="Comma 7 10" xfId="221"/>
    <cellStyle name="Comma 7 10 2" xfId="2826"/>
    <cellStyle name="Comma 7 100" xfId="1870"/>
    <cellStyle name="Comma 7 100 2" xfId="3941"/>
    <cellStyle name="Comma 7 101" xfId="1883"/>
    <cellStyle name="Comma 7 101 2" xfId="3954"/>
    <cellStyle name="Comma 7 102" xfId="1896"/>
    <cellStyle name="Comma 7 102 2" xfId="3967"/>
    <cellStyle name="Comma 7 103" xfId="1909"/>
    <cellStyle name="Comma 7 103 2" xfId="3980"/>
    <cellStyle name="Comma 7 104" xfId="1922"/>
    <cellStyle name="Comma 7 104 2" xfId="3993"/>
    <cellStyle name="Comma 7 105" xfId="1935"/>
    <cellStyle name="Comma 7 105 2" xfId="4006"/>
    <cellStyle name="Comma 7 106" xfId="1961"/>
    <cellStyle name="Comma 7 106 2" xfId="4032"/>
    <cellStyle name="Comma 7 107" xfId="1949"/>
    <cellStyle name="Comma 7 107 2" xfId="4020"/>
    <cellStyle name="Comma 7 108" xfId="1970"/>
    <cellStyle name="Comma 7 108 2" xfId="4041"/>
    <cellStyle name="Comma 7 109" xfId="1982"/>
    <cellStyle name="Comma 7 109 2" xfId="4053"/>
    <cellStyle name="Comma 7 11" xfId="218"/>
    <cellStyle name="Comma 7 11 2" xfId="2823"/>
    <cellStyle name="Comma 7 110" xfId="2012"/>
    <cellStyle name="Comma 7 110 2" xfId="4083"/>
    <cellStyle name="Comma 7 111" xfId="2002"/>
    <cellStyle name="Comma 7 111 2" xfId="4073"/>
    <cellStyle name="Comma 7 112" xfId="2021"/>
    <cellStyle name="Comma 7 112 2" xfId="4092"/>
    <cellStyle name="Comma 7 113" xfId="2032"/>
    <cellStyle name="Comma 7 113 2" xfId="4103"/>
    <cellStyle name="Comma 7 114" xfId="2702"/>
    <cellStyle name="Comma 7 12" xfId="231"/>
    <cellStyle name="Comma 7 12 2" xfId="2836"/>
    <cellStyle name="Comma 7 13" xfId="242"/>
    <cellStyle name="Comma 7 13 2" xfId="2847"/>
    <cellStyle name="Comma 7 14" xfId="282"/>
    <cellStyle name="Comma 7 14 2" xfId="2887"/>
    <cellStyle name="Comma 7 15" xfId="264"/>
    <cellStyle name="Comma 7 15 2" xfId="2869"/>
    <cellStyle name="Comma 7 16" xfId="285"/>
    <cellStyle name="Comma 7 16 2" xfId="2890"/>
    <cellStyle name="Comma 7 17" xfId="262"/>
    <cellStyle name="Comma 7 17 2" xfId="2867"/>
    <cellStyle name="Comma 7 18" xfId="348"/>
    <cellStyle name="Comma 7 18 2" xfId="2937"/>
    <cellStyle name="Comma 7 19" xfId="326"/>
    <cellStyle name="Comma 7 19 2" xfId="2918"/>
    <cellStyle name="Comma 7 2" xfId="121"/>
    <cellStyle name="Comma 7 2 2" xfId="2569"/>
    <cellStyle name="Comma 7 2 2 2" xfId="4146"/>
    <cellStyle name="Comma 7 2 3" xfId="2726"/>
    <cellStyle name="Comma 7 20" xfId="354"/>
    <cellStyle name="Comma 7 20 2" xfId="2943"/>
    <cellStyle name="Comma 7 21" xfId="423"/>
    <cellStyle name="Comma 7 21 2" xfId="2971"/>
    <cellStyle name="Comma 7 22" xfId="401"/>
    <cellStyle name="Comma 7 22 2" xfId="2963"/>
    <cellStyle name="Comma 7 23" xfId="430"/>
    <cellStyle name="Comma 7 23 2" xfId="2977"/>
    <cellStyle name="Comma 7 24" xfId="456"/>
    <cellStyle name="Comma 7 24 2" xfId="2986"/>
    <cellStyle name="Comma 7 25" xfId="478"/>
    <cellStyle name="Comma 7 25 2" xfId="2995"/>
    <cellStyle name="Comma 7 26" xfId="545"/>
    <cellStyle name="Comma 7 26 2" xfId="3032"/>
    <cellStyle name="Comma 7 27" xfId="503"/>
    <cellStyle name="Comma 7 27 2" xfId="3003"/>
    <cellStyle name="Comma 7 28" xfId="551"/>
    <cellStyle name="Comma 7 28 2" xfId="3038"/>
    <cellStyle name="Comma 7 29" xfId="576"/>
    <cellStyle name="Comma 7 29 2" xfId="3050"/>
    <cellStyle name="Comma 7 3" xfId="133"/>
    <cellStyle name="Comma 7 3 2" xfId="2570"/>
    <cellStyle name="Comma 7 3 2 2" xfId="4147"/>
    <cellStyle name="Comma 7 3 3" xfId="2738"/>
    <cellStyle name="Comma 7 30" xfId="598"/>
    <cellStyle name="Comma 7 30 2" xfId="3059"/>
    <cellStyle name="Comma 7 31" xfId="620"/>
    <cellStyle name="Comma 7 31 2" xfId="3068"/>
    <cellStyle name="Comma 7 32" xfId="699"/>
    <cellStyle name="Comma 7 32 2" xfId="3108"/>
    <cellStyle name="Comma 7 33" xfId="679"/>
    <cellStyle name="Comma 7 33 2" xfId="3088"/>
    <cellStyle name="Comma 7 34" xfId="705"/>
    <cellStyle name="Comma 7 34 2" xfId="3114"/>
    <cellStyle name="Comma 7 35" xfId="731"/>
    <cellStyle name="Comma 7 35 2" xfId="3127"/>
    <cellStyle name="Comma 7 36" xfId="756"/>
    <cellStyle name="Comma 7 36 2" xfId="3139"/>
    <cellStyle name="Comma 7 37" xfId="781"/>
    <cellStyle name="Comma 7 37 2" xfId="3151"/>
    <cellStyle name="Comma 7 38" xfId="807"/>
    <cellStyle name="Comma 7 38 2" xfId="3164"/>
    <cellStyle name="Comma 7 39" xfId="832"/>
    <cellStyle name="Comma 7 39 2" xfId="3176"/>
    <cellStyle name="Comma 7 4" xfId="130"/>
    <cellStyle name="Comma 7 4 2" xfId="2571"/>
    <cellStyle name="Comma 7 4 2 2" xfId="4148"/>
    <cellStyle name="Comma 7 4 3" xfId="2735"/>
    <cellStyle name="Comma 7 40" xfId="857"/>
    <cellStyle name="Comma 7 40 2" xfId="3188"/>
    <cellStyle name="Comma 7 41" xfId="879"/>
    <cellStyle name="Comma 7 41 2" xfId="3197"/>
    <cellStyle name="Comma 7 42" xfId="905"/>
    <cellStyle name="Comma 7 42 2" xfId="3210"/>
    <cellStyle name="Comma 7 43" xfId="974"/>
    <cellStyle name="Comma 7 43 2" xfId="3240"/>
    <cellStyle name="Comma 7 44" xfId="952"/>
    <cellStyle name="Comma 7 44 2" xfId="3231"/>
    <cellStyle name="Comma 7 45" xfId="980"/>
    <cellStyle name="Comma 7 45 2" xfId="3246"/>
    <cellStyle name="Comma 7 46" xfId="1005"/>
    <cellStyle name="Comma 7 46 2" xfId="3258"/>
    <cellStyle name="Comma 7 47" xfId="1030"/>
    <cellStyle name="Comma 7 47 2" xfId="3270"/>
    <cellStyle name="Comma 7 48" xfId="1052"/>
    <cellStyle name="Comma 7 48 2" xfId="3279"/>
    <cellStyle name="Comma 7 49" xfId="1075"/>
    <cellStyle name="Comma 7 49 2" xfId="3289"/>
    <cellStyle name="Comma 7 5" xfId="157"/>
    <cellStyle name="Comma 7 5 2" xfId="2762"/>
    <cellStyle name="Comma 7 50" xfId="1155"/>
    <cellStyle name="Comma 7 50 2" xfId="3331"/>
    <cellStyle name="Comma 7 51" xfId="1134"/>
    <cellStyle name="Comma 7 51 2" xfId="3310"/>
    <cellStyle name="Comma 7 52" xfId="1161"/>
    <cellStyle name="Comma 7 52 2" xfId="3337"/>
    <cellStyle name="Comma 7 53" xfId="1187"/>
    <cellStyle name="Comma 7 53 2" xfId="3350"/>
    <cellStyle name="Comma 7 54" xfId="1213"/>
    <cellStyle name="Comma 7 54 2" xfId="3363"/>
    <cellStyle name="Comma 7 55" xfId="1237"/>
    <cellStyle name="Comma 7 55 2" xfId="3374"/>
    <cellStyle name="Comma 7 56" xfId="1260"/>
    <cellStyle name="Comma 7 56 2" xfId="3384"/>
    <cellStyle name="Comma 7 57" xfId="1283"/>
    <cellStyle name="Comma 7 57 2" xfId="3394"/>
    <cellStyle name="Comma 7 58" xfId="1306"/>
    <cellStyle name="Comma 7 58 2" xfId="3404"/>
    <cellStyle name="Comma 7 59" xfId="1365"/>
    <cellStyle name="Comma 7 59 2" xfId="3436"/>
    <cellStyle name="Comma 7 6" xfId="168"/>
    <cellStyle name="Comma 7 6 2" xfId="2773"/>
    <cellStyle name="Comma 7 60" xfId="1355"/>
    <cellStyle name="Comma 7 60 2" xfId="3426"/>
    <cellStyle name="Comma 7 61" xfId="1374"/>
    <cellStyle name="Comma 7 61 2" xfId="3445"/>
    <cellStyle name="Comma 7 62" xfId="1403"/>
    <cellStyle name="Comma 7 62 2" xfId="3474"/>
    <cellStyle name="Comma 7 63" xfId="1414"/>
    <cellStyle name="Comma 7 63 2" xfId="3485"/>
    <cellStyle name="Comma 7 64" xfId="1425"/>
    <cellStyle name="Comma 7 64 2" xfId="3496"/>
    <cellStyle name="Comma 7 65" xfId="1441"/>
    <cellStyle name="Comma 7 65 2" xfId="3512"/>
    <cellStyle name="Comma 7 66" xfId="1432"/>
    <cellStyle name="Comma 7 66 2" xfId="3503"/>
    <cellStyle name="Comma 7 67" xfId="1450"/>
    <cellStyle name="Comma 7 67 2" xfId="3521"/>
    <cellStyle name="Comma 7 68" xfId="1482"/>
    <cellStyle name="Comma 7 68 2" xfId="3553"/>
    <cellStyle name="Comma 7 69" xfId="1471"/>
    <cellStyle name="Comma 7 69 2" xfId="3542"/>
    <cellStyle name="Comma 7 7" xfId="186"/>
    <cellStyle name="Comma 7 7 2" xfId="2791"/>
    <cellStyle name="Comma 7 70" xfId="1492"/>
    <cellStyle name="Comma 7 70 2" xfId="3563"/>
    <cellStyle name="Comma 7 71" xfId="1505"/>
    <cellStyle name="Comma 7 71 2" xfId="3576"/>
    <cellStyle name="Comma 7 72" xfId="1532"/>
    <cellStyle name="Comma 7 72 2" xfId="3603"/>
    <cellStyle name="Comma 7 73" xfId="1527"/>
    <cellStyle name="Comma 7 73 2" xfId="3598"/>
    <cellStyle name="Comma 7 74" xfId="1541"/>
    <cellStyle name="Comma 7 74 2" xfId="3612"/>
    <cellStyle name="Comma 7 75" xfId="1569"/>
    <cellStyle name="Comma 7 75 2" xfId="3640"/>
    <cellStyle name="Comma 7 76" xfId="1560"/>
    <cellStyle name="Comma 7 76 2" xfId="3631"/>
    <cellStyle name="Comma 7 77" xfId="1578"/>
    <cellStyle name="Comma 7 77 2" xfId="3649"/>
    <cellStyle name="Comma 7 78" xfId="1609"/>
    <cellStyle name="Comma 7 78 2" xfId="3680"/>
    <cellStyle name="Comma 7 79" xfId="1621"/>
    <cellStyle name="Comma 7 79 2" xfId="3692"/>
    <cellStyle name="Comma 7 8" xfId="175"/>
    <cellStyle name="Comma 7 8 2" xfId="2780"/>
    <cellStyle name="Comma 7 80" xfId="1633"/>
    <cellStyle name="Comma 7 80 2" xfId="3704"/>
    <cellStyle name="Comma 7 81" xfId="1646"/>
    <cellStyle name="Comma 7 81 2" xfId="3717"/>
    <cellStyle name="Comma 7 82" xfId="1658"/>
    <cellStyle name="Comma 7 82 2" xfId="3729"/>
    <cellStyle name="Comma 7 83" xfId="1670"/>
    <cellStyle name="Comma 7 83 2" xfId="3741"/>
    <cellStyle name="Comma 7 84" xfId="1683"/>
    <cellStyle name="Comma 7 84 2" xfId="3754"/>
    <cellStyle name="Comma 7 85" xfId="1679"/>
    <cellStyle name="Comma 7 85 2" xfId="3750"/>
    <cellStyle name="Comma 7 86" xfId="1693"/>
    <cellStyle name="Comma 7 86 2" xfId="3764"/>
    <cellStyle name="Comma 7 87" xfId="1705"/>
    <cellStyle name="Comma 7 87 2" xfId="3776"/>
    <cellStyle name="Comma 7 88" xfId="1718"/>
    <cellStyle name="Comma 7 88 2" xfId="3789"/>
    <cellStyle name="Comma 7 89" xfId="1745"/>
    <cellStyle name="Comma 7 89 2" xfId="3816"/>
    <cellStyle name="Comma 7 9" xfId="209"/>
    <cellStyle name="Comma 7 9 2" xfId="2814"/>
    <cellStyle name="Comma 7 90" xfId="1738"/>
    <cellStyle name="Comma 7 90 2" xfId="3809"/>
    <cellStyle name="Comma 7 91" xfId="1755"/>
    <cellStyle name="Comma 7 91 2" xfId="3826"/>
    <cellStyle name="Comma 7 92" xfId="1767"/>
    <cellStyle name="Comma 7 92 2" xfId="3838"/>
    <cellStyle name="Comma 7 93" xfId="1779"/>
    <cellStyle name="Comma 7 93 2" xfId="3850"/>
    <cellStyle name="Comma 7 94" xfId="1791"/>
    <cellStyle name="Comma 7 94 2" xfId="3862"/>
    <cellStyle name="Comma 7 95" xfId="1818"/>
    <cellStyle name="Comma 7 95 2" xfId="3889"/>
    <cellStyle name="Comma 7 96" xfId="1828"/>
    <cellStyle name="Comma 7 96 2" xfId="3899"/>
    <cellStyle name="Comma 7 97" xfId="1847"/>
    <cellStyle name="Comma 7 97 2" xfId="3918"/>
    <cellStyle name="Comma 7 98" xfId="1836"/>
    <cellStyle name="Comma 7 98 2" xfId="3907"/>
    <cellStyle name="Comma 7 99" xfId="1857"/>
    <cellStyle name="Comma 7 99 2" xfId="3928"/>
    <cellStyle name="Comma 8" xfId="49"/>
    <cellStyle name="Comma 8 2" xfId="2652"/>
    <cellStyle name="Comma 9" xfId="57"/>
    <cellStyle name="Comma 9 2" xfId="2659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 2" xfId="2053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9"/>
    <cellStyle name="Normal 10 2" xfId="2661"/>
    <cellStyle name="Normal 11" xfId="60"/>
    <cellStyle name="Normal 11 2" xfId="2662"/>
    <cellStyle name="Normal 12" xfId="63"/>
    <cellStyle name="Normal 12 2" xfId="2665"/>
    <cellStyle name="Normal 13" xfId="93"/>
    <cellStyle name="Normal 13 2" xfId="2697"/>
    <cellStyle name="Normal 14" xfId="42"/>
    <cellStyle name="Normal 14 2" xfId="2714"/>
    <cellStyle name="Normal 15" xfId="94"/>
    <cellStyle name="Normal 15 2" xfId="2698"/>
    <cellStyle name="Normal 16" xfId="110"/>
    <cellStyle name="Normal 16 2" xfId="2715"/>
    <cellStyle name="Normal 17" xfId="64"/>
    <cellStyle name="Normal 17 2" xfId="2666"/>
    <cellStyle name="Normal 18" xfId="67"/>
    <cellStyle name="Normal 18 2" xfId="2669"/>
    <cellStyle name="Normal 19" xfId="70"/>
    <cellStyle name="Normal 19 2" xfId="2672"/>
    <cellStyle name="Normal 2" xfId="43"/>
    <cellStyle name="Normal 2 2" xfId="2650"/>
    <cellStyle name="Normal 2 3" xfId="2646"/>
    <cellStyle name="Normal 2 4" xfId="51"/>
    <cellStyle name="Normal 20" xfId="73"/>
    <cellStyle name="Normal 20 2" xfId="2675"/>
    <cellStyle name="Normal 21" xfId="74"/>
    <cellStyle name="Normal 21 2" xfId="2676"/>
    <cellStyle name="Normal 22" xfId="75"/>
    <cellStyle name="Normal 22 2" xfId="2677"/>
    <cellStyle name="Normal 23" xfId="78"/>
    <cellStyle name="Normal 23 2" xfId="2680"/>
    <cellStyle name="Normal 24" xfId="79"/>
    <cellStyle name="Normal 24 2" xfId="2681"/>
    <cellStyle name="Normal 25" xfId="97"/>
    <cellStyle name="Normal 25 2" xfId="2701"/>
    <cellStyle name="Normal 26" xfId="1120"/>
    <cellStyle name="Normal 26 2" xfId="3308"/>
    <cellStyle name="Normal 27" xfId="144"/>
    <cellStyle name="Normal 27 2" xfId="2749"/>
    <cellStyle name="Normal 28" xfId="374"/>
    <cellStyle name="Normal 28 2" xfId="2951"/>
    <cellStyle name="Normal 29" xfId="1182"/>
    <cellStyle name="Normal 29 2" xfId="3345"/>
    <cellStyle name="Normal 3" xfId="44"/>
    <cellStyle name="Normal 3 2" xfId="2648"/>
    <cellStyle name="Normal 3 3" xfId="2689"/>
    <cellStyle name="Normal 30" xfId="244"/>
    <cellStyle name="Normal 30 2" xfId="2849"/>
    <cellStyle name="Normal 31" xfId="80"/>
    <cellStyle name="Normal 31 2" xfId="2682"/>
    <cellStyle name="Normal 32" xfId="83"/>
    <cellStyle name="Normal 32 2" xfId="2685"/>
    <cellStyle name="Normal 33" xfId="84"/>
    <cellStyle name="Normal 33 2" xfId="2686"/>
    <cellStyle name="Normal 34" xfId="85"/>
    <cellStyle name="Normal 34 2" xfId="2687"/>
    <cellStyle name="Normal 35" xfId="86"/>
    <cellStyle name="Normal 35 2" xfId="2688"/>
    <cellStyle name="Normal 36" xfId="1208"/>
    <cellStyle name="Normal 36 2" xfId="3358"/>
    <cellStyle name="Normal 37" xfId="223"/>
    <cellStyle name="Normal 37 2" xfId="2828"/>
    <cellStyle name="Normal 38" xfId="292"/>
    <cellStyle name="Normal 38 2" xfId="2897"/>
    <cellStyle name="Normal 39" xfId="300"/>
    <cellStyle name="Normal 39 2" xfId="2904"/>
    <cellStyle name="Normal 4" xfId="54"/>
    <cellStyle name="Normal 4 2" xfId="2656"/>
    <cellStyle name="Normal 40" xfId="308"/>
    <cellStyle name="Normal 40 2" xfId="2912"/>
    <cellStyle name="Normal 41" xfId="1234"/>
    <cellStyle name="Normal 41 2" xfId="3371"/>
    <cellStyle name="Normal 42" xfId="1257"/>
    <cellStyle name="Normal 42 2" xfId="3381"/>
    <cellStyle name="Normal 43" xfId="1280"/>
    <cellStyle name="Normal 43 2" xfId="3391"/>
    <cellStyle name="Normal 44" xfId="1303"/>
    <cellStyle name="Normal 44 2" xfId="3401"/>
    <cellStyle name="Normal 45" xfId="1326"/>
    <cellStyle name="Normal 45 2" xfId="3411"/>
    <cellStyle name="Normal 46" xfId="1346"/>
    <cellStyle name="Normal 46 2" xfId="3418"/>
    <cellStyle name="Normal 47" xfId="1354"/>
    <cellStyle name="Normal 47 2" xfId="3425"/>
    <cellStyle name="Normal 48" xfId="1376"/>
    <cellStyle name="Normal 48 2" xfId="3447"/>
    <cellStyle name="Normal 49" xfId="1389"/>
    <cellStyle name="Normal 49 2" xfId="3460"/>
    <cellStyle name="Normal 5" xfId="88"/>
    <cellStyle name="Normal 5 2" xfId="2692"/>
    <cellStyle name="Normal 50" xfId="1398"/>
    <cellStyle name="Normal 50 2" xfId="3469"/>
    <cellStyle name="Normal 51" xfId="1408"/>
    <cellStyle name="Normal 51 2" xfId="3479"/>
    <cellStyle name="Normal 52" xfId="1420"/>
    <cellStyle name="Normal 52 2" xfId="3491"/>
    <cellStyle name="Normal 53" xfId="1470"/>
    <cellStyle name="Normal 53 2" xfId="3541"/>
    <cellStyle name="Normal 54" xfId="1452"/>
    <cellStyle name="Normal 54 2" xfId="3523"/>
    <cellStyle name="Normal 55" xfId="1462"/>
    <cellStyle name="Normal 55 2" xfId="3533"/>
    <cellStyle name="Normal 56" xfId="1494"/>
    <cellStyle name="Normal 56 2" xfId="3565"/>
    <cellStyle name="Normal 57" xfId="1507"/>
    <cellStyle name="Normal 57 2" xfId="3578"/>
    <cellStyle name="Normal 58" xfId="1519"/>
    <cellStyle name="Normal 58 2" xfId="3590"/>
    <cellStyle name="Normal 59" xfId="1529"/>
    <cellStyle name="Normal 59 2" xfId="3600"/>
    <cellStyle name="Normal 6" xfId="89"/>
    <cellStyle name="Normal 6 2" xfId="2693"/>
    <cellStyle name="Normal 60" xfId="1681"/>
    <cellStyle name="Normal 60 2" xfId="3752"/>
    <cellStyle name="Normal 61" xfId="1552"/>
    <cellStyle name="Normal 61 2" xfId="3623"/>
    <cellStyle name="Normal 62" xfId="1580"/>
    <cellStyle name="Normal 62 2" xfId="3651"/>
    <cellStyle name="Normal 63" xfId="1590"/>
    <cellStyle name="Normal 63 2" xfId="3661"/>
    <cellStyle name="Normal 64" xfId="1835"/>
    <cellStyle name="Normal 64 2" xfId="3906"/>
    <cellStyle name="Normal 65" xfId="1707"/>
    <cellStyle name="Normal 65 2" xfId="3778"/>
    <cellStyle name="Normal 66" xfId="1859"/>
    <cellStyle name="Normal 66 2" xfId="3930"/>
    <cellStyle name="Normal 67" xfId="1872"/>
    <cellStyle name="Normal 67 2" xfId="3943"/>
    <cellStyle name="Normal 68" xfId="1739"/>
    <cellStyle name="Normal 68 2" xfId="3810"/>
    <cellStyle name="Normal 69" xfId="1757"/>
    <cellStyle name="Normal 69 2" xfId="3828"/>
    <cellStyle name="Normal 7" xfId="92"/>
    <cellStyle name="Normal 7 2" xfId="2696"/>
    <cellStyle name="Normal 70" xfId="1769"/>
    <cellStyle name="Normal 70 2" xfId="3840"/>
    <cellStyle name="Normal 71" xfId="1781"/>
    <cellStyle name="Normal 71 2" xfId="3852"/>
    <cellStyle name="Normal 72" xfId="1793"/>
    <cellStyle name="Normal 72 2" xfId="3864"/>
    <cellStyle name="Normal 73" xfId="1803"/>
    <cellStyle name="Normal 73 2" xfId="3874"/>
    <cellStyle name="Normal 74" xfId="1885"/>
    <cellStyle name="Normal 74 2" xfId="3956"/>
    <cellStyle name="Normal 75" xfId="1898"/>
    <cellStyle name="Normal 75 2" xfId="3969"/>
    <cellStyle name="Normal 76" xfId="1911"/>
    <cellStyle name="Normal 76 2" xfId="3982"/>
    <cellStyle name="Normal 77" xfId="1924"/>
    <cellStyle name="Normal 77 2" xfId="3995"/>
    <cellStyle name="Normal 78" xfId="2052"/>
    <cellStyle name="Normal 79" xfId="2572"/>
    <cellStyle name="Normal 8" xfId="55"/>
    <cellStyle name="Normal 8 2" xfId="2657"/>
    <cellStyle name="Normal 80" xfId="1950"/>
    <cellStyle name="Normal 80 2" xfId="4021"/>
    <cellStyle name="Normal 81" xfId="1972"/>
    <cellStyle name="Normal 81 2" xfId="4043"/>
    <cellStyle name="Normal 82" xfId="1984"/>
    <cellStyle name="Normal 82 2" xfId="4055"/>
    <cellStyle name="Normal 83" xfId="1994"/>
    <cellStyle name="Normal 83 2" xfId="4065"/>
    <cellStyle name="Normal 84" xfId="2034"/>
    <cellStyle name="Normal 84 2" xfId="4105"/>
    <cellStyle name="Normal 85" xfId="2044"/>
    <cellStyle name="Normal 85 2" xfId="4115"/>
    <cellStyle name="Normal 86" xfId="48"/>
    <cellStyle name="Normal 87" xfId="2644"/>
    <cellStyle name="Normal 87 2" xfId="4177"/>
    <cellStyle name="Normal 88" xfId="4180"/>
    <cellStyle name="Normal 9" xfId="56"/>
    <cellStyle name="Normal 9 2" xfId="2658"/>
    <cellStyle name="Note 2" xfId="293"/>
    <cellStyle name="Note 2 10" xfId="555"/>
    <cellStyle name="Note 2 10 2" xfId="2573"/>
    <cellStyle name="Note 2 11" xfId="580"/>
    <cellStyle name="Note 2 11 2" xfId="2574"/>
    <cellStyle name="Note 2 12" xfId="602"/>
    <cellStyle name="Note 2 12 2" xfId="2575"/>
    <cellStyle name="Note 2 13" xfId="624"/>
    <cellStyle name="Note 2 13 2" xfId="2576"/>
    <cellStyle name="Note 2 14" xfId="644"/>
    <cellStyle name="Note 2 14 2" xfId="2577"/>
    <cellStyle name="Note 2 15" xfId="659"/>
    <cellStyle name="Note 2 15 2" xfId="2578"/>
    <cellStyle name="Note 2 16" xfId="709"/>
    <cellStyle name="Note 2 16 2" xfId="2579"/>
    <cellStyle name="Note 2 17" xfId="735"/>
    <cellStyle name="Note 2 17 2" xfId="2580"/>
    <cellStyle name="Note 2 18" xfId="760"/>
    <cellStyle name="Note 2 18 2" xfId="2581"/>
    <cellStyle name="Note 2 19" xfId="785"/>
    <cellStyle name="Note 2 19 2" xfId="2582"/>
    <cellStyle name="Note 2 2" xfId="375"/>
    <cellStyle name="Note 2 2 2" xfId="2583"/>
    <cellStyle name="Note 2 20" xfId="811"/>
    <cellStyle name="Note 2 20 2" xfId="2584"/>
    <cellStyle name="Note 2 21" xfId="836"/>
    <cellStyle name="Note 2 21 2" xfId="2585"/>
    <cellStyle name="Note 2 22" xfId="861"/>
    <cellStyle name="Note 2 22 2" xfId="2586"/>
    <cellStyle name="Note 2 23" xfId="883"/>
    <cellStyle name="Note 2 23 2" xfId="2587"/>
    <cellStyle name="Note 2 24" xfId="909"/>
    <cellStyle name="Note 2 24 2" xfId="2588"/>
    <cellStyle name="Note 2 25" xfId="934"/>
    <cellStyle name="Note 2 25 2" xfId="2589"/>
    <cellStyle name="Note 2 26" xfId="960"/>
    <cellStyle name="Note 2 26 2" xfId="2590"/>
    <cellStyle name="Note 2 27" xfId="984"/>
    <cellStyle name="Note 2 27 2" xfId="2591"/>
    <cellStyle name="Note 2 28" xfId="1009"/>
    <cellStyle name="Note 2 28 2" xfId="2592"/>
    <cellStyle name="Note 2 29" xfId="1034"/>
    <cellStyle name="Note 2 29 2" xfId="2593"/>
    <cellStyle name="Note 2 3" xfId="399"/>
    <cellStyle name="Note 2 3 2" xfId="2594"/>
    <cellStyle name="Note 2 30" xfId="1056"/>
    <cellStyle name="Note 2 30 2" xfId="2595"/>
    <cellStyle name="Note 2 31" xfId="1079"/>
    <cellStyle name="Note 2 31 2" xfId="2596"/>
    <cellStyle name="Note 2 32" xfId="1098"/>
    <cellStyle name="Note 2 32 2" xfId="2597"/>
    <cellStyle name="Note 2 33" xfId="1113"/>
    <cellStyle name="Note 2 33 2" xfId="2598"/>
    <cellStyle name="Note 2 34" xfId="1166"/>
    <cellStyle name="Note 2 34 2" xfId="2599"/>
    <cellStyle name="Note 2 35" xfId="1192"/>
    <cellStyle name="Note 2 35 2" xfId="2600"/>
    <cellStyle name="Note 2 36" xfId="1218"/>
    <cellStyle name="Note 2 36 2" xfId="2601"/>
    <cellStyle name="Note 2 37" xfId="1241"/>
    <cellStyle name="Note 2 37 2" xfId="2602"/>
    <cellStyle name="Note 2 38" xfId="1264"/>
    <cellStyle name="Note 2 38 2" xfId="2603"/>
    <cellStyle name="Note 2 39" xfId="1287"/>
    <cellStyle name="Note 2 39 2" xfId="2604"/>
    <cellStyle name="Note 2 4" xfId="421"/>
    <cellStyle name="Note 2 4 2" xfId="2605"/>
    <cellStyle name="Note 2 40" xfId="1310"/>
    <cellStyle name="Note 2 40 2" xfId="2606"/>
    <cellStyle name="Note 2 41" xfId="1330"/>
    <cellStyle name="Note 2 41 2" xfId="2607"/>
    <cellStyle name="Note 2 42" xfId="1347"/>
    <cellStyle name="Note 2 42 2" xfId="2608"/>
    <cellStyle name="Note 2 43" xfId="2609"/>
    <cellStyle name="Note 2 5" xfId="449"/>
    <cellStyle name="Note 2 5 2" xfId="2610"/>
    <cellStyle name="Note 2 6" xfId="475"/>
    <cellStyle name="Note 2 6 2" xfId="2611"/>
    <cellStyle name="Note 2 7" xfId="498"/>
    <cellStyle name="Note 2 7 2" xfId="2612"/>
    <cellStyle name="Note 2 8" xfId="522"/>
    <cellStyle name="Note 2 8 2" xfId="2613"/>
    <cellStyle name="Note 2 9" xfId="529"/>
    <cellStyle name="Note 2 9 2" xfId="2614"/>
    <cellStyle name="Note 3" xfId="2615"/>
    <cellStyle name="Output" xfId="10" builtinId="21" customBuiltin="1"/>
    <cellStyle name="Percent 10" xfId="711"/>
    <cellStyle name="Percent 10 2" xfId="3115"/>
    <cellStyle name="Percent 11" xfId="62"/>
    <cellStyle name="Percent 11 2" xfId="2664"/>
    <cellStyle name="Percent 12" xfId="2616"/>
    <cellStyle name="Percent 12 2" xfId="2617"/>
    <cellStyle name="Percent 12 2 2" xfId="4150"/>
    <cellStyle name="Percent 12 3" xfId="4149"/>
    <cellStyle name="Percent 13" xfId="72"/>
    <cellStyle name="Percent 13 2" xfId="2674"/>
    <cellStyle name="Percent 14" xfId="483"/>
    <cellStyle name="Percent 14 2" xfId="2996"/>
    <cellStyle name="Percent 15" xfId="52"/>
    <cellStyle name="Percent 15 2" xfId="2654"/>
    <cellStyle name="Percent 16" xfId="77"/>
    <cellStyle name="Percent 16 2" xfId="2679"/>
    <cellStyle name="Percent 17" xfId="66"/>
    <cellStyle name="Percent 17 2" xfId="2668"/>
    <cellStyle name="Percent 18" xfId="787"/>
    <cellStyle name="Percent 18 2" xfId="3152"/>
    <cellStyle name="Percent 19" xfId="1635"/>
    <cellStyle name="Percent 19 2" xfId="3706"/>
    <cellStyle name="Percent 2" xfId="45"/>
    <cellStyle name="Percent 2 10" xfId="200"/>
    <cellStyle name="Percent 2 10 2" xfId="2805"/>
    <cellStyle name="Percent 2 100" xfId="1863"/>
    <cellStyle name="Percent 2 100 2" xfId="3934"/>
    <cellStyle name="Percent 2 101" xfId="1876"/>
    <cellStyle name="Percent 2 101 2" xfId="3947"/>
    <cellStyle name="Percent 2 102" xfId="1889"/>
    <cellStyle name="Percent 2 102 2" xfId="3960"/>
    <cellStyle name="Percent 2 103" xfId="1902"/>
    <cellStyle name="Percent 2 103 2" xfId="3973"/>
    <cellStyle name="Percent 2 104" xfId="1915"/>
    <cellStyle name="Percent 2 104 2" xfId="3986"/>
    <cellStyle name="Percent 2 105" xfId="1928"/>
    <cellStyle name="Percent 2 105 2" xfId="3999"/>
    <cellStyle name="Percent 2 106" xfId="1939"/>
    <cellStyle name="Percent 2 106 2" xfId="4010"/>
    <cellStyle name="Percent 2 107" xfId="1951"/>
    <cellStyle name="Percent 2 107 2" xfId="4022"/>
    <cellStyle name="Percent 2 108" xfId="1963"/>
    <cellStyle name="Percent 2 108 2" xfId="4034"/>
    <cellStyle name="Percent 2 109" xfId="1975"/>
    <cellStyle name="Percent 2 109 2" xfId="4046"/>
    <cellStyle name="Percent 2 11" xfId="211"/>
    <cellStyle name="Percent 2 11 2" xfId="2816"/>
    <cellStyle name="Percent 2 110" xfId="1986"/>
    <cellStyle name="Percent 2 110 2" xfId="4057"/>
    <cellStyle name="Percent 2 111" xfId="1996"/>
    <cellStyle name="Percent 2 111 2" xfId="4067"/>
    <cellStyle name="Percent 2 112" xfId="2014"/>
    <cellStyle name="Percent 2 112 2" xfId="4085"/>
    <cellStyle name="Percent 2 113" xfId="2025"/>
    <cellStyle name="Percent 2 113 2" xfId="4096"/>
    <cellStyle name="Percent 2 114" xfId="2036"/>
    <cellStyle name="Percent 2 114 2" xfId="4107"/>
    <cellStyle name="Percent 2 115" xfId="2046"/>
    <cellStyle name="Percent 2 115 2" xfId="4117"/>
    <cellStyle name="Percent 2 116" xfId="2651"/>
    <cellStyle name="Percent 2 117" xfId="2655"/>
    <cellStyle name="Percent 2 118" xfId="53"/>
    <cellStyle name="Percent 2 12" xfId="224"/>
    <cellStyle name="Percent 2 12 2" xfId="2829"/>
    <cellStyle name="Percent 2 13" xfId="235"/>
    <cellStyle name="Percent 2 13 2" xfId="2840"/>
    <cellStyle name="Percent 2 14" xfId="247"/>
    <cellStyle name="Percent 2 14 2" xfId="2852"/>
    <cellStyle name="Percent 2 15" xfId="256"/>
    <cellStyle name="Percent 2 15 2" xfId="2861"/>
    <cellStyle name="Percent 2 16" xfId="286"/>
    <cellStyle name="Percent 2 16 2" xfId="2891"/>
    <cellStyle name="Percent 2 17" xfId="246"/>
    <cellStyle name="Percent 2 17 2" xfId="2851"/>
    <cellStyle name="Percent 2 18" xfId="302"/>
    <cellStyle name="Percent 2 18 2" xfId="2906"/>
    <cellStyle name="Percent 2 19" xfId="296"/>
    <cellStyle name="Percent 2 19 2" xfId="2900"/>
    <cellStyle name="Percent 2 2" xfId="69"/>
    <cellStyle name="Percent 2 2 10" xfId="212"/>
    <cellStyle name="Percent 2 2 10 2" xfId="2817"/>
    <cellStyle name="Percent 2 2 100" xfId="1877"/>
    <cellStyle name="Percent 2 2 100 2" xfId="3948"/>
    <cellStyle name="Percent 2 2 101" xfId="1890"/>
    <cellStyle name="Percent 2 2 101 2" xfId="3961"/>
    <cellStyle name="Percent 2 2 102" xfId="1903"/>
    <cellStyle name="Percent 2 2 102 2" xfId="3974"/>
    <cellStyle name="Percent 2 2 103" xfId="1916"/>
    <cellStyle name="Percent 2 2 103 2" xfId="3987"/>
    <cellStyle name="Percent 2 2 104" xfId="1929"/>
    <cellStyle name="Percent 2 2 104 2" xfId="4000"/>
    <cellStyle name="Percent 2 2 105" xfId="1940"/>
    <cellStyle name="Percent 2 2 105 2" xfId="4011"/>
    <cellStyle name="Percent 2 2 106" xfId="1952"/>
    <cellStyle name="Percent 2 2 106 2" xfId="4023"/>
    <cellStyle name="Percent 2 2 107" xfId="1964"/>
    <cellStyle name="Percent 2 2 107 2" xfId="4035"/>
    <cellStyle name="Percent 2 2 108" xfId="1976"/>
    <cellStyle name="Percent 2 2 108 2" xfId="4047"/>
    <cellStyle name="Percent 2 2 109" xfId="1987"/>
    <cellStyle name="Percent 2 2 109 2" xfId="4058"/>
    <cellStyle name="Percent 2 2 11" xfId="225"/>
    <cellStyle name="Percent 2 2 11 2" xfId="2830"/>
    <cellStyle name="Percent 2 2 110" xfId="1997"/>
    <cellStyle name="Percent 2 2 110 2" xfId="4068"/>
    <cellStyle name="Percent 2 2 111" xfId="2015"/>
    <cellStyle name="Percent 2 2 111 2" xfId="4086"/>
    <cellStyle name="Percent 2 2 112" xfId="2026"/>
    <cellStyle name="Percent 2 2 112 2" xfId="4097"/>
    <cellStyle name="Percent 2 2 113" xfId="2037"/>
    <cellStyle name="Percent 2 2 113 2" xfId="4108"/>
    <cellStyle name="Percent 2 2 114" xfId="2047"/>
    <cellStyle name="Percent 2 2 114 2" xfId="4118"/>
    <cellStyle name="Percent 2 2 115" xfId="2671"/>
    <cellStyle name="Percent 2 2 12" xfId="236"/>
    <cellStyle name="Percent 2 2 12 2" xfId="2841"/>
    <cellStyle name="Percent 2 2 13" xfId="248"/>
    <cellStyle name="Percent 2 2 13 2" xfId="2853"/>
    <cellStyle name="Percent 2 2 14" xfId="257"/>
    <cellStyle name="Percent 2 2 14 2" xfId="2862"/>
    <cellStyle name="Percent 2 2 15" xfId="287"/>
    <cellStyle name="Percent 2 2 15 2" xfId="2892"/>
    <cellStyle name="Percent 2 2 16" xfId="294"/>
    <cellStyle name="Percent 2 2 16 2" xfId="2898"/>
    <cellStyle name="Percent 2 2 17" xfId="303"/>
    <cellStyle name="Percent 2 2 17 2" xfId="2907"/>
    <cellStyle name="Percent 2 2 18" xfId="298"/>
    <cellStyle name="Percent 2 2 18 2" xfId="2902"/>
    <cellStyle name="Percent 2 2 19" xfId="362"/>
    <cellStyle name="Percent 2 2 19 2" xfId="2946"/>
    <cellStyle name="Percent 2 2 2" xfId="106"/>
    <cellStyle name="Percent 2 2 2 2" xfId="2710"/>
    <cellStyle name="Percent 2 2 20" xfId="387"/>
    <cellStyle name="Percent 2 2 20 2" xfId="2958"/>
    <cellStyle name="Percent 2 2 21" xfId="412"/>
    <cellStyle name="Percent 2 2 21 2" xfId="2965"/>
    <cellStyle name="Percent 2 2 22" xfId="436"/>
    <cellStyle name="Percent 2 2 22 2" xfId="2979"/>
    <cellStyle name="Percent 2 2 23" xfId="462"/>
    <cellStyle name="Percent 2 2 23 2" xfId="2988"/>
    <cellStyle name="Percent 2 2 24" xfId="485"/>
    <cellStyle name="Percent 2 2 24 2" xfId="2998"/>
    <cellStyle name="Percent 2 2 25" xfId="510"/>
    <cellStyle name="Percent 2 2 25 2" xfId="3006"/>
    <cellStyle name="Percent 2 2 26" xfId="524"/>
    <cellStyle name="Percent 2 2 26 2" xfId="3012"/>
    <cellStyle name="Percent 2 2 27" xfId="558"/>
    <cellStyle name="Percent 2 2 27 2" xfId="3040"/>
    <cellStyle name="Percent 2 2 28" xfId="583"/>
    <cellStyle name="Percent 2 2 28 2" xfId="3052"/>
    <cellStyle name="Percent 2 2 29" xfId="605"/>
    <cellStyle name="Percent 2 2 29 2" xfId="3061"/>
    <cellStyle name="Percent 2 2 3" xfId="124"/>
    <cellStyle name="Percent 2 2 3 2" xfId="2729"/>
    <cellStyle name="Percent 2 2 30" xfId="628"/>
    <cellStyle name="Percent 2 2 30 2" xfId="3071"/>
    <cellStyle name="Percent 2 2 31" xfId="647"/>
    <cellStyle name="Percent 2 2 31 2" xfId="3077"/>
    <cellStyle name="Percent 2 2 32" xfId="661"/>
    <cellStyle name="Percent 2 2 32 2" xfId="3083"/>
    <cellStyle name="Percent 2 2 33" xfId="713"/>
    <cellStyle name="Percent 2 2 33 2" xfId="3117"/>
    <cellStyle name="Percent 2 2 34" xfId="738"/>
    <cellStyle name="Percent 2 2 34 2" xfId="3129"/>
    <cellStyle name="Percent 2 2 35" xfId="763"/>
    <cellStyle name="Percent 2 2 35 2" xfId="3141"/>
    <cellStyle name="Percent 2 2 36" xfId="789"/>
    <cellStyle name="Percent 2 2 36 2" xfId="3154"/>
    <cellStyle name="Percent 2 2 37" xfId="814"/>
    <cellStyle name="Percent 2 2 37 2" xfId="3166"/>
    <cellStyle name="Percent 2 2 38" xfId="839"/>
    <cellStyle name="Percent 2 2 38 2" xfId="3178"/>
    <cellStyle name="Percent 2 2 39" xfId="864"/>
    <cellStyle name="Percent 2 2 39 2" xfId="3190"/>
    <cellStyle name="Percent 2 2 4" xfId="136"/>
    <cellStyle name="Percent 2 2 4 2" xfId="2741"/>
    <cellStyle name="Percent 2 2 40" xfId="886"/>
    <cellStyle name="Percent 2 2 40 2" xfId="3199"/>
    <cellStyle name="Percent 2 2 41" xfId="912"/>
    <cellStyle name="Percent 2 2 41 2" xfId="3212"/>
    <cellStyle name="Percent 2 2 42" xfId="938"/>
    <cellStyle name="Percent 2 2 42 2" xfId="3225"/>
    <cellStyle name="Percent 2 2 43" xfId="963"/>
    <cellStyle name="Percent 2 2 43 2" xfId="3233"/>
    <cellStyle name="Percent 2 2 44" xfId="987"/>
    <cellStyle name="Percent 2 2 44 2" xfId="3248"/>
    <cellStyle name="Percent 2 2 45" xfId="1012"/>
    <cellStyle name="Percent 2 2 45 2" xfId="3260"/>
    <cellStyle name="Percent 2 2 46" xfId="1037"/>
    <cellStyle name="Percent 2 2 46 2" xfId="3272"/>
    <cellStyle name="Percent 2 2 47" xfId="1060"/>
    <cellStyle name="Percent 2 2 47 2" xfId="3282"/>
    <cellStyle name="Percent 2 2 48" xfId="1082"/>
    <cellStyle name="Percent 2 2 48 2" xfId="3291"/>
    <cellStyle name="Percent 2 2 49" xfId="1101"/>
    <cellStyle name="Percent 2 2 49 2" xfId="3297"/>
    <cellStyle name="Percent 2 2 5" xfId="147"/>
    <cellStyle name="Percent 2 2 5 2" xfId="2752"/>
    <cellStyle name="Percent 2 2 50" xfId="1115"/>
    <cellStyle name="Percent 2 2 50 2" xfId="3303"/>
    <cellStyle name="Percent 2 2 51" xfId="1170"/>
    <cellStyle name="Percent 2 2 51 2" xfId="3340"/>
    <cellStyle name="Percent 2 2 52" xfId="1196"/>
    <cellStyle name="Percent 2 2 52 2" xfId="3353"/>
    <cellStyle name="Percent 2 2 53" xfId="1222"/>
    <cellStyle name="Percent 2 2 53 2" xfId="3366"/>
    <cellStyle name="Percent 2 2 54" xfId="1245"/>
    <cellStyle name="Percent 2 2 54 2" xfId="3376"/>
    <cellStyle name="Percent 2 2 55" xfId="1268"/>
    <cellStyle name="Percent 2 2 55 2" xfId="3386"/>
    <cellStyle name="Percent 2 2 56" xfId="1291"/>
    <cellStyle name="Percent 2 2 56 2" xfId="3396"/>
    <cellStyle name="Percent 2 2 57" xfId="1314"/>
    <cellStyle name="Percent 2 2 57 2" xfId="3406"/>
    <cellStyle name="Percent 2 2 58" xfId="1334"/>
    <cellStyle name="Percent 2 2 58 2" xfId="3413"/>
    <cellStyle name="Percent 2 2 59" xfId="1349"/>
    <cellStyle name="Percent 2 2 59 2" xfId="3420"/>
    <cellStyle name="Percent 2 2 6" xfId="160"/>
    <cellStyle name="Percent 2 2 6 2" xfId="2765"/>
    <cellStyle name="Percent 2 2 60" xfId="1368"/>
    <cellStyle name="Percent 2 2 60 2" xfId="3439"/>
    <cellStyle name="Percent 2 2 61" xfId="1381"/>
    <cellStyle name="Percent 2 2 61 2" xfId="3452"/>
    <cellStyle name="Percent 2 2 62" xfId="1394"/>
    <cellStyle name="Percent 2 2 62 2" xfId="3465"/>
    <cellStyle name="Percent 2 2 63" xfId="1406"/>
    <cellStyle name="Percent 2 2 63 2" xfId="3477"/>
    <cellStyle name="Percent 2 2 64" xfId="1418"/>
    <cellStyle name="Percent 2 2 64 2" xfId="3489"/>
    <cellStyle name="Percent 2 2 65" xfId="1427"/>
    <cellStyle name="Percent 2 2 65 2" xfId="3498"/>
    <cellStyle name="Percent 2 2 66" xfId="1444"/>
    <cellStyle name="Percent 2 2 66 2" xfId="3515"/>
    <cellStyle name="Percent 2 2 67" xfId="1455"/>
    <cellStyle name="Percent 2 2 67 2" xfId="3526"/>
    <cellStyle name="Percent 2 2 68" xfId="1465"/>
    <cellStyle name="Percent 2 2 68 2" xfId="3536"/>
    <cellStyle name="Percent 2 2 69" xfId="1486"/>
    <cellStyle name="Percent 2 2 69 2" xfId="3557"/>
    <cellStyle name="Percent 2 2 7" xfId="170"/>
    <cellStyle name="Percent 2 2 7 2" xfId="2775"/>
    <cellStyle name="Percent 2 2 70" xfId="1499"/>
    <cellStyle name="Percent 2 2 70 2" xfId="3570"/>
    <cellStyle name="Percent 2 2 71" xfId="1512"/>
    <cellStyle name="Percent 2 2 71 2" xfId="3583"/>
    <cellStyle name="Percent 2 2 72" xfId="1523"/>
    <cellStyle name="Percent 2 2 72 2" xfId="3594"/>
    <cellStyle name="Percent 2 2 73" xfId="1535"/>
    <cellStyle name="Percent 2 2 73 2" xfId="3606"/>
    <cellStyle name="Percent 2 2 74" xfId="1545"/>
    <cellStyle name="Percent 2 2 74 2" xfId="3616"/>
    <cellStyle name="Percent 2 2 75" xfId="1555"/>
    <cellStyle name="Percent 2 2 75 2" xfId="3626"/>
    <cellStyle name="Percent 2 2 76" xfId="1572"/>
    <cellStyle name="Percent 2 2 76 2" xfId="3643"/>
    <cellStyle name="Percent 2 2 77" xfId="1583"/>
    <cellStyle name="Percent 2 2 77 2" xfId="3654"/>
    <cellStyle name="Percent 2 2 78" xfId="1593"/>
    <cellStyle name="Percent 2 2 78 2" xfId="3664"/>
    <cellStyle name="Percent 2 2 79" xfId="1612"/>
    <cellStyle name="Percent 2 2 79 2" xfId="3683"/>
    <cellStyle name="Percent 2 2 8" xfId="190"/>
    <cellStyle name="Percent 2 2 8 2" xfId="2795"/>
    <cellStyle name="Percent 2 2 80" xfId="1624"/>
    <cellStyle name="Percent 2 2 80 2" xfId="3695"/>
    <cellStyle name="Percent 2 2 81" xfId="1637"/>
    <cellStyle name="Percent 2 2 81 2" xfId="3708"/>
    <cellStyle name="Percent 2 2 82" xfId="1649"/>
    <cellStyle name="Percent 2 2 82 2" xfId="3720"/>
    <cellStyle name="Percent 2 2 83" xfId="1661"/>
    <cellStyle name="Percent 2 2 83 2" xfId="3732"/>
    <cellStyle name="Percent 2 2 84" xfId="1673"/>
    <cellStyle name="Percent 2 2 84 2" xfId="3744"/>
    <cellStyle name="Percent 2 2 85" xfId="1687"/>
    <cellStyle name="Percent 2 2 85 2" xfId="3758"/>
    <cellStyle name="Percent 2 2 86" xfId="1699"/>
    <cellStyle name="Percent 2 2 86 2" xfId="3770"/>
    <cellStyle name="Percent 2 2 87" xfId="1712"/>
    <cellStyle name="Percent 2 2 87 2" xfId="3783"/>
    <cellStyle name="Percent 2 2 88" xfId="1724"/>
    <cellStyle name="Percent 2 2 88 2" xfId="3795"/>
    <cellStyle name="Percent 2 2 89" xfId="1736"/>
    <cellStyle name="Percent 2 2 89 2" xfId="3807"/>
    <cellStyle name="Percent 2 2 9" xfId="201"/>
    <cellStyle name="Percent 2 2 9 2" xfId="2806"/>
    <cellStyle name="Percent 2 2 90" xfId="1749"/>
    <cellStyle name="Percent 2 2 90 2" xfId="3820"/>
    <cellStyle name="Percent 2 2 91" xfId="1761"/>
    <cellStyle name="Percent 2 2 91 2" xfId="3832"/>
    <cellStyle name="Percent 2 2 92" xfId="1773"/>
    <cellStyle name="Percent 2 2 92 2" xfId="3844"/>
    <cellStyle name="Percent 2 2 93" xfId="1785"/>
    <cellStyle name="Percent 2 2 93 2" xfId="3856"/>
    <cellStyle name="Percent 2 2 94" xfId="1796"/>
    <cellStyle name="Percent 2 2 94 2" xfId="3867"/>
    <cellStyle name="Percent 2 2 95" xfId="1806"/>
    <cellStyle name="Percent 2 2 95 2" xfId="3877"/>
    <cellStyle name="Percent 2 2 96" xfId="1820"/>
    <cellStyle name="Percent 2 2 96 2" xfId="3891"/>
    <cellStyle name="Percent 2 2 97" xfId="1830"/>
    <cellStyle name="Percent 2 2 97 2" xfId="3901"/>
    <cellStyle name="Percent 2 2 98" xfId="1851"/>
    <cellStyle name="Percent 2 2 98 2" xfId="3922"/>
    <cellStyle name="Percent 2 2 99" xfId="1864"/>
    <cellStyle name="Percent 2 2 99 2" xfId="3935"/>
    <cellStyle name="Percent 2 20" xfId="361"/>
    <cellStyle name="Percent 2 20 2" xfId="2945"/>
    <cellStyle name="Percent 2 21" xfId="386"/>
    <cellStyle name="Percent 2 21 2" xfId="2957"/>
    <cellStyle name="Percent 2 22" xfId="411"/>
    <cellStyle name="Percent 2 22 2" xfId="2964"/>
    <cellStyle name="Percent 2 23" xfId="435"/>
    <cellStyle name="Percent 2 23 2" xfId="2978"/>
    <cellStyle name="Percent 2 24" xfId="461"/>
    <cellStyle name="Percent 2 24 2" xfId="2987"/>
    <cellStyle name="Percent 2 25" xfId="484"/>
    <cellStyle name="Percent 2 25 2" xfId="2997"/>
    <cellStyle name="Percent 2 26" xfId="509"/>
    <cellStyle name="Percent 2 26 2" xfId="3005"/>
    <cellStyle name="Percent 2 27" xfId="523"/>
    <cellStyle name="Percent 2 27 2" xfId="3011"/>
    <cellStyle name="Percent 2 28" xfId="557"/>
    <cellStyle name="Percent 2 28 2" xfId="3039"/>
    <cellStyle name="Percent 2 29" xfId="582"/>
    <cellStyle name="Percent 2 29 2" xfId="3051"/>
    <cellStyle name="Percent 2 3" xfId="105"/>
    <cellStyle name="Percent 2 3 2" xfId="2618"/>
    <cellStyle name="Percent 2 3 2 2" xfId="4151"/>
    <cellStyle name="Percent 2 3 3" xfId="2709"/>
    <cellStyle name="Percent 2 30" xfId="604"/>
    <cellStyle name="Percent 2 30 2" xfId="3060"/>
    <cellStyle name="Percent 2 31" xfId="627"/>
    <cellStyle name="Percent 2 31 2" xfId="3070"/>
    <cellStyle name="Percent 2 32" xfId="646"/>
    <cellStyle name="Percent 2 32 2" xfId="3076"/>
    <cellStyle name="Percent 2 33" xfId="660"/>
    <cellStyle name="Percent 2 33 2" xfId="3082"/>
    <cellStyle name="Percent 2 34" xfId="712"/>
    <cellStyle name="Percent 2 34 2" xfId="3116"/>
    <cellStyle name="Percent 2 35" xfId="737"/>
    <cellStyle name="Percent 2 35 2" xfId="3128"/>
    <cellStyle name="Percent 2 36" xfId="762"/>
    <cellStyle name="Percent 2 36 2" xfId="3140"/>
    <cellStyle name="Percent 2 37" xfId="788"/>
    <cellStyle name="Percent 2 37 2" xfId="3153"/>
    <cellStyle name="Percent 2 38" xfId="813"/>
    <cellStyle name="Percent 2 38 2" xfId="3165"/>
    <cellStyle name="Percent 2 39" xfId="838"/>
    <cellStyle name="Percent 2 39 2" xfId="3177"/>
    <cellStyle name="Percent 2 4" xfId="123"/>
    <cellStyle name="Percent 2 4 2" xfId="2619"/>
    <cellStyle name="Percent 2 4 2 2" xfId="4152"/>
    <cellStyle name="Percent 2 4 3" xfId="2728"/>
    <cellStyle name="Percent 2 40" xfId="863"/>
    <cellStyle name="Percent 2 40 2" xfId="3189"/>
    <cellStyle name="Percent 2 41" xfId="885"/>
    <cellStyle name="Percent 2 41 2" xfId="3198"/>
    <cellStyle name="Percent 2 42" xfId="911"/>
    <cellStyle name="Percent 2 42 2" xfId="3211"/>
    <cellStyle name="Percent 2 43" xfId="937"/>
    <cellStyle name="Percent 2 43 2" xfId="3224"/>
    <cellStyle name="Percent 2 44" xfId="962"/>
    <cellStyle name="Percent 2 44 2" xfId="3232"/>
    <cellStyle name="Percent 2 45" xfId="986"/>
    <cellStyle name="Percent 2 45 2" xfId="3247"/>
    <cellStyle name="Percent 2 46" xfId="1011"/>
    <cellStyle name="Percent 2 46 2" xfId="3259"/>
    <cellStyle name="Percent 2 47" xfId="1036"/>
    <cellStyle name="Percent 2 47 2" xfId="3271"/>
    <cellStyle name="Percent 2 48" xfId="1059"/>
    <cellStyle name="Percent 2 48 2" xfId="3281"/>
    <cellStyle name="Percent 2 49" xfId="1081"/>
    <cellStyle name="Percent 2 49 2" xfId="3290"/>
    <cellStyle name="Percent 2 5" xfId="135"/>
    <cellStyle name="Percent 2 5 2" xfId="2620"/>
    <cellStyle name="Percent 2 5 2 2" xfId="4153"/>
    <cellStyle name="Percent 2 5 3" xfId="2740"/>
    <cellStyle name="Percent 2 50" xfId="1100"/>
    <cellStyle name="Percent 2 50 2" xfId="3296"/>
    <cellStyle name="Percent 2 51" xfId="1114"/>
    <cellStyle name="Percent 2 51 2" xfId="3302"/>
    <cellStyle name="Percent 2 52" xfId="1169"/>
    <cellStyle name="Percent 2 52 2" xfId="3339"/>
    <cellStyle name="Percent 2 53" xfId="1195"/>
    <cellStyle name="Percent 2 53 2" xfId="3352"/>
    <cellStyle name="Percent 2 54" xfId="1221"/>
    <cellStyle name="Percent 2 54 2" xfId="3365"/>
    <cellStyle name="Percent 2 55" xfId="1244"/>
    <cellStyle name="Percent 2 55 2" xfId="3375"/>
    <cellStyle name="Percent 2 56" xfId="1267"/>
    <cellStyle name="Percent 2 56 2" xfId="3385"/>
    <cellStyle name="Percent 2 57" xfId="1290"/>
    <cellStyle name="Percent 2 57 2" xfId="3395"/>
    <cellStyle name="Percent 2 58" xfId="1313"/>
    <cellStyle name="Percent 2 58 2" xfId="3405"/>
    <cellStyle name="Percent 2 59" xfId="1333"/>
    <cellStyle name="Percent 2 59 2" xfId="3412"/>
    <cellStyle name="Percent 2 6" xfId="146"/>
    <cellStyle name="Percent 2 6 2" xfId="2751"/>
    <cellStyle name="Percent 2 60" xfId="1348"/>
    <cellStyle name="Percent 2 60 2" xfId="3419"/>
    <cellStyle name="Percent 2 61" xfId="1367"/>
    <cellStyle name="Percent 2 61 2" xfId="3438"/>
    <cellStyle name="Percent 2 62" xfId="1380"/>
    <cellStyle name="Percent 2 62 2" xfId="3451"/>
    <cellStyle name="Percent 2 63" xfId="1393"/>
    <cellStyle name="Percent 2 63 2" xfId="3464"/>
    <cellStyle name="Percent 2 64" xfId="1405"/>
    <cellStyle name="Percent 2 64 2" xfId="3476"/>
    <cellStyle name="Percent 2 65" xfId="1417"/>
    <cellStyle name="Percent 2 65 2" xfId="3488"/>
    <cellStyle name="Percent 2 66" xfId="1426"/>
    <cellStyle name="Percent 2 66 2" xfId="3497"/>
    <cellStyle name="Percent 2 67" xfId="1443"/>
    <cellStyle name="Percent 2 67 2" xfId="3514"/>
    <cellStyle name="Percent 2 68" xfId="1454"/>
    <cellStyle name="Percent 2 68 2" xfId="3525"/>
    <cellStyle name="Percent 2 69" xfId="1464"/>
    <cellStyle name="Percent 2 69 2" xfId="3535"/>
    <cellStyle name="Percent 2 7" xfId="159"/>
    <cellStyle name="Percent 2 7 2" xfId="2764"/>
    <cellStyle name="Percent 2 70" xfId="1485"/>
    <cellStyle name="Percent 2 70 2" xfId="3556"/>
    <cellStyle name="Percent 2 71" xfId="1498"/>
    <cellStyle name="Percent 2 71 2" xfId="3569"/>
    <cellStyle name="Percent 2 72" xfId="1511"/>
    <cellStyle name="Percent 2 72 2" xfId="3582"/>
    <cellStyle name="Percent 2 73" xfId="1522"/>
    <cellStyle name="Percent 2 73 2" xfId="3593"/>
    <cellStyle name="Percent 2 74" xfId="1534"/>
    <cellStyle name="Percent 2 74 2" xfId="3605"/>
    <cellStyle name="Percent 2 75" xfId="1544"/>
    <cellStyle name="Percent 2 75 2" xfId="3615"/>
    <cellStyle name="Percent 2 76" xfId="1554"/>
    <cellStyle name="Percent 2 76 2" xfId="3625"/>
    <cellStyle name="Percent 2 77" xfId="1571"/>
    <cellStyle name="Percent 2 77 2" xfId="3642"/>
    <cellStyle name="Percent 2 78" xfId="1582"/>
    <cellStyle name="Percent 2 78 2" xfId="3653"/>
    <cellStyle name="Percent 2 79" xfId="1592"/>
    <cellStyle name="Percent 2 79 2" xfId="3663"/>
    <cellStyle name="Percent 2 8" xfId="169"/>
    <cellStyle name="Percent 2 8 2" xfId="2774"/>
    <cellStyle name="Percent 2 80" xfId="1611"/>
    <cellStyle name="Percent 2 80 2" xfId="3682"/>
    <cellStyle name="Percent 2 81" xfId="1623"/>
    <cellStyle name="Percent 2 81 2" xfId="3694"/>
    <cellStyle name="Percent 2 82" xfId="1636"/>
    <cellStyle name="Percent 2 82 2" xfId="3707"/>
    <cellStyle name="Percent 2 83" xfId="1648"/>
    <cellStyle name="Percent 2 83 2" xfId="3719"/>
    <cellStyle name="Percent 2 84" xfId="1660"/>
    <cellStyle name="Percent 2 84 2" xfId="3731"/>
    <cellStyle name="Percent 2 85" xfId="1672"/>
    <cellStyle name="Percent 2 85 2" xfId="3743"/>
    <cellStyle name="Percent 2 86" xfId="1686"/>
    <cellStyle name="Percent 2 86 2" xfId="3757"/>
    <cellStyle name="Percent 2 87" xfId="1698"/>
    <cellStyle name="Percent 2 87 2" xfId="3769"/>
    <cellStyle name="Percent 2 88" xfId="1711"/>
    <cellStyle name="Percent 2 88 2" xfId="3782"/>
    <cellStyle name="Percent 2 89" xfId="1723"/>
    <cellStyle name="Percent 2 89 2" xfId="3794"/>
    <cellStyle name="Percent 2 9" xfId="189"/>
    <cellStyle name="Percent 2 9 2" xfId="2794"/>
    <cellStyle name="Percent 2 90" xfId="1735"/>
    <cellStyle name="Percent 2 90 2" xfId="3806"/>
    <cellStyle name="Percent 2 91" xfId="1748"/>
    <cellStyle name="Percent 2 91 2" xfId="3819"/>
    <cellStyle name="Percent 2 92" xfId="1760"/>
    <cellStyle name="Percent 2 92 2" xfId="3831"/>
    <cellStyle name="Percent 2 93" xfId="1772"/>
    <cellStyle name="Percent 2 93 2" xfId="3843"/>
    <cellStyle name="Percent 2 94" xfId="1784"/>
    <cellStyle name="Percent 2 94 2" xfId="3855"/>
    <cellStyle name="Percent 2 95" xfId="1795"/>
    <cellStyle name="Percent 2 95 2" xfId="3866"/>
    <cellStyle name="Percent 2 96" xfId="1805"/>
    <cellStyle name="Percent 2 96 2" xfId="3876"/>
    <cellStyle name="Percent 2 97" xfId="1819"/>
    <cellStyle name="Percent 2 97 2" xfId="3890"/>
    <cellStyle name="Percent 2 98" xfId="1829"/>
    <cellStyle name="Percent 2 98 2" xfId="3900"/>
    <cellStyle name="Percent 2 99" xfId="1850"/>
    <cellStyle name="Percent 2 99 2" xfId="3921"/>
    <cellStyle name="Percent 20" xfId="2647"/>
    <cellStyle name="Percent 20 2" xfId="4179"/>
    <cellStyle name="Percent 22" xfId="626"/>
    <cellStyle name="Percent 22 2" xfId="3069"/>
    <cellStyle name="Percent 25" xfId="936"/>
    <cellStyle name="Percent 25 2" xfId="3223"/>
    <cellStyle name="Percent 26" xfId="82"/>
    <cellStyle name="Percent 26 2" xfId="2684"/>
    <cellStyle name="Percent 3" xfId="46"/>
    <cellStyle name="Percent 3 10" xfId="213"/>
    <cellStyle name="Percent 3 10 2" xfId="2818"/>
    <cellStyle name="Percent 3 100" xfId="1878"/>
    <cellStyle name="Percent 3 100 2" xfId="3949"/>
    <cellStyle name="Percent 3 101" xfId="1891"/>
    <cellStyle name="Percent 3 101 2" xfId="3962"/>
    <cellStyle name="Percent 3 102" xfId="1904"/>
    <cellStyle name="Percent 3 102 2" xfId="3975"/>
    <cellStyle name="Percent 3 103" xfId="1917"/>
    <cellStyle name="Percent 3 103 2" xfId="3988"/>
    <cellStyle name="Percent 3 104" xfId="1930"/>
    <cellStyle name="Percent 3 104 2" xfId="4001"/>
    <cellStyle name="Percent 3 105" xfId="1941"/>
    <cellStyle name="Percent 3 105 2" xfId="4012"/>
    <cellStyle name="Percent 3 106" xfId="1953"/>
    <cellStyle name="Percent 3 106 2" xfId="4024"/>
    <cellStyle name="Percent 3 107" xfId="1965"/>
    <cellStyle name="Percent 3 107 2" xfId="4036"/>
    <cellStyle name="Percent 3 108" xfId="1977"/>
    <cellStyle name="Percent 3 108 2" xfId="4048"/>
    <cellStyle name="Percent 3 109" xfId="1988"/>
    <cellStyle name="Percent 3 109 2" xfId="4059"/>
    <cellStyle name="Percent 3 11" xfId="226"/>
    <cellStyle name="Percent 3 11 2" xfId="2831"/>
    <cellStyle name="Percent 3 110" xfId="1998"/>
    <cellStyle name="Percent 3 110 2" xfId="4069"/>
    <cellStyle name="Percent 3 111" xfId="2016"/>
    <cellStyle name="Percent 3 111 2" xfId="4087"/>
    <cellStyle name="Percent 3 112" xfId="2027"/>
    <cellStyle name="Percent 3 112 2" xfId="4098"/>
    <cellStyle name="Percent 3 113" xfId="2038"/>
    <cellStyle name="Percent 3 113 2" xfId="4109"/>
    <cellStyle name="Percent 3 114" xfId="2048"/>
    <cellStyle name="Percent 3 114 2" xfId="4119"/>
    <cellStyle name="Percent 3 115" xfId="2691"/>
    <cellStyle name="Percent 3 12" xfId="237"/>
    <cellStyle name="Percent 3 12 2" xfId="2842"/>
    <cellStyle name="Percent 3 13" xfId="249"/>
    <cellStyle name="Percent 3 13 2" xfId="2854"/>
    <cellStyle name="Percent 3 14" xfId="258"/>
    <cellStyle name="Percent 3 14 2" xfId="2863"/>
    <cellStyle name="Percent 3 15" xfId="288"/>
    <cellStyle name="Percent 3 15 2" xfId="2893"/>
    <cellStyle name="Percent 3 16" xfId="295"/>
    <cellStyle name="Percent 3 16 2" xfId="2899"/>
    <cellStyle name="Percent 3 17" xfId="304"/>
    <cellStyle name="Percent 3 17 2" xfId="2908"/>
    <cellStyle name="Percent 3 18" xfId="309"/>
    <cellStyle name="Percent 3 18 2" xfId="2913"/>
    <cellStyle name="Percent 3 19" xfId="363"/>
    <cellStyle name="Percent 3 19 2" xfId="2947"/>
    <cellStyle name="Percent 3 2" xfId="107"/>
    <cellStyle name="Percent 3 2 2" xfId="2621"/>
    <cellStyle name="Percent 3 2 2 2" xfId="4154"/>
    <cellStyle name="Percent 3 2 3" xfId="2711"/>
    <cellStyle name="Percent 3 20" xfId="388"/>
    <cellStyle name="Percent 3 20 2" xfId="2959"/>
    <cellStyle name="Percent 3 21" xfId="413"/>
    <cellStyle name="Percent 3 21 2" xfId="2966"/>
    <cellStyle name="Percent 3 22" xfId="437"/>
    <cellStyle name="Percent 3 22 2" xfId="2980"/>
    <cellStyle name="Percent 3 23" xfId="463"/>
    <cellStyle name="Percent 3 23 2" xfId="2989"/>
    <cellStyle name="Percent 3 24" xfId="486"/>
    <cellStyle name="Percent 3 24 2" xfId="2999"/>
    <cellStyle name="Percent 3 25" xfId="511"/>
    <cellStyle name="Percent 3 25 2" xfId="3007"/>
    <cellStyle name="Percent 3 26" xfId="525"/>
    <cellStyle name="Percent 3 26 2" xfId="3013"/>
    <cellStyle name="Percent 3 27" xfId="559"/>
    <cellStyle name="Percent 3 27 2" xfId="3041"/>
    <cellStyle name="Percent 3 28" xfId="584"/>
    <cellStyle name="Percent 3 28 2" xfId="3053"/>
    <cellStyle name="Percent 3 29" xfId="606"/>
    <cellStyle name="Percent 3 29 2" xfId="3062"/>
    <cellStyle name="Percent 3 3" xfId="125"/>
    <cellStyle name="Percent 3 3 2" xfId="2622"/>
    <cellStyle name="Percent 3 3 2 2" xfId="4155"/>
    <cellStyle name="Percent 3 3 3" xfId="2730"/>
    <cellStyle name="Percent 3 30" xfId="629"/>
    <cellStyle name="Percent 3 30 2" xfId="3072"/>
    <cellStyle name="Percent 3 31" xfId="648"/>
    <cellStyle name="Percent 3 31 2" xfId="3078"/>
    <cellStyle name="Percent 3 32" xfId="662"/>
    <cellStyle name="Percent 3 32 2" xfId="3084"/>
    <cellStyle name="Percent 3 33" xfId="714"/>
    <cellStyle name="Percent 3 33 2" xfId="3118"/>
    <cellStyle name="Percent 3 34" xfId="739"/>
    <cellStyle name="Percent 3 34 2" xfId="3130"/>
    <cellStyle name="Percent 3 35" xfId="764"/>
    <cellStyle name="Percent 3 35 2" xfId="3142"/>
    <cellStyle name="Percent 3 36" xfId="790"/>
    <cellStyle name="Percent 3 36 2" xfId="3155"/>
    <cellStyle name="Percent 3 37" xfId="815"/>
    <cellStyle name="Percent 3 37 2" xfId="3167"/>
    <cellStyle name="Percent 3 38" xfId="840"/>
    <cellStyle name="Percent 3 38 2" xfId="3179"/>
    <cellStyle name="Percent 3 39" xfId="865"/>
    <cellStyle name="Percent 3 39 2" xfId="3191"/>
    <cellStyle name="Percent 3 4" xfId="137"/>
    <cellStyle name="Percent 3 4 2" xfId="2623"/>
    <cellStyle name="Percent 3 4 2 2" xfId="4156"/>
    <cellStyle name="Percent 3 4 3" xfId="2742"/>
    <cellStyle name="Percent 3 40" xfId="887"/>
    <cellStyle name="Percent 3 40 2" xfId="3200"/>
    <cellStyle name="Percent 3 41" xfId="913"/>
    <cellStyle name="Percent 3 41 2" xfId="3213"/>
    <cellStyle name="Percent 3 42" xfId="939"/>
    <cellStyle name="Percent 3 42 2" xfId="3226"/>
    <cellStyle name="Percent 3 43" xfId="964"/>
    <cellStyle name="Percent 3 43 2" xfId="3234"/>
    <cellStyle name="Percent 3 44" xfId="988"/>
    <cellStyle name="Percent 3 44 2" xfId="3249"/>
    <cellStyle name="Percent 3 45" xfId="1013"/>
    <cellStyle name="Percent 3 45 2" xfId="3261"/>
    <cellStyle name="Percent 3 46" xfId="1038"/>
    <cellStyle name="Percent 3 46 2" xfId="3273"/>
    <cellStyle name="Percent 3 47" xfId="1061"/>
    <cellStyle name="Percent 3 47 2" xfId="3283"/>
    <cellStyle name="Percent 3 48" xfId="1083"/>
    <cellStyle name="Percent 3 48 2" xfId="3292"/>
    <cellStyle name="Percent 3 49" xfId="1102"/>
    <cellStyle name="Percent 3 49 2" xfId="3298"/>
    <cellStyle name="Percent 3 5" xfId="148"/>
    <cellStyle name="Percent 3 5 2" xfId="2624"/>
    <cellStyle name="Percent 3 5 2 2" xfId="4157"/>
    <cellStyle name="Percent 3 5 3" xfId="2753"/>
    <cellStyle name="Percent 3 50" xfId="1116"/>
    <cellStyle name="Percent 3 50 2" xfId="3304"/>
    <cellStyle name="Percent 3 51" xfId="1171"/>
    <cellStyle name="Percent 3 51 2" xfId="3341"/>
    <cellStyle name="Percent 3 52" xfId="1197"/>
    <cellStyle name="Percent 3 52 2" xfId="3354"/>
    <cellStyle name="Percent 3 53" xfId="1223"/>
    <cellStyle name="Percent 3 53 2" xfId="3367"/>
    <cellStyle name="Percent 3 54" xfId="1246"/>
    <cellStyle name="Percent 3 54 2" xfId="3377"/>
    <cellStyle name="Percent 3 55" xfId="1269"/>
    <cellStyle name="Percent 3 55 2" xfId="3387"/>
    <cellStyle name="Percent 3 56" xfId="1292"/>
    <cellStyle name="Percent 3 56 2" xfId="3397"/>
    <cellStyle name="Percent 3 57" xfId="1315"/>
    <cellStyle name="Percent 3 57 2" xfId="3407"/>
    <cellStyle name="Percent 3 58" xfId="1335"/>
    <cellStyle name="Percent 3 58 2" xfId="3414"/>
    <cellStyle name="Percent 3 59" xfId="1350"/>
    <cellStyle name="Percent 3 59 2" xfId="3421"/>
    <cellStyle name="Percent 3 6" xfId="161"/>
    <cellStyle name="Percent 3 6 2" xfId="2766"/>
    <cellStyle name="Percent 3 60" xfId="1369"/>
    <cellStyle name="Percent 3 60 2" xfId="3440"/>
    <cellStyle name="Percent 3 61" xfId="1382"/>
    <cellStyle name="Percent 3 61 2" xfId="3453"/>
    <cellStyle name="Percent 3 62" xfId="1395"/>
    <cellStyle name="Percent 3 62 2" xfId="3466"/>
    <cellStyle name="Percent 3 63" xfId="1407"/>
    <cellStyle name="Percent 3 63 2" xfId="3478"/>
    <cellStyle name="Percent 3 64" xfId="1419"/>
    <cellStyle name="Percent 3 64 2" xfId="3490"/>
    <cellStyle name="Percent 3 65" xfId="1428"/>
    <cellStyle name="Percent 3 65 2" xfId="3499"/>
    <cellStyle name="Percent 3 66" xfId="1445"/>
    <cellStyle name="Percent 3 66 2" xfId="3516"/>
    <cellStyle name="Percent 3 67" xfId="1456"/>
    <cellStyle name="Percent 3 67 2" xfId="3527"/>
    <cellStyle name="Percent 3 68" xfId="1466"/>
    <cellStyle name="Percent 3 68 2" xfId="3537"/>
    <cellStyle name="Percent 3 69" xfId="1487"/>
    <cellStyle name="Percent 3 69 2" xfId="3558"/>
    <cellStyle name="Percent 3 7" xfId="171"/>
    <cellStyle name="Percent 3 7 2" xfId="2776"/>
    <cellStyle name="Percent 3 70" xfId="1500"/>
    <cellStyle name="Percent 3 70 2" xfId="3571"/>
    <cellStyle name="Percent 3 71" xfId="1513"/>
    <cellStyle name="Percent 3 71 2" xfId="3584"/>
    <cellStyle name="Percent 3 72" xfId="1524"/>
    <cellStyle name="Percent 3 72 2" xfId="3595"/>
    <cellStyle name="Percent 3 73" xfId="1536"/>
    <cellStyle name="Percent 3 73 2" xfId="3607"/>
    <cellStyle name="Percent 3 74" xfId="1546"/>
    <cellStyle name="Percent 3 74 2" xfId="3617"/>
    <cellStyle name="Percent 3 75" xfId="1556"/>
    <cellStyle name="Percent 3 75 2" xfId="3627"/>
    <cellStyle name="Percent 3 76" xfId="1573"/>
    <cellStyle name="Percent 3 76 2" xfId="3644"/>
    <cellStyle name="Percent 3 77" xfId="1584"/>
    <cellStyle name="Percent 3 77 2" xfId="3655"/>
    <cellStyle name="Percent 3 78" xfId="1594"/>
    <cellStyle name="Percent 3 78 2" xfId="3665"/>
    <cellStyle name="Percent 3 79" xfId="1613"/>
    <cellStyle name="Percent 3 79 2" xfId="3684"/>
    <cellStyle name="Percent 3 8" xfId="191"/>
    <cellStyle name="Percent 3 8 2" xfId="2796"/>
    <cellStyle name="Percent 3 80" xfId="1625"/>
    <cellStyle name="Percent 3 80 2" xfId="3696"/>
    <cellStyle name="Percent 3 81" xfId="1638"/>
    <cellStyle name="Percent 3 81 2" xfId="3709"/>
    <cellStyle name="Percent 3 82" xfId="1650"/>
    <cellStyle name="Percent 3 82 2" xfId="3721"/>
    <cellStyle name="Percent 3 83" xfId="1662"/>
    <cellStyle name="Percent 3 83 2" xfId="3733"/>
    <cellStyle name="Percent 3 84" xfId="1674"/>
    <cellStyle name="Percent 3 84 2" xfId="3745"/>
    <cellStyle name="Percent 3 85" xfId="1688"/>
    <cellStyle name="Percent 3 85 2" xfId="3759"/>
    <cellStyle name="Percent 3 86" xfId="1700"/>
    <cellStyle name="Percent 3 86 2" xfId="3771"/>
    <cellStyle name="Percent 3 87" xfId="1713"/>
    <cellStyle name="Percent 3 87 2" xfId="3784"/>
    <cellStyle name="Percent 3 88" xfId="1725"/>
    <cellStyle name="Percent 3 88 2" xfId="3796"/>
    <cellStyle name="Percent 3 89" xfId="1737"/>
    <cellStyle name="Percent 3 89 2" xfId="3808"/>
    <cellStyle name="Percent 3 9" xfId="202"/>
    <cellStyle name="Percent 3 9 2" xfId="2807"/>
    <cellStyle name="Percent 3 90" xfId="1750"/>
    <cellStyle name="Percent 3 90 2" xfId="3821"/>
    <cellStyle name="Percent 3 91" xfId="1762"/>
    <cellStyle name="Percent 3 91 2" xfId="3833"/>
    <cellStyle name="Percent 3 92" xfId="1774"/>
    <cellStyle name="Percent 3 92 2" xfId="3845"/>
    <cellStyle name="Percent 3 93" xfId="1786"/>
    <cellStyle name="Percent 3 93 2" xfId="3857"/>
    <cellStyle name="Percent 3 94" xfId="1797"/>
    <cellStyle name="Percent 3 94 2" xfId="3868"/>
    <cellStyle name="Percent 3 95" xfId="1807"/>
    <cellStyle name="Percent 3 95 2" xfId="3878"/>
    <cellStyle name="Percent 3 96" xfId="1821"/>
    <cellStyle name="Percent 3 96 2" xfId="3892"/>
    <cellStyle name="Percent 3 97" xfId="1831"/>
    <cellStyle name="Percent 3 97 2" xfId="3902"/>
    <cellStyle name="Percent 3 98" xfId="1852"/>
    <cellStyle name="Percent 3 98 2" xfId="3923"/>
    <cellStyle name="Percent 3 99" xfId="1865"/>
    <cellStyle name="Percent 3 99 2" xfId="3936"/>
    <cellStyle name="Percent 31" xfId="1058"/>
    <cellStyle name="Percent 31 2" xfId="3280"/>
    <cellStyle name="Percent 4" xfId="108"/>
    <cellStyle name="Percent 4 2" xfId="128"/>
    <cellStyle name="Percent 4 2 2" xfId="2625"/>
    <cellStyle name="Percent 4 2 2 2" xfId="4158"/>
    <cellStyle name="Percent 4 2 3" xfId="2733"/>
    <cellStyle name="Percent 4 3" xfId="2626"/>
    <cellStyle name="Percent 4 3 2" xfId="2627"/>
    <cellStyle name="Percent 4 3 2 2" xfId="4160"/>
    <cellStyle name="Percent 4 3 3" xfId="4159"/>
    <cellStyle name="Percent 4 4" xfId="2628"/>
    <cellStyle name="Percent 4 4 2" xfId="2629"/>
    <cellStyle name="Percent 4 4 2 2" xfId="4162"/>
    <cellStyle name="Percent 4 4 3" xfId="4161"/>
    <cellStyle name="Percent 4 5" xfId="2630"/>
    <cellStyle name="Percent 4 5 2" xfId="2631"/>
    <cellStyle name="Percent 4 5 2 2" xfId="4164"/>
    <cellStyle name="Percent 4 5 3" xfId="4163"/>
    <cellStyle name="Percent 4 6" xfId="2632"/>
    <cellStyle name="Percent 4 6 2" xfId="4165"/>
    <cellStyle name="Percent 4 7" xfId="2712"/>
    <cellStyle name="Percent 5" xfId="91"/>
    <cellStyle name="Percent 5 10" xfId="217"/>
    <cellStyle name="Percent 5 10 2" xfId="2822"/>
    <cellStyle name="Percent 5 100" xfId="1882"/>
    <cellStyle name="Percent 5 100 2" xfId="3953"/>
    <cellStyle name="Percent 5 101" xfId="1895"/>
    <cellStyle name="Percent 5 101 2" xfId="3966"/>
    <cellStyle name="Percent 5 102" xfId="1908"/>
    <cellStyle name="Percent 5 102 2" xfId="3979"/>
    <cellStyle name="Percent 5 103" xfId="1921"/>
    <cellStyle name="Percent 5 103 2" xfId="3992"/>
    <cellStyle name="Percent 5 104" xfId="1934"/>
    <cellStyle name="Percent 5 104 2" xfId="4005"/>
    <cellStyle name="Percent 5 105" xfId="1945"/>
    <cellStyle name="Percent 5 105 2" xfId="4016"/>
    <cellStyle name="Percent 5 106" xfId="1954"/>
    <cellStyle name="Percent 5 106 2" xfId="4025"/>
    <cellStyle name="Percent 5 107" xfId="1969"/>
    <cellStyle name="Percent 5 107 2" xfId="4040"/>
    <cellStyle name="Percent 5 108" xfId="1981"/>
    <cellStyle name="Percent 5 108 2" xfId="4052"/>
    <cellStyle name="Percent 5 109" xfId="1992"/>
    <cellStyle name="Percent 5 109 2" xfId="4063"/>
    <cellStyle name="Percent 5 11" xfId="230"/>
    <cellStyle name="Percent 5 11 2" xfId="2835"/>
    <cellStyle name="Percent 5 110" xfId="1999"/>
    <cellStyle name="Percent 5 110 2" xfId="4070"/>
    <cellStyle name="Percent 5 111" xfId="2020"/>
    <cellStyle name="Percent 5 111 2" xfId="4091"/>
    <cellStyle name="Percent 5 112" xfId="2031"/>
    <cellStyle name="Percent 5 112 2" xfId="4102"/>
    <cellStyle name="Percent 5 113" xfId="2042"/>
    <cellStyle name="Percent 5 113 2" xfId="4113"/>
    <cellStyle name="Percent 5 114" xfId="2049"/>
    <cellStyle name="Percent 5 114 2" xfId="4120"/>
    <cellStyle name="Percent 5 115" xfId="2695"/>
    <cellStyle name="Percent 5 12" xfId="241"/>
    <cellStyle name="Percent 5 12 2" xfId="2846"/>
    <cellStyle name="Percent 5 13" xfId="253"/>
    <cellStyle name="Percent 5 13 2" xfId="2858"/>
    <cellStyle name="Percent 5 14" xfId="259"/>
    <cellStyle name="Percent 5 14 2" xfId="2864"/>
    <cellStyle name="Percent 5 15" xfId="289"/>
    <cellStyle name="Percent 5 15 2" xfId="2894"/>
    <cellStyle name="Percent 5 16" xfId="297"/>
    <cellStyle name="Percent 5 16 2" xfId="2901"/>
    <cellStyle name="Percent 5 17" xfId="305"/>
    <cellStyle name="Percent 5 17 2" xfId="2909"/>
    <cellStyle name="Percent 5 18" xfId="310"/>
    <cellStyle name="Percent 5 18 2" xfId="2914"/>
    <cellStyle name="Percent 5 19" xfId="367"/>
    <cellStyle name="Percent 5 19 2" xfId="2948"/>
    <cellStyle name="Percent 5 2" xfId="109"/>
    <cellStyle name="Percent 5 2 2" xfId="2633"/>
    <cellStyle name="Percent 5 2 2 2" xfId="4166"/>
    <cellStyle name="Percent 5 2 3" xfId="2713"/>
    <cellStyle name="Percent 5 20" xfId="392"/>
    <cellStyle name="Percent 5 20 2" xfId="2960"/>
    <cellStyle name="Percent 5 21" xfId="417"/>
    <cellStyle name="Percent 5 21 2" xfId="2967"/>
    <cellStyle name="Percent 5 22" xfId="441"/>
    <cellStyle name="Percent 5 22 2" xfId="2981"/>
    <cellStyle name="Percent 5 23" xfId="467"/>
    <cellStyle name="Percent 5 23 2" xfId="2990"/>
    <cellStyle name="Percent 5 24" xfId="490"/>
    <cellStyle name="Percent 5 24 2" xfId="3000"/>
    <cellStyle name="Percent 5 25" xfId="515"/>
    <cellStyle name="Percent 5 25 2" xfId="3008"/>
    <cellStyle name="Percent 5 26" xfId="526"/>
    <cellStyle name="Percent 5 26 2" xfId="3014"/>
    <cellStyle name="Percent 5 27" xfId="563"/>
    <cellStyle name="Percent 5 27 2" xfId="3042"/>
    <cellStyle name="Percent 5 28" xfId="588"/>
    <cellStyle name="Percent 5 28 2" xfId="3054"/>
    <cellStyle name="Percent 5 29" xfId="610"/>
    <cellStyle name="Percent 5 29 2" xfId="3063"/>
    <cellStyle name="Percent 5 3" xfId="129"/>
    <cellStyle name="Percent 5 3 2" xfId="2634"/>
    <cellStyle name="Percent 5 3 2 2" xfId="4167"/>
    <cellStyle name="Percent 5 3 3" xfId="2734"/>
    <cellStyle name="Percent 5 30" xfId="633"/>
    <cellStyle name="Percent 5 30 2" xfId="3073"/>
    <cellStyle name="Percent 5 31" xfId="652"/>
    <cellStyle name="Percent 5 31 2" xfId="3079"/>
    <cellStyle name="Percent 5 32" xfId="663"/>
    <cellStyle name="Percent 5 32 2" xfId="3085"/>
    <cellStyle name="Percent 5 33" xfId="718"/>
    <cellStyle name="Percent 5 33 2" xfId="3119"/>
    <cellStyle name="Percent 5 34" xfId="743"/>
    <cellStyle name="Percent 5 34 2" xfId="3131"/>
    <cellStyle name="Percent 5 35" xfId="768"/>
    <cellStyle name="Percent 5 35 2" xfId="3143"/>
    <cellStyle name="Percent 5 36" xfId="794"/>
    <cellStyle name="Percent 5 36 2" xfId="3156"/>
    <cellStyle name="Percent 5 37" xfId="819"/>
    <cellStyle name="Percent 5 37 2" xfId="3168"/>
    <cellStyle name="Percent 5 38" xfId="844"/>
    <cellStyle name="Percent 5 38 2" xfId="3180"/>
    <cellStyle name="Percent 5 39" xfId="869"/>
    <cellStyle name="Percent 5 39 2" xfId="3192"/>
    <cellStyle name="Percent 5 4" xfId="141"/>
    <cellStyle name="Percent 5 4 2" xfId="2635"/>
    <cellStyle name="Percent 5 4 2 2" xfId="4168"/>
    <cellStyle name="Percent 5 4 3" xfId="2746"/>
    <cellStyle name="Percent 5 40" xfId="891"/>
    <cellStyle name="Percent 5 40 2" xfId="3201"/>
    <cellStyle name="Percent 5 41" xfId="917"/>
    <cellStyle name="Percent 5 41 2" xfId="3214"/>
    <cellStyle name="Percent 5 42" xfId="943"/>
    <cellStyle name="Percent 5 42 2" xfId="3227"/>
    <cellStyle name="Percent 5 43" xfId="968"/>
    <cellStyle name="Percent 5 43 2" xfId="3235"/>
    <cellStyle name="Percent 5 44" xfId="992"/>
    <cellStyle name="Percent 5 44 2" xfId="3250"/>
    <cellStyle name="Percent 5 45" xfId="1017"/>
    <cellStyle name="Percent 5 45 2" xfId="3262"/>
    <cellStyle name="Percent 5 46" xfId="1042"/>
    <cellStyle name="Percent 5 46 2" xfId="3274"/>
    <cellStyle name="Percent 5 47" xfId="1065"/>
    <cellStyle name="Percent 5 47 2" xfId="3284"/>
    <cellStyle name="Percent 5 48" xfId="1087"/>
    <cellStyle name="Percent 5 48 2" xfId="3293"/>
    <cellStyle name="Percent 5 49" xfId="1106"/>
    <cellStyle name="Percent 5 49 2" xfId="3299"/>
    <cellStyle name="Percent 5 5" xfId="149"/>
    <cellStyle name="Percent 5 5 2" xfId="2636"/>
    <cellStyle name="Percent 5 5 2 2" xfId="4169"/>
    <cellStyle name="Percent 5 5 3" xfId="2754"/>
    <cellStyle name="Percent 5 50" xfId="1117"/>
    <cellStyle name="Percent 5 50 2" xfId="3305"/>
    <cellStyle name="Percent 5 51" xfId="1175"/>
    <cellStyle name="Percent 5 51 2" xfId="3342"/>
    <cellStyle name="Percent 5 52" xfId="1201"/>
    <cellStyle name="Percent 5 52 2" xfId="3355"/>
    <cellStyle name="Percent 5 53" xfId="1227"/>
    <cellStyle name="Percent 5 53 2" xfId="3368"/>
    <cellStyle name="Percent 5 54" xfId="1250"/>
    <cellStyle name="Percent 5 54 2" xfId="3378"/>
    <cellStyle name="Percent 5 55" xfId="1273"/>
    <cellStyle name="Percent 5 55 2" xfId="3388"/>
    <cellStyle name="Percent 5 56" xfId="1296"/>
    <cellStyle name="Percent 5 56 2" xfId="3398"/>
    <cellStyle name="Percent 5 57" xfId="1319"/>
    <cellStyle name="Percent 5 57 2" xfId="3408"/>
    <cellStyle name="Percent 5 58" xfId="1339"/>
    <cellStyle name="Percent 5 58 2" xfId="3415"/>
    <cellStyle name="Percent 5 59" xfId="1351"/>
    <cellStyle name="Percent 5 59 2" xfId="3422"/>
    <cellStyle name="Percent 5 6" xfId="165"/>
    <cellStyle name="Percent 5 6 2" xfId="2770"/>
    <cellStyle name="Percent 5 60" xfId="1373"/>
    <cellStyle name="Percent 5 60 2" xfId="3444"/>
    <cellStyle name="Percent 5 61" xfId="1386"/>
    <cellStyle name="Percent 5 61 2" xfId="3457"/>
    <cellStyle name="Percent 5 62" xfId="1399"/>
    <cellStyle name="Percent 5 62 2" xfId="3470"/>
    <cellStyle name="Percent 5 63" xfId="1409"/>
    <cellStyle name="Percent 5 63 2" xfId="3480"/>
    <cellStyle name="Percent 5 64" xfId="1421"/>
    <cellStyle name="Percent 5 64 2" xfId="3492"/>
    <cellStyle name="Percent 5 65" xfId="1429"/>
    <cellStyle name="Percent 5 65 2" xfId="3500"/>
    <cellStyle name="Percent 5 66" xfId="1449"/>
    <cellStyle name="Percent 5 66 2" xfId="3520"/>
    <cellStyle name="Percent 5 67" xfId="1460"/>
    <cellStyle name="Percent 5 67 2" xfId="3531"/>
    <cellStyle name="Percent 5 68" xfId="1467"/>
    <cellStyle name="Percent 5 68 2" xfId="3538"/>
    <cellStyle name="Percent 5 69" xfId="1491"/>
    <cellStyle name="Percent 5 69 2" xfId="3562"/>
    <cellStyle name="Percent 5 7" xfId="172"/>
    <cellStyle name="Percent 5 7 2" xfId="2777"/>
    <cellStyle name="Percent 5 70" xfId="1504"/>
    <cellStyle name="Percent 5 70 2" xfId="3575"/>
    <cellStyle name="Percent 5 71" xfId="1517"/>
    <cellStyle name="Percent 5 71 2" xfId="3588"/>
    <cellStyle name="Percent 5 72" xfId="1528"/>
    <cellStyle name="Percent 5 72 2" xfId="3599"/>
    <cellStyle name="Percent 5 73" xfId="1540"/>
    <cellStyle name="Percent 5 73 2" xfId="3611"/>
    <cellStyle name="Percent 5 74" xfId="1550"/>
    <cellStyle name="Percent 5 74 2" xfId="3621"/>
    <cellStyle name="Percent 5 75" xfId="1557"/>
    <cellStyle name="Percent 5 75 2" xfId="3628"/>
    <cellStyle name="Percent 5 76" xfId="1577"/>
    <cellStyle name="Percent 5 76 2" xfId="3648"/>
    <cellStyle name="Percent 5 77" xfId="1588"/>
    <cellStyle name="Percent 5 77 2" xfId="3659"/>
    <cellStyle name="Percent 5 78" xfId="1595"/>
    <cellStyle name="Percent 5 78 2" xfId="3666"/>
    <cellStyle name="Percent 5 79" xfId="1617"/>
    <cellStyle name="Percent 5 79 2" xfId="3688"/>
    <cellStyle name="Percent 5 8" xfId="195"/>
    <cellStyle name="Percent 5 8 2" xfId="2800"/>
    <cellStyle name="Percent 5 80" xfId="1629"/>
    <cellStyle name="Percent 5 80 2" xfId="3700"/>
    <cellStyle name="Percent 5 81" xfId="1642"/>
    <cellStyle name="Percent 5 81 2" xfId="3713"/>
    <cellStyle name="Percent 5 82" xfId="1654"/>
    <cellStyle name="Percent 5 82 2" xfId="3725"/>
    <cellStyle name="Percent 5 83" xfId="1666"/>
    <cellStyle name="Percent 5 83 2" xfId="3737"/>
    <cellStyle name="Percent 5 84" xfId="1678"/>
    <cellStyle name="Percent 5 84 2" xfId="3749"/>
    <cellStyle name="Percent 5 85" xfId="1692"/>
    <cellStyle name="Percent 5 85 2" xfId="3763"/>
    <cellStyle name="Percent 5 86" xfId="1704"/>
    <cellStyle name="Percent 5 86 2" xfId="3775"/>
    <cellStyle name="Percent 5 87" xfId="1717"/>
    <cellStyle name="Percent 5 87 2" xfId="3788"/>
    <cellStyle name="Percent 5 88" xfId="1729"/>
    <cellStyle name="Percent 5 88 2" xfId="3800"/>
    <cellStyle name="Percent 5 89" xfId="1740"/>
    <cellStyle name="Percent 5 89 2" xfId="3811"/>
    <cellStyle name="Percent 5 9" xfId="206"/>
    <cellStyle name="Percent 5 9 2" xfId="2811"/>
    <cellStyle name="Percent 5 90" xfId="1754"/>
    <cellStyle name="Percent 5 90 2" xfId="3825"/>
    <cellStyle name="Percent 5 91" xfId="1766"/>
    <cellStyle name="Percent 5 91 2" xfId="3837"/>
    <cellStyle name="Percent 5 92" xfId="1778"/>
    <cellStyle name="Percent 5 92 2" xfId="3849"/>
    <cellStyle name="Percent 5 93" xfId="1790"/>
    <cellStyle name="Percent 5 93 2" xfId="3861"/>
    <cellStyle name="Percent 5 94" xfId="1801"/>
    <cellStyle name="Percent 5 94 2" xfId="3872"/>
    <cellStyle name="Percent 5 95" xfId="1808"/>
    <cellStyle name="Percent 5 95 2" xfId="3879"/>
    <cellStyle name="Percent 5 96" xfId="1825"/>
    <cellStyle name="Percent 5 96 2" xfId="3896"/>
    <cellStyle name="Percent 5 97" xfId="1832"/>
    <cellStyle name="Percent 5 97 2" xfId="3903"/>
    <cellStyle name="Percent 5 98" xfId="1856"/>
    <cellStyle name="Percent 5 98 2" xfId="3927"/>
    <cellStyle name="Percent 5 99" xfId="1869"/>
    <cellStyle name="Percent 5 99 2" xfId="3940"/>
    <cellStyle name="Percent 6" xfId="96"/>
    <cellStyle name="Percent 6 10" xfId="232"/>
    <cellStyle name="Percent 6 10 2" xfId="2837"/>
    <cellStyle name="Percent 6 100" xfId="1897"/>
    <cellStyle name="Percent 6 100 2" xfId="3968"/>
    <cellStyle name="Percent 6 101" xfId="1910"/>
    <cellStyle name="Percent 6 101 2" xfId="3981"/>
    <cellStyle name="Percent 6 102" xfId="1923"/>
    <cellStyle name="Percent 6 102 2" xfId="3994"/>
    <cellStyle name="Percent 6 103" xfId="1936"/>
    <cellStyle name="Percent 6 103 2" xfId="4007"/>
    <cellStyle name="Percent 6 104" xfId="1947"/>
    <cellStyle name="Percent 6 104 2" xfId="4018"/>
    <cellStyle name="Percent 6 105" xfId="1955"/>
    <cellStyle name="Percent 6 105 2" xfId="4026"/>
    <cellStyle name="Percent 6 106" xfId="1971"/>
    <cellStyle name="Percent 6 106 2" xfId="4042"/>
    <cellStyle name="Percent 6 107" xfId="1983"/>
    <cellStyle name="Percent 6 107 2" xfId="4054"/>
    <cellStyle name="Percent 6 108" xfId="1993"/>
    <cellStyle name="Percent 6 108 2" xfId="4064"/>
    <cellStyle name="Percent 6 109" xfId="2000"/>
    <cellStyle name="Percent 6 109 2" xfId="4071"/>
    <cellStyle name="Percent 6 11" xfId="243"/>
    <cellStyle name="Percent 6 11 2" xfId="2848"/>
    <cellStyle name="Percent 6 110" xfId="2022"/>
    <cellStyle name="Percent 6 110 2" xfId="4093"/>
    <cellStyle name="Percent 6 111" xfId="2033"/>
    <cellStyle name="Percent 6 111 2" xfId="4104"/>
    <cellStyle name="Percent 6 112" xfId="2043"/>
    <cellStyle name="Percent 6 112 2" xfId="4114"/>
    <cellStyle name="Percent 6 113" xfId="2050"/>
    <cellStyle name="Percent 6 113 2" xfId="4121"/>
    <cellStyle name="Percent 6 114" xfId="2700"/>
    <cellStyle name="Percent 6 12" xfId="254"/>
    <cellStyle name="Percent 6 12 2" xfId="2859"/>
    <cellStyle name="Percent 6 13" xfId="260"/>
    <cellStyle name="Percent 6 13 2" xfId="2865"/>
    <cellStyle name="Percent 6 14" xfId="290"/>
    <cellStyle name="Percent 6 14 2" xfId="2895"/>
    <cellStyle name="Percent 6 15" xfId="299"/>
    <cellStyle name="Percent 6 15 2" xfId="2903"/>
    <cellStyle name="Percent 6 16" xfId="306"/>
    <cellStyle name="Percent 6 16 2" xfId="2910"/>
    <cellStyle name="Percent 6 17" xfId="311"/>
    <cellStyle name="Percent 6 17 2" xfId="2915"/>
    <cellStyle name="Percent 6 18" xfId="369"/>
    <cellStyle name="Percent 6 18 2" xfId="2949"/>
    <cellStyle name="Percent 6 19" xfId="394"/>
    <cellStyle name="Percent 6 19 2" xfId="2961"/>
    <cellStyle name="Percent 6 2" xfId="131"/>
    <cellStyle name="Percent 6 2 2" xfId="2637"/>
    <cellStyle name="Percent 6 2 2 2" xfId="4170"/>
    <cellStyle name="Percent 6 2 3" xfId="2736"/>
    <cellStyle name="Percent 6 20" xfId="419"/>
    <cellStyle name="Percent 6 20 2" xfId="2968"/>
    <cellStyle name="Percent 6 21" xfId="443"/>
    <cellStyle name="Percent 6 21 2" xfId="2982"/>
    <cellStyle name="Percent 6 22" xfId="469"/>
    <cellStyle name="Percent 6 22 2" xfId="2991"/>
    <cellStyle name="Percent 6 23" xfId="492"/>
    <cellStyle name="Percent 6 23 2" xfId="3001"/>
    <cellStyle name="Percent 6 24" xfId="517"/>
    <cellStyle name="Percent 6 24 2" xfId="3009"/>
    <cellStyle name="Percent 6 25" xfId="527"/>
    <cellStyle name="Percent 6 25 2" xfId="3015"/>
    <cellStyle name="Percent 6 26" xfId="565"/>
    <cellStyle name="Percent 6 26 2" xfId="3043"/>
    <cellStyle name="Percent 6 27" xfId="590"/>
    <cellStyle name="Percent 6 27 2" xfId="3055"/>
    <cellStyle name="Percent 6 28" xfId="612"/>
    <cellStyle name="Percent 6 28 2" xfId="3064"/>
    <cellStyle name="Percent 6 29" xfId="635"/>
    <cellStyle name="Percent 6 29 2" xfId="3074"/>
    <cellStyle name="Percent 6 3" xfId="143"/>
    <cellStyle name="Percent 6 3 2" xfId="2638"/>
    <cellStyle name="Percent 6 3 2 2" xfId="4171"/>
    <cellStyle name="Percent 6 3 3" xfId="2748"/>
    <cellStyle name="Percent 6 30" xfId="654"/>
    <cellStyle name="Percent 6 30 2" xfId="3080"/>
    <cellStyle name="Percent 6 31" xfId="664"/>
    <cellStyle name="Percent 6 31 2" xfId="3086"/>
    <cellStyle name="Percent 6 32" xfId="720"/>
    <cellStyle name="Percent 6 32 2" xfId="3120"/>
    <cellStyle name="Percent 6 33" xfId="745"/>
    <cellStyle name="Percent 6 33 2" xfId="3132"/>
    <cellStyle name="Percent 6 34" xfId="770"/>
    <cellStyle name="Percent 6 34 2" xfId="3144"/>
    <cellStyle name="Percent 6 35" xfId="796"/>
    <cellStyle name="Percent 6 35 2" xfId="3157"/>
    <cellStyle name="Percent 6 36" xfId="821"/>
    <cellStyle name="Percent 6 36 2" xfId="3169"/>
    <cellStyle name="Percent 6 37" xfId="846"/>
    <cellStyle name="Percent 6 37 2" xfId="3181"/>
    <cellStyle name="Percent 6 38" xfId="871"/>
    <cellStyle name="Percent 6 38 2" xfId="3193"/>
    <cellStyle name="Percent 6 39" xfId="893"/>
    <cellStyle name="Percent 6 39 2" xfId="3202"/>
    <cellStyle name="Percent 6 4" xfId="150"/>
    <cellStyle name="Percent 6 4 2" xfId="2639"/>
    <cellStyle name="Percent 6 4 2 2" xfId="4172"/>
    <cellStyle name="Percent 6 4 3" xfId="2755"/>
    <cellStyle name="Percent 6 40" xfId="919"/>
    <cellStyle name="Percent 6 40 2" xfId="3215"/>
    <cellStyle name="Percent 6 41" xfId="945"/>
    <cellStyle name="Percent 6 41 2" xfId="3228"/>
    <cellStyle name="Percent 6 42" xfId="970"/>
    <cellStyle name="Percent 6 42 2" xfId="3236"/>
    <cellStyle name="Percent 6 43" xfId="994"/>
    <cellStyle name="Percent 6 43 2" xfId="3251"/>
    <cellStyle name="Percent 6 44" xfId="1019"/>
    <cellStyle name="Percent 6 44 2" xfId="3263"/>
    <cellStyle name="Percent 6 45" xfId="1044"/>
    <cellStyle name="Percent 6 45 2" xfId="3275"/>
    <cellStyle name="Percent 6 46" xfId="1067"/>
    <cellStyle name="Percent 6 46 2" xfId="3285"/>
    <cellStyle name="Percent 6 47" xfId="1089"/>
    <cellStyle name="Percent 6 47 2" xfId="3294"/>
    <cellStyle name="Percent 6 48" xfId="1108"/>
    <cellStyle name="Percent 6 48 2" xfId="3300"/>
    <cellStyle name="Percent 6 49" xfId="1118"/>
    <cellStyle name="Percent 6 49 2" xfId="3306"/>
    <cellStyle name="Percent 6 5" xfId="166"/>
    <cellStyle name="Percent 6 5 2" xfId="2640"/>
    <cellStyle name="Percent 6 5 2 2" xfId="4173"/>
    <cellStyle name="Percent 6 5 3" xfId="2771"/>
    <cellStyle name="Percent 6 50" xfId="1177"/>
    <cellStyle name="Percent 6 50 2" xfId="3343"/>
    <cellStyle name="Percent 6 51" xfId="1203"/>
    <cellStyle name="Percent 6 51 2" xfId="3356"/>
    <cellStyle name="Percent 6 52" xfId="1229"/>
    <cellStyle name="Percent 6 52 2" xfId="3369"/>
    <cellStyle name="Percent 6 53" xfId="1252"/>
    <cellStyle name="Percent 6 53 2" xfId="3379"/>
    <cellStyle name="Percent 6 54" xfId="1275"/>
    <cellStyle name="Percent 6 54 2" xfId="3389"/>
    <cellStyle name="Percent 6 55" xfId="1298"/>
    <cellStyle name="Percent 6 55 2" xfId="3399"/>
    <cellStyle name="Percent 6 56" xfId="1321"/>
    <cellStyle name="Percent 6 56 2" xfId="3409"/>
    <cellStyle name="Percent 6 57" xfId="1341"/>
    <cellStyle name="Percent 6 57 2" xfId="3416"/>
    <cellStyle name="Percent 6 58" xfId="1352"/>
    <cellStyle name="Percent 6 58 2" xfId="3423"/>
    <cellStyle name="Percent 6 59" xfId="1375"/>
    <cellStyle name="Percent 6 59 2" xfId="3446"/>
    <cellStyle name="Percent 6 6" xfId="173"/>
    <cellStyle name="Percent 6 6 2" xfId="2778"/>
    <cellStyle name="Percent 6 60" xfId="1388"/>
    <cellStyle name="Percent 6 60 2" xfId="3459"/>
    <cellStyle name="Percent 6 61" xfId="1400"/>
    <cellStyle name="Percent 6 61 2" xfId="3471"/>
    <cellStyle name="Percent 6 62" xfId="1410"/>
    <cellStyle name="Percent 6 62 2" xfId="3481"/>
    <cellStyle name="Percent 6 63" xfId="1422"/>
    <cellStyle name="Percent 6 63 2" xfId="3493"/>
    <cellStyle name="Percent 6 64" xfId="1430"/>
    <cellStyle name="Percent 6 64 2" xfId="3501"/>
    <cellStyle name="Percent 6 65" xfId="1451"/>
    <cellStyle name="Percent 6 65 2" xfId="3522"/>
    <cellStyle name="Percent 6 66" xfId="1461"/>
    <cellStyle name="Percent 6 66 2" xfId="3532"/>
    <cellStyle name="Percent 6 67" xfId="1468"/>
    <cellStyle name="Percent 6 67 2" xfId="3539"/>
    <cellStyle name="Percent 6 68" xfId="1493"/>
    <cellStyle name="Percent 6 68 2" xfId="3564"/>
    <cellStyle name="Percent 6 69" xfId="1506"/>
    <cellStyle name="Percent 6 69 2" xfId="3577"/>
    <cellStyle name="Percent 6 7" xfId="196"/>
    <cellStyle name="Percent 6 7 2" xfId="2801"/>
    <cellStyle name="Percent 6 70" xfId="1518"/>
    <cellStyle name="Percent 6 70 2" xfId="3589"/>
    <cellStyle name="Percent 6 71" xfId="1530"/>
    <cellStyle name="Percent 6 71 2" xfId="3601"/>
    <cellStyle name="Percent 6 72" xfId="1542"/>
    <cellStyle name="Percent 6 72 2" xfId="3613"/>
    <cellStyle name="Percent 6 73" xfId="1551"/>
    <cellStyle name="Percent 6 73 2" xfId="3622"/>
    <cellStyle name="Percent 6 74" xfId="1558"/>
    <cellStyle name="Percent 6 74 2" xfId="3629"/>
    <cellStyle name="Percent 6 75" xfId="1579"/>
    <cellStyle name="Percent 6 75 2" xfId="3650"/>
    <cellStyle name="Percent 6 76" xfId="1589"/>
    <cellStyle name="Percent 6 76 2" xfId="3660"/>
    <cellStyle name="Percent 6 77" xfId="1596"/>
    <cellStyle name="Percent 6 77 2" xfId="3667"/>
    <cellStyle name="Percent 6 78" xfId="1618"/>
    <cellStyle name="Percent 6 78 2" xfId="3689"/>
    <cellStyle name="Percent 6 79" xfId="1630"/>
    <cellStyle name="Percent 6 79 2" xfId="3701"/>
    <cellStyle name="Percent 6 8" xfId="207"/>
    <cellStyle name="Percent 6 8 2" xfId="2812"/>
    <cellStyle name="Percent 6 80" xfId="1643"/>
    <cellStyle name="Percent 6 80 2" xfId="3714"/>
    <cellStyle name="Percent 6 81" xfId="1655"/>
    <cellStyle name="Percent 6 81 2" xfId="3726"/>
    <cellStyle name="Percent 6 82" xfId="1667"/>
    <cellStyle name="Percent 6 82 2" xfId="3738"/>
    <cellStyle name="Percent 6 83" xfId="1680"/>
    <cellStyle name="Percent 6 83 2" xfId="3751"/>
    <cellStyle name="Percent 6 84" xfId="1694"/>
    <cellStyle name="Percent 6 84 2" xfId="3765"/>
    <cellStyle name="Percent 6 85" xfId="1706"/>
    <cellStyle name="Percent 6 85 2" xfId="3777"/>
    <cellStyle name="Percent 6 86" xfId="1719"/>
    <cellStyle name="Percent 6 86 2" xfId="3790"/>
    <cellStyle name="Percent 6 87" xfId="1731"/>
    <cellStyle name="Percent 6 87 2" xfId="3802"/>
    <cellStyle name="Percent 6 88" xfId="1741"/>
    <cellStyle name="Percent 6 88 2" xfId="3812"/>
    <cellStyle name="Percent 6 89" xfId="1756"/>
    <cellStyle name="Percent 6 89 2" xfId="3827"/>
    <cellStyle name="Percent 6 9" xfId="219"/>
    <cellStyle name="Percent 6 9 2" xfId="2824"/>
    <cellStyle name="Percent 6 90" xfId="1768"/>
    <cellStyle name="Percent 6 90 2" xfId="3839"/>
    <cellStyle name="Percent 6 91" xfId="1780"/>
    <cellStyle name="Percent 6 91 2" xfId="3851"/>
    <cellStyle name="Percent 6 92" xfId="1792"/>
    <cellStyle name="Percent 6 92 2" xfId="3863"/>
    <cellStyle name="Percent 6 93" xfId="1802"/>
    <cellStyle name="Percent 6 93 2" xfId="3873"/>
    <cellStyle name="Percent 6 94" xfId="1809"/>
    <cellStyle name="Percent 6 94 2" xfId="3880"/>
    <cellStyle name="Percent 6 95" xfId="1826"/>
    <cellStyle name="Percent 6 95 2" xfId="3897"/>
    <cellStyle name="Percent 6 96" xfId="1833"/>
    <cellStyle name="Percent 6 96 2" xfId="3904"/>
    <cellStyle name="Percent 6 97" xfId="1858"/>
    <cellStyle name="Percent 6 97 2" xfId="3929"/>
    <cellStyle name="Percent 6 98" xfId="1871"/>
    <cellStyle name="Percent 6 98 2" xfId="3942"/>
    <cellStyle name="Percent 6 99" xfId="1884"/>
    <cellStyle name="Percent 6 99 2" xfId="3955"/>
    <cellStyle name="Percent 7" xfId="104"/>
    <cellStyle name="Percent 7 10" xfId="233"/>
    <cellStyle name="Percent 7 10 2" xfId="2838"/>
    <cellStyle name="Percent 7 100" xfId="1899"/>
    <cellStyle name="Percent 7 100 2" xfId="3970"/>
    <cellStyle name="Percent 7 101" xfId="1912"/>
    <cellStyle name="Percent 7 101 2" xfId="3983"/>
    <cellStyle name="Percent 7 102" xfId="1925"/>
    <cellStyle name="Percent 7 102 2" xfId="3996"/>
    <cellStyle name="Percent 7 103" xfId="1937"/>
    <cellStyle name="Percent 7 103 2" xfId="4008"/>
    <cellStyle name="Percent 7 104" xfId="1948"/>
    <cellStyle name="Percent 7 104 2" xfId="4019"/>
    <cellStyle name="Percent 7 105" xfId="1956"/>
    <cellStyle name="Percent 7 105 2" xfId="4027"/>
    <cellStyle name="Percent 7 106" xfId="1973"/>
    <cellStyle name="Percent 7 106 2" xfId="4044"/>
    <cellStyle name="Percent 7 107" xfId="1985"/>
    <cellStyle name="Percent 7 107 2" xfId="4056"/>
    <cellStyle name="Percent 7 108" xfId="1995"/>
    <cellStyle name="Percent 7 108 2" xfId="4066"/>
    <cellStyle name="Percent 7 109" xfId="2001"/>
    <cellStyle name="Percent 7 109 2" xfId="4072"/>
    <cellStyle name="Percent 7 11" xfId="245"/>
    <cellStyle name="Percent 7 11 2" xfId="2850"/>
    <cellStyle name="Percent 7 110" xfId="2023"/>
    <cellStyle name="Percent 7 110 2" xfId="4094"/>
    <cellStyle name="Percent 7 111" xfId="2035"/>
    <cellStyle name="Percent 7 111 2" xfId="4106"/>
    <cellStyle name="Percent 7 112" xfId="2045"/>
    <cellStyle name="Percent 7 112 2" xfId="4116"/>
    <cellStyle name="Percent 7 113" xfId="2051"/>
    <cellStyle name="Percent 7 113 2" xfId="4122"/>
    <cellStyle name="Percent 7 114" xfId="2708"/>
    <cellStyle name="Percent 7 12" xfId="255"/>
    <cellStyle name="Percent 7 12 2" xfId="2860"/>
    <cellStyle name="Percent 7 13" xfId="261"/>
    <cellStyle name="Percent 7 13 2" xfId="2866"/>
    <cellStyle name="Percent 7 14" xfId="291"/>
    <cellStyle name="Percent 7 14 2" xfId="2896"/>
    <cellStyle name="Percent 7 15" xfId="301"/>
    <cellStyle name="Percent 7 15 2" xfId="2905"/>
    <cellStyle name="Percent 7 16" xfId="307"/>
    <cellStyle name="Percent 7 16 2" xfId="2911"/>
    <cellStyle name="Percent 7 17" xfId="312"/>
    <cellStyle name="Percent 7 17 2" xfId="2916"/>
    <cellStyle name="Percent 7 18" xfId="371"/>
    <cellStyle name="Percent 7 18 2" xfId="2950"/>
    <cellStyle name="Percent 7 19" xfId="396"/>
    <cellStyle name="Percent 7 19 2" xfId="2962"/>
    <cellStyle name="Percent 7 2" xfId="132"/>
    <cellStyle name="Percent 7 2 2" xfId="2641"/>
    <cellStyle name="Percent 7 2 2 2" xfId="4174"/>
    <cellStyle name="Percent 7 2 3" xfId="2737"/>
    <cellStyle name="Percent 7 20" xfId="420"/>
    <cellStyle name="Percent 7 20 2" xfId="2969"/>
    <cellStyle name="Percent 7 21" xfId="445"/>
    <cellStyle name="Percent 7 21 2" xfId="2983"/>
    <cellStyle name="Percent 7 22" xfId="471"/>
    <cellStyle name="Percent 7 22 2" xfId="2992"/>
    <cellStyle name="Percent 7 23" xfId="494"/>
    <cellStyle name="Percent 7 23 2" xfId="3002"/>
    <cellStyle name="Percent 7 24" xfId="519"/>
    <cellStyle name="Percent 7 24 2" xfId="3010"/>
    <cellStyle name="Percent 7 25" xfId="528"/>
    <cellStyle name="Percent 7 25 2" xfId="3016"/>
    <cellStyle name="Percent 7 26" xfId="567"/>
    <cellStyle name="Percent 7 26 2" xfId="3044"/>
    <cellStyle name="Percent 7 27" xfId="592"/>
    <cellStyle name="Percent 7 27 2" xfId="3056"/>
    <cellStyle name="Percent 7 28" xfId="614"/>
    <cellStyle name="Percent 7 28 2" xfId="3065"/>
    <cellStyle name="Percent 7 29" xfId="637"/>
    <cellStyle name="Percent 7 29 2" xfId="3075"/>
    <cellStyle name="Percent 7 3" xfId="145"/>
    <cellStyle name="Percent 7 3 2" xfId="2642"/>
    <cellStyle name="Percent 7 3 2 2" xfId="4175"/>
    <cellStyle name="Percent 7 3 3" xfId="2750"/>
    <cellStyle name="Percent 7 30" xfId="656"/>
    <cellStyle name="Percent 7 30 2" xfId="3081"/>
    <cellStyle name="Percent 7 31" xfId="665"/>
    <cellStyle name="Percent 7 31 2" xfId="3087"/>
    <cellStyle name="Percent 7 32" xfId="722"/>
    <cellStyle name="Percent 7 32 2" xfId="3121"/>
    <cellStyle name="Percent 7 33" xfId="747"/>
    <cellStyle name="Percent 7 33 2" xfId="3133"/>
    <cellStyle name="Percent 7 34" xfId="772"/>
    <cellStyle name="Percent 7 34 2" xfId="3145"/>
    <cellStyle name="Percent 7 35" xfId="798"/>
    <cellStyle name="Percent 7 35 2" xfId="3158"/>
    <cellStyle name="Percent 7 36" xfId="823"/>
    <cellStyle name="Percent 7 36 2" xfId="3170"/>
    <cellStyle name="Percent 7 37" xfId="848"/>
    <cellStyle name="Percent 7 37 2" xfId="3182"/>
    <cellStyle name="Percent 7 38" xfId="873"/>
    <cellStyle name="Percent 7 38 2" xfId="3194"/>
    <cellStyle name="Percent 7 39" xfId="895"/>
    <cellStyle name="Percent 7 39 2" xfId="3203"/>
    <cellStyle name="Percent 7 4" xfId="151"/>
    <cellStyle name="Percent 7 4 2" xfId="2643"/>
    <cellStyle name="Percent 7 4 2 2" xfId="4176"/>
    <cellStyle name="Percent 7 4 3" xfId="2756"/>
    <cellStyle name="Percent 7 40" xfId="921"/>
    <cellStyle name="Percent 7 40 2" xfId="3216"/>
    <cellStyle name="Percent 7 41" xfId="947"/>
    <cellStyle name="Percent 7 41 2" xfId="3229"/>
    <cellStyle name="Percent 7 42" xfId="971"/>
    <cellStyle name="Percent 7 42 2" xfId="3237"/>
    <cellStyle name="Percent 7 43" xfId="996"/>
    <cellStyle name="Percent 7 43 2" xfId="3252"/>
    <cellStyle name="Percent 7 44" xfId="1021"/>
    <cellStyle name="Percent 7 44 2" xfId="3264"/>
    <cellStyle name="Percent 7 45" xfId="1046"/>
    <cellStyle name="Percent 7 45 2" xfId="3276"/>
    <cellStyle name="Percent 7 46" xfId="1069"/>
    <cellStyle name="Percent 7 46 2" xfId="3286"/>
    <cellStyle name="Percent 7 47" xfId="1091"/>
    <cellStyle name="Percent 7 47 2" xfId="3295"/>
    <cellStyle name="Percent 7 48" xfId="1110"/>
    <cellStyle name="Percent 7 48 2" xfId="3301"/>
    <cellStyle name="Percent 7 49" xfId="1119"/>
    <cellStyle name="Percent 7 49 2" xfId="3307"/>
    <cellStyle name="Percent 7 5" xfId="167"/>
    <cellStyle name="Percent 7 5 2" xfId="2772"/>
    <cellStyle name="Percent 7 50" xfId="1179"/>
    <cellStyle name="Percent 7 50 2" xfId="3344"/>
    <cellStyle name="Percent 7 51" xfId="1205"/>
    <cellStyle name="Percent 7 51 2" xfId="3357"/>
    <cellStyle name="Percent 7 52" xfId="1231"/>
    <cellStyle name="Percent 7 52 2" xfId="3370"/>
    <cellStyle name="Percent 7 53" xfId="1254"/>
    <cellStyle name="Percent 7 53 2" xfId="3380"/>
    <cellStyle name="Percent 7 54" xfId="1277"/>
    <cellStyle name="Percent 7 54 2" xfId="3390"/>
    <cellStyle name="Percent 7 55" xfId="1300"/>
    <cellStyle name="Percent 7 55 2" xfId="3400"/>
    <cellStyle name="Percent 7 56" xfId="1323"/>
    <cellStyle name="Percent 7 56 2" xfId="3410"/>
    <cellStyle name="Percent 7 57" xfId="1343"/>
    <cellStyle name="Percent 7 57 2" xfId="3417"/>
    <cellStyle name="Percent 7 58" xfId="1353"/>
    <cellStyle name="Percent 7 58 2" xfId="3424"/>
    <cellStyle name="Percent 7 59" xfId="1377"/>
    <cellStyle name="Percent 7 59 2" xfId="3448"/>
    <cellStyle name="Percent 7 6" xfId="174"/>
    <cellStyle name="Percent 7 6 2" xfId="2779"/>
    <cellStyle name="Percent 7 60" xfId="1390"/>
    <cellStyle name="Percent 7 60 2" xfId="3461"/>
    <cellStyle name="Percent 7 61" xfId="1401"/>
    <cellStyle name="Percent 7 61 2" xfId="3472"/>
    <cellStyle name="Percent 7 62" xfId="1411"/>
    <cellStyle name="Percent 7 62 2" xfId="3482"/>
    <cellStyle name="Percent 7 63" xfId="1423"/>
    <cellStyle name="Percent 7 63 2" xfId="3494"/>
    <cellStyle name="Percent 7 64" xfId="1431"/>
    <cellStyle name="Percent 7 64 2" xfId="3502"/>
    <cellStyle name="Percent 7 65" xfId="1453"/>
    <cellStyle name="Percent 7 65 2" xfId="3524"/>
    <cellStyle name="Percent 7 66" xfId="1463"/>
    <cellStyle name="Percent 7 66 2" xfId="3534"/>
    <cellStyle name="Percent 7 67" xfId="1469"/>
    <cellStyle name="Percent 7 67 2" xfId="3540"/>
    <cellStyle name="Percent 7 68" xfId="1495"/>
    <cellStyle name="Percent 7 68 2" xfId="3566"/>
    <cellStyle name="Percent 7 69" xfId="1508"/>
    <cellStyle name="Percent 7 69 2" xfId="3579"/>
    <cellStyle name="Percent 7 7" xfId="198"/>
    <cellStyle name="Percent 7 7 2" xfId="2803"/>
    <cellStyle name="Percent 7 70" xfId="1520"/>
    <cellStyle name="Percent 7 70 2" xfId="3591"/>
    <cellStyle name="Percent 7 71" xfId="1531"/>
    <cellStyle name="Percent 7 71 2" xfId="3602"/>
    <cellStyle name="Percent 7 72" xfId="1543"/>
    <cellStyle name="Percent 7 72 2" xfId="3614"/>
    <cellStyle name="Percent 7 73" xfId="1553"/>
    <cellStyle name="Percent 7 73 2" xfId="3624"/>
    <cellStyle name="Percent 7 74" xfId="1559"/>
    <cellStyle name="Percent 7 74 2" xfId="3630"/>
    <cellStyle name="Percent 7 75" xfId="1581"/>
    <cellStyle name="Percent 7 75 2" xfId="3652"/>
    <cellStyle name="Percent 7 76" xfId="1591"/>
    <cellStyle name="Percent 7 76 2" xfId="3662"/>
    <cellStyle name="Percent 7 77" xfId="1597"/>
    <cellStyle name="Percent 7 77 2" xfId="3668"/>
    <cellStyle name="Percent 7 78" xfId="1620"/>
    <cellStyle name="Percent 7 78 2" xfId="3691"/>
    <cellStyle name="Percent 7 79" xfId="1632"/>
    <cellStyle name="Percent 7 79 2" xfId="3703"/>
    <cellStyle name="Percent 7 8" xfId="208"/>
    <cellStyle name="Percent 7 8 2" xfId="2813"/>
    <cellStyle name="Percent 7 80" xfId="1645"/>
    <cellStyle name="Percent 7 80 2" xfId="3716"/>
    <cellStyle name="Percent 7 81" xfId="1657"/>
    <cellStyle name="Percent 7 81 2" xfId="3728"/>
    <cellStyle name="Percent 7 82" xfId="1669"/>
    <cellStyle name="Percent 7 82 2" xfId="3740"/>
    <cellStyle name="Percent 7 83" xfId="1682"/>
    <cellStyle name="Percent 7 83 2" xfId="3753"/>
    <cellStyle name="Percent 7 84" xfId="1695"/>
    <cellStyle name="Percent 7 84 2" xfId="3766"/>
    <cellStyle name="Percent 7 85" xfId="1708"/>
    <cellStyle name="Percent 7 85 2" xfId="3779"/>
    <cellStyle name="Percent 7 86" xfId="1720"/>
    <cellStyle name="Percent 7 86 2" xfId="3791"/>
    <cellStyle name="Percent 7 87" xfId="1732"/>
    <cellStyle name="Percent 7 87 2" xfId="3803"/>
    <cellStyle name="Percent 7 88" xfId="1742"/>
    <cellStyle name="Percent 7 88 2" xfId="3813"/>
    <cellStyle name="Percent 7 89" xfId="1758"/>
    <cellStyle name="Percent 7 89 2" xfId="3829"/>
    <cellStyle name="Percent 7 9" xfId="220"/>
    <cellStyle name="Percent 7 9 2" xfId="2825"/>
    <cellStyle name="Percent 7 90" xfId="1770"/>
    <cellStyle name="Percent 7 90 2" xfId="3841"/>
    <cellStyle name="Percent 7 91" xfId="1782"/>
    <cellStyle name="Percent 7 91 2" xfId="3853"/>
    <cellStyle name="Percent 7 92" xfId="1794"/>
    <cellStyle name="Percent 7 92 2" xfId="3865"/>
    <cellStyle name="Percent 7 93" xfId="1804"/>
    <cellStyle name="Percent 7 93 2" xfId="3875"/>
    <cellStyle name="Percent 7 94" xfId="1810"/>
    <cellStyle name="Percent 7 94 2" xfId="3881"/>
    <cellStyle name="Percent 7 95" xfId="1827"/>
    <cellStyle name="Percent 7 95 2" xfId="3898"/>
    <cellStyle name="Percent 7 96" xfId="1834"/>
    <cellStyle name="Percent 7 96 2" xfId="3905"/>
    <cellStyle name="Percent 7 97" xfId="1860"/>
    <cellStyle name="Percent 7 97 2" xfId="3931"/>
    <cellStyle name="Percent 7 98" xfId="1873"/>
    <cellStyle name="Percent 7 98 2" xfId="3944"/>
    <cellStyle name="Percent 7 99" xfId="1886"/>
    <cellStyle name="Percent 7 99 2" xfId="3957"/>
    <cellStyle name="Percent 8" xfId="158"/>
    <cellStyle name="Percent 8 2" xfId="2763"/>
    <cellStyle name="Percent 9" xfId="58"/>
    <cellStyle name="Percent 9 2" xfId="2660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30</xdr:col>
      <xdr:colOff>73906</xdr:colOff>
      <xdr:row>53</xdr:row>
      <xdr:rowOff>189215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61906" cy="102857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U106"/>
  <sheetViews>
    <sheetView topLeftCell="CK1" workbookViewId="0">
      <selection activeCell="BT27" sqref="A27:XFD27"/>
    </sheetView>
  </sheetViews>
  <sheetFormatPr defaultRowHeight="15"/>
  <cols>
    <col min="1" max="1" width="11.42578125" style="7" customWidth="1"/>
    <col min="2" max="2" width="10" style="7" hidden="1" customWidth="1"/>
    <col min="3" max="3" width="16.140625" style="7" customWidth="1"/>
    <col min="4" max="4" width="12.28515625" style="7" hidden="1" customWidth="1"/>
    <col min="5" max="5" width="16.42578125" style="7" hidden="1" customWidth="1"/>
    <col min="6" max="6" width="13.140625" style="7" hidden="1" customWidth="1"/>
    <col min="7" max="7" width="6.5703125" style="7" hidden="1" customWidth="1"/>
    <col min="8" max="8" width="27.28515625" style="7" hidden="1" customWidth="1"/>
    <col min="9" max="9" width="18.5703125" style="7" hidden="1" customWidth="1"/>
    <col min="10" max="10" width="15.28515625" style="7" hidden="1" customWidth="1"/>
    <col min="11" max="11" width="14.28515625" style="7" hidden="1" customWidth="1"/>
    <col min="12" max="12" width="15.28515625" style="7" hidden="1" customWidth="1"/>
    <col min="13" max="13" width="16.85546875" style="8" hidden="1" customWidth="1"/>
    <col min="14" max="14" width="15.5703125" style="7" hidden="1" customWidth="1"/>
    <col min="15" max="15" width="13.140625" style="49" customWidth="1"/>
    <col min="16" max="16" width="17.7109375" style="7" hidden="1" customWidth="1"/>
    <col min="17" max="17" width="17.42578125" style="7" hidden="1" customWidth="1"/>
    <col min="18" max="18" width="18" style="7" hidden="1" customWidth="1"/>
    <col min="19" max="19" width="15.140625" style="7" hidden="1" customWidth="1"/>
    <col min="20" max="20" width="14.7109375" style="7" hidden="1" customWidth="1"/>
    <col min="21" max="21" width="16.28515625" style="7" hidden="1" customWidth="1"/>
    <col min="22" max="22" width="17.5703125" style="7" customWidth="1"/>
    <col min="23" max="23" width="19.28515625" style="7" customWidth="1"/>
    <col min="24" max="24" width="16" style="7" customWidth="1"/>
    <col min="25" max="25" width="15.140625" style="7" hidden="1" customWidth="1"/>
    <col min="26" max="26" width="18" style="7" hidden="1" customWidth="1"/>
    <col min="27" max="27" width="16.5703125" style="7" bestFit="1" customWidth="1"/>
    <col min="28" max="28" width="17" style="7" hidden="1" customWidth="1"/>
    <col min="29" max="29" width="14.140625" style="7" hidden="1" customWidth="1"/>
    <col min="30" max="30" width="13.7109375" style="7" hidden="1" customWidth="1"/>
    <col min="31" max="31" width="17.28515625" style="7" hidden="1" customWidth="1"/>
    <col min="32" max="32" width="18.85546875" style="7" bestFit="1" customWidth="1"/>
    <col min="33" max="33" width="14.28515625" style="7" bestFit="1" customWidth="1"/>
    <col min="34" max="34" width="16" style="7" bestFit="1" customWidth="1"/>
    <col min="35" max="35" width="16.7109375" style="7" hidden="1" customWidth="1"/>
    <col min="36" max="36" width="15.85546875" style="7" hidden="1" customWidth="1"/>
    <col min="37" max="37" width="17.85546875" style="7" hidden="1" customWidth="1"/>
    <col min="38" max="38" width="14.85546875" style="7" hidden="1" customWidth="1"/>
    <col min="39" max="40" width="17.42578125" style="7" hidden="1" customWidth="1"/>
    <col min="41" max="41" width="17" style="7" hidden="1" customWidth="1"/>
    <col min="42" max="42" width="16.140625" style="7" hidden="1" customWidth="1"/>
    <col min="43" max="43" width="16.28515625" style="7" hidden="1" customWidth="1"/>
    <col min="44" max="44" width="15.85546875" style="7" hidden="1" customWidth="1"/>
    <col min="45" max="45" width="18" style="7" hidden="1" customWidth="1"/>
    <col min="46" max="46" width="16.7109375" style="7" hidden="1" customWidth="1"/>
    <col min="47" max="47" width="14.140625" style="7" hidden="1" customWidth="1"/>
    <col min="48" max="48" width="17" style="7" hidden="1" customWidth="1"/>
    <col min="49" max="50" width="15" style="7" hidden="1" customWidth="1"/>
    <col min="51" max="51" width="16.85546875" style="50" bestFit="1" customWidth="1"/>
    <col min="52" max="52" width="15.5703125" style="7" bestFit="1" customWidth="1"/>
    <col min="53" max="53" width="17.7109375" style="7" bestFit="1" customWidth="1"/>
    <col min="54" max="54" width="17.7109375" style="7" hidden="1" customWidth="1"/>
    <col min="55" max="55" width="17.42578125" style="7" hidden="1" customWidth="1"/>
    <col min="56" max="56" width="18" style="7" hidden="1" customWidth="1"/>
    <col min="57" max="57" width="15.140625" style="7" hidden="1" customWidth="1"/>
    <col min="58" max="58" width="14.7109375" style="7" hidden="1" customWidth="1"/>
    <col min="59" max="59" width="16.28515625" style="7" hidden="1" customWidth="1"/>
    <col min="60" max="60" width="17.5703125" style="7" hidden="1" customWidth="1"/>
    <col min="61" max="61" width="19.28515625" style="7" hidden="1" customWidth="1"/>
    <col min="62" max="62" width="16" style="7" hidden="1" customWidth="1"/>
    <col min="63" max="63" width="15.140625" style="7" hidden="1" customWidth="1"/>
    <col min="64" max="64" width="18" style="7" hidden="1" customWidth="1"/>
    <col min="65" max="65" width="16.5703125" style="7" hidden="1" customWidth="1"/>
    <col min="66" max="66" width="17" style="7" hidden="1" customWidth="1"/>
    <col min="67" max="67" width="14.140625" style="7" hidden="1" customWidth="1"/>
    <col min="68" max="68" width="13.7109375" style="7" hidden="1" customWidth="1"/>
    <col min="69" max="69" width="17.28515625" style="7" hidden="1" customWidth="1"/>
    <col min="70" max="70" width="18.85546875" style="7" hidden="1" customWidth="1"/>
    <col min="71" max="71" width="14" style="7" customWidth="1"/>
    <col min="72" max="72" width="16" style="7" bestFit="1" customWidth="1"/>
    <col min="73" max="73" width="16.7109375" style="7" hidden="1" customWidth="1"/>
    <col min="74" max="74" width="15.85546875" style="7" hidden="1" customWidth="1"/>
    <col min="75" max="75" width="17.85546875" style="7" hidden="1" customWidth="1"/>
    <col min="76" max="76" width="14.85546875" style="7" hidden="1" customWidth="1"/>
    <col min="77" max="78" width="17.42578125" style="7" hidden="1" customWidth="1"/>
    <col min="79" max="79" width="17" style="7" hidden="1" customWidth="1"/>
    <col min="80" max="80" width="16.140625" style="7" hidden="1" customWidth="1"/>
    <col min="81" max="81" width="16.28515625" style="7" hidden="1" customWidth="1"/>
    <col min="82" max="82" width="15.85546875" style="7" hidden="1" customWidth="1"/>
    <col min="83" max="83" width="18" style="7" hidden="1" customWidth="1"/>
    <col min="84" max="84" width="16.7109375" style="7" hidden="1" customWidth="1"/>
    <col min="85" max="85" width="14.140625" style="7" hidden="1" customWidth="1"/>
    <col min="86" max="86" width="17" style="7" hidden="1" customWidth="1"/>
    <col min="87" max="88" width="15" style="7" hidden="1" customWidth="1"/>
    <col min="89" max="89" width="16.85546875" style="40" bestFit="1" customWidth="1"/>
    <col min="90" max="90" width="15.5703125" style="7" customWidth="1"/>
    <col min="91" max="91" width="18.85546875" style="7" bestFit="1" customWidth="1"/>
    <col min="92" max="92" width="19.140625" style="7" hidden="1" customWidth="1"/>
    <col min="93" max="93" width="17.42578125" style="7" hidden="1" customWidth="1"/>
    <col min="94" max="94" width="18" style="7" hidden="1" customWidth="1"/>
    <col min="95" max="95" width="15.140625" style="7" hidden="1" customWidth="1"/>
    <col min="96" max="96" width="14.7109375" style="7" hidden="1" customWidth="1"/>
    <col min="97" max="97" width="16.28515625" style="7" hidden="1" customWidth="1"/>
    <col min="98" max="98" width="17.5703125" style="7" hidden="1" customWidth="1"/>
    <col min="99" max="99" width="19.28515625" style="7" hidden="1" customWidth="1"/>
    <col min="100" max="100" width="16" style="7" hidden="1" customWidth="1"/>
    <col min="101" max="101" width="15.140625" style="7" hidden="1" customWidth="1"/>
    <col min="102" max="102" width="18" style="7" hidden="1" customWidth="1"/>
    <col min="103" max="103" width="16.5703125" style="7" hidden="1" customWidth="1"/>
    <col min="104" max="104" width="17" style="7" hidden="1" customWidth="1"/>
    <col min="105" max="105" width="14.140625" style="7" hidden="1" customWidth="1"/>
    <col min="106" max="106" width="13.7109375" style="7" hidden="1" customWidth="1"/>
    <col min="107" max="107" width="17.28515625" style="7" hidden="1" customWidth="1"/>
    <col min="108" max="108" width="18.85546875" style="7" hidden="1" customWidth="1"/>
    <col min="109" max="109" width="14.28515625" style="7" bestFit="1" customWidth="1"/>
    <col min="110" max="110" width="16" style="7" bestFit="1" customWidth="1"/>
    <col min="111" max="111" width="16.7109375" style="7" hidden="1" customWidth="1"/>
    <col min="112" max="112" width="15.85546875" style="7" hidden="1" customWidth="1"/>
    <col min="113" max="113" width="17.85546875" style="7" hidden="1" customWidth="1"/>
    <col min="114" max="114" width="14.85546875" style="7" hidden="1" customWidth="1"/>
    <col min="115" max="116" width="17.42578125" style="7" hidden="1" customWidth="1"/>
    <col min="117" max="117" width="17" style="7" hidden="1" customWidth="1"/>
    <col min="118" max="118" width="16.140625" style="7" hidden="1" customWidth="1"/>
    <col min="119" max="119" width="16.28515625" style="7" hidden="1" customWidth="1"/>
    <col min="120" max="120" width="15.85546875" style="7" hidden="1" customWidth="1"/>
    <col min="121" max="121" width="18" style="7" hidden="1" customWidth="1"/>
    <col min="122" max="122" width="16.7109375" style="7" hidden="1" customWidth="1"/>
    <col min="123" max="123" width="14.140625" style="7" hidden="1" customWidth="1"/>
    <col min="124" max="124" width="17" style="7" hidden="1" customWidth="1"/>
    <col min="125" max="126" width="15" style="7" hidden="1" customWidth="1"/>
    <col min="127" max="127" width="16.85546875" style="20" bestFit="1" customWidth="1"/>
    <col min="128" max="128" width="15.5703125" style="7" customWidth="1"/>
    <col min="129" max="129" width="18.28515625" style="7" bestFit="1" customWidth="1"/>
    <col min="130" max="130" width="17.7109375" style="7" hidden="1" customWidth="1"/>
    <col min="131" max="131" width="17.42578125" style="7" hidden="1" customWidth="1"/>
    <col min="132" max="132" width="18" style="7" hidden="1" customWidth="1"/>
    <col min="133" max="133" width="15.140625" style="7" hidden="1" customWidth="1"/>
    <col min="134" max="134" width="14.7109375" style="7" hidden="1" customWidth="1"/>
    <col min="135" max="135" width="16.28515625" style="7" hidden="1" customWidth="1"/>
    <col min="136" max="136" width="17.5703125" style="7" hidden="1" customWidth="1"/>
    <col min="137" max="137" width="19.28515625" style="7" hidden="1" customWidth="1"/>
    <col min="138" max="138" width="16" style="7" hidden="1" customWidth="1"/>
    <col min="139" max="139" width="15.140625" style="7" hidden="1" customWidth="1"/>
    <col min="140" max="140" width="18" style="7" hidden="1" customWidth="1"/>
    <col min="141" max="141" width="16.5703125" style="7" hidden="1" customWidth="1"/>
    <col min="142" max="142" width="17" style="7" hidden="1" customWidth="1"/>
    <col min="143" max="143" width="14.140625" style="7" hidden="1" customWidth="1"/>
    <col min="144" max="144" width="13.7109375" style="7" hidden="1" customWidth="1"/>
    <col min="145" max="145" width="17.28515625" style="7" hidden="1" customWidth="1"/>
    <col min="146" max="146" width="18.85546875" style="7" hidden="1" customWidth="1"/>
    <col min="147" max="147" width="14.28515625" style="7" bestFit="1" customWidth="1"/>
    <col min="148" max="148" width="16" style="7" bestFit="1" customWidth="1"/>
    <col min="149" max="149" width="16.7109375" style="7" hidden="1" customWidth="1"/>
    <col min="150" max="150" width="15.85546875" style="7" hidden="1" customWidth="1"/>
    <col min="151" max="151" width="17.85546875" style="7" hidden="1" customWidth="1"/>
    <col min="152" max="152" width="14.85546875" style="7" hidden="1" customWidth="1"/>
    <col min="153" max="154" width="17.42578125" style="7" hidden="1" customWidth="1"/>
    <col min="155" max="155" width="17" style="7" hidden="1" customWidth="1"/>
    <col min="156" max="156" width="16.140625" style="7" hidden="1" customWidth="1"/>
    <col min="157" max="157" width="16.28515625" style="7" hidden="1" customWidth="1"/>
    <col min="158" max="158" width="15.85546875" style="7" hidden="1" customWidth="1"/>
    <col min="159" max="159" width="18" style="7" hidden="1" customWidth="1"/>
    <col min="160" max="160" width="16.7109375" style="7" hidden="1" customWidth="1"/>
    <col min="161" max="161" width="14.140625" style="7" hidden="1" customWidth="1"/>
    <col min="162" max="162" width="17" style="7" hidden="1" customWidth="1"/>
    <col min="163" max="164" width="15" style="7" hidden="1" customWidth="1"/>
    <col min="165" max="165" width="12.85546875" style="7" hidden="1" customWidth="1"/>
    <col min="166" max="166" width="15" style="7" hidden="1" customWidth="1"/>
    <col min="167" max="167" width="13.7109375" style="7" hidden="1" customWidth="1"/>
    <col min="168" max="168" width="15.5703125" style="7" bestFit="1" customWidth="1"/>
    <col min="169" max="169" width="11.140625" style="7" bestFit="1" customWidth="1"/>
    <col min="170" max="170" width="15.140625" style="7" bestFit="1" customWidth="1"/>
    <col min="171" max="171" width="22" style="39" customWidth="1"/>
    <col min="172" max="172" width="14.42578125" style="7" bestFit="1" customWidth="1"/>
    <col min="173" max="173" width="18.28515625" style="48" bestFit="1" customWidth="1"/>
    <col min="174" max="174" width="16.85546875" style="7" bestFit="1" customWidth="1"/>
    <col min="175" max="175" width="14.85546875" style="7" bestFit="1" customWidth="1"/>
    <col min="176" max="176" width="18.7109375" style="7" bestFit="1" customWidth="1"/>
    <col min="177" max="177" width="16.85546875" style="7" bestFit="1" customWidth="1"/>
    <col min="178" max="179" width="15.42578125" style="7" bestFit="1" customWidth="1"/>
    <col min="180" max="180" width="15.42578125" style="39" hidden="1" customWidth="1"/>
    <col min="181" max="181" width="13.85546875" style="7" hidden="1" customWidth="1"/>
    <col min="182" max="182" width="15.28515625" style="7" hidden="1" customWidth="1"/>
    <col min="183" max="183" width="15.85546875" style="7" hidden="1" customWidth="1"/>
    <col min="184" max="184" width="16.28515625" style="7" hidden="1" customWidth="1"/>
    <col min="185" max="185" width="16.85546875" style="7" hidden="1" customWidth="1"/>
    <col min="186" max="186" width="14.42578125" style="7" hidden="1" customWidth="1"/>
    <col min="187" max="187" width="14.7109375" style="7" hidden="1" customWidth="1"/>
    <col min="188" max="188" width="13.7109375" style="7" hidden="1" customWidth="1"/>
    <col min="189" max="189" width="14.140625" style="7" hidden="1" customWidth="1"/>
    <col min="190" max="190" width="15.42578125" style="7" hidden="1" customWidth="1"/>
    <col min="191" max="191" width="13.140625" style="7" hidden="1" customWidth="1"/>
    <col min="192" max="192" width="16.5703125" style="7" hidden="1" customWidth="1"/>
    <col min="193" max="193" width="15" style="7" hidden="1" customWidth="1"/>
    <col min="194" max="194" width="17.7109375" style="7" hidden="1" customWidth="1"/>
    <col min="195" max="195" width="16.42578125" style="7" hidden="1" customWidth="1"/>
    <col min="196" max="196" width="17.85546875" style="7" hidden="1" customWidth="1"/>
    <col min="197" max="197" width="9.5703125" style="7" hidden="1" customWidth="1"/>
    <col min="198" max="199" width="16.5703125" style="7" hidden="1" customWidth="1"/>
    <col min="200" max="200" width="18.28515625" style="19" bestFit="1" customWidth="1"/>
    <col min="201" max="201" width="16.85546875" style="7" bestFit="1" customWidth="1"/>
    <col min="202" max="202" width="14.85546875" style="7" bestFit="1" customWidth="1"/>
    <col min="203" max="203" width="18.7109375" style="7" hidden="1" customWidth="1"/>
    <col min="204" max="204" width="16.85546875" style="7" hidden="1" customWidth="1"/>
    <col min="205" max="206" width="15.42578125" style="7" bestFit="1" customWidth="1"/>
    <col min="207" max="207" width="15.42578125" style="39" hidden="1" customWidth="1"/>
    <col min="208" max="208" width="13.85546875" style="7" hidden="1" customWidth="1"/>
    <col min="209" max="209" width="15.28515625" style="7" hidden="1" customWidth="1"/>
    <col min="210" max="210" width="15.85546875" style="7" hidden="1" customWidth="1"/>
    <col min="211" max="211" width="16.28515625" style="7" hidden="1" customWidth="1"/>
    <col min="212" max="212" width="16.85546875" style="7" hidden="1" customWidth="1"/>
    <col min="213" max="213" width="14.42578125" style="7" hidden="1" customWidth="1"/>
    <col min="214" max="214" width="14.7109375" style="7" hidden="1" customWidth="1"/>
    <col min="215" max="215" width="13.7109375" style="7" hidden="1" customWidth="1"/>
    <col min="216" max="216" width="14.140625" style="7" hidden="1" customWidth="1"/>
    <col min="217" max="217" width="15.42578125" style="7" hidden="1" customWidth="1"/>
    <col min="218" max="218" width="13.140625" style="7" hidden="1" customWidth="1"/>
    <col min="219" max="219" width="16.5703125" style="7" hidden="1" customWidth="1"/>
    <col min="220" max="220" width="15" style="7" hidden="1" customWidth="1"/>
    <col min="221" max="221" width="17.7109375" style="7" hidden="1" customWidth="1"/>
    <col min="222" max="222" width="16.42578125" style="7" hidden="1" customWidth="1"/>
    <col min="223" max="223" width="17.85546875" style="7" hidden="1" customWidth="1"/>
    <col min="224" max="224" width="9.5703125" style="7" hidden="1" customWidth="1"/>
    <col min="225" max="226" width="16.5703125" style="7" hidden="1" customWidth="1"/>
    <col min="227" max="227" width="18.28515625" style="50" bestFit="1" customWidth="1"/>
    <col min="228" max="228" width="16.85546875" style="7" bestFit="1" customWidth="1"/>
    <col min="229" max="229" width="14.85546875" style="7" bestFit="1" customWidth="1"/>
    <col min="230" max="230" width="18.7109375" style="7" hidden="1" customWidth="1"/>
    <col min="231" max="231" width="16.85546875" style="7" hidden="1" customWidth="1"/>
    <col min="232" max="232" width="15.42578125" style="7" hidden="1" customWidth="1"/>
    <col min="233" max="233" width="15.42578125" style="7" bestFit="1" customWidth="1"/>
    <col min="234" max="234" width="15.42578125" style="39" hidden="1" customWidth="1"/>
    <col min="235" max="235" width="13.85546875" style="7" hidden="1" customWidth="1"/>
    <col min="236" max="236" width="15.28515625" style="7" hidden="1" customWidth="1"/>
    <col min="237" max="237" width="15.85546875" style="7" hidden="1" customWidth="1"/>
    <col min="238" max="238" width="16.28515625" style="7" hidden="1" customWidth="1"/>
    <col min="239" max="239" width="16.85546875" style="7" hidden="1" customWidth="1"/>
    <col min="240" max="240" width="14.42578125" style="7" hidden="1" customWidth="1"/>
    <col min="241" max="241" width="14.7109375" style="7" hidden="1" customWidth="1"/>
    <col min="242" max="242" width="13.7109375" style="7" hidden="1" customWidth="1"/>
    <col min="243" max="243" width="14.140625" style="7" hidden="1" customWidth="1"/>
    <col min="244" max="244" width="15.42578125" style="7" hidden="1" customWidth="1"/>
    <col min="245" max="245" width="13.140625" style="7" hidden="1" customWidth="1"/>
    <col min="246" max="246" width="16.5703125" style="7" hidden="1" customWidth="1"/>
    <col min="247" max="247" width="15" style="7" hidden="1" customWidth="1"/>
    <col min="248" max="248" width="17.7109375" style="7" hidden="1" customWidth="1"/>
    <col min="249" max="249" width="16.42578125" style="7" hidden="1" customWidth="1"/>
    <col min="250" max="250" width="17.85546875" style="7" hidden="1" customWidth="1"/>
    <col min="251" max="251" width="9.5703125" style="7" hidden="1" customWidth="1"/>
    <col min="252" max="253" width="16.5703125" style="7" hidden="1" customWidth="1"/>
    <col min="254" max="254" width="18.28515625" style="21" bestFit="1" customWidth="1"/>
    <col min="255" max="255" width="16.85546875" style="7" bestFit="1" customWidth="1"/>
    <col min="256" max="256" width="14.85546875" style="7" bestFit="1" customWidth="1"/>
    <col min="257" max="257" width="18.7109375" style="7" hidden="1" customWidth="1"/>
    <col min="258" max="258" width="16.85546875" style="7" hidden="1" customWidth="1"/>
    <col min="259" max="259" width="15.42578125" style="7" hidden="1" customWidth="1"/>
    <col min="260" max="260" width="15.42578125" style="7" bestFit="1" customWidth="1"/>
    <col min="261" max="261" width="15.42578125" style="39" hidden="1" customWidth="1"/>
    <col min="262" max="262" width="13.85546875" style="7" hidden="1" customWidth="1"/>
    <col min="263" max="263" width="15.28515625" style="7" hidden="1" customWidth="1"/>
    <col min="264" max="264" width="15.85546875" style="7" hidden="1" customWidth="1"/>
    <col min="265" max="265" width="16.28515625" style="7" hidden="1" customWidth="1"/>
    <col min="266" max="266" width="16.85546875" style="7" hidden="1" customWidth="1"/>
    <col min="267" max="267" width="14.42578125" style="7" hidden="1" customWidth="1"/>
    <col min="268" max="268" width="14.7109375" style="7" hidden="1" customWidth="1"/>
    <col min="269" max="269" width="13.7109375" style="7" hidden="1" customWidth="1"/>
    <col min="270" max="270" width="14.140625" style="7" hidden="1" customWidth="1"/>
    <col min="271" max="271" width="15.42578125" style="7" hidden="1" customWidth="1"/>
    <col min="272" max="272" width="13.140625" style="7" hidden="1" customWidth="1"/>
    <col min="273" max="273" width="16.5703125" style="7" hidden="1" customWidth="1"/>
    <col min="274" max="274" width="15" style="7" hidden="1" customWidth="1"/>
    <col min="275" max="275" width="17.7109375" style="7" hidden="1" customWidth="1"/>
    <col min="276" max="276" width="16.42578125" style="7" hidden="1" customWidth="1"/>
    <col min="277" max="277" width="17.85546875" style="7" hidden="1" customWidth="1"/>
    <col min="278" max="278" width="9.5703125" style="7" hidden="1" customWidth="1"/>
    <col min="279" max="279" width="16.5703125" style="7" hidden="1" customWidth="1"/>
    <col min="280" max="280" width="16.5703125" style="7" bestFit="1" customWidth="1"/>
    <col min="281" max="281" width="9.140625" style="7"/>
  </cols>
  <sheetData>
    <row r="1" spans="1:281">
      <c r="A1" s="7">
        <v>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49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  <c r="V1" s="7">
        <v>21</v>
      </c>
      <c r="W1" s="7">
        <v>22</v>
      </c>
      <c r="X1" s="7">
        <v>23</v>
      </c>
      <c r="Y1" s="7">
        <v>24</v>
      </c>
      <c r="Z1" s="7">
        <v>25</v>
      </c>
      <c r="AA1" s="7">
        <v>26</v>
      </c>
      <c r="AB1" s="7">
        <v>27</v>
      </c>
      <c r="AC1" s="7">
        <v>28</v>
      </c>
      <c r="AD1" s="7">
        <v>29</v>
      </c>
      <c r="AE1" s="7">
        <v>30</v>
      </c>
      <c r="AF1" s="7">
        <v>31</v>
      </c>
      <c r="AG1" s="7">
        <v>32</v>
      </c>
      <c r="AH1" s="7">
        <v>33</v>
      </c>
      <c r="AI1" s="7">
        <v>34</v>
      </c>
      <c r="AJ1" s="7">
        <v>35</v>
      </c>
      <c r="AK1" s="7">
        <v>36</v>
      </c>
      <c r="AL1" s="7">
        <v>37</v>
      </c>
      <c r="AM1" s="7">
        <v>38</v>
      </c>
      <c r="AN1" s="7">
        <v>39</v>
      </c>
      <c r="AO1" s="7">
        <v>40</v>
      </c>
      <c r="AP1" s="7">
        <v>41</v>
      </c>
      <c r="AQ1" s="7">
        <v>42</v>
      </c>
      <c r="AR1" s="7">
        <v>43</v>
      </c>
      <c r="AS1" s="7">
        <v>44</v>
      </c>
      <c r="AT1" s="7">
        <v>45</v>
      </c>
      <c r="AU1" s="7">
        <v>46</v>
      </c>
      <c r="AV1" s="7">
        <v>47</v>
      </c>
      <c r="AW1" s="7">
        <v>48</v>
      </c>
      <c r="AX1" s="7">
        <v>49</v>
      </c>
      <c r="AY1" s="50">
        <v>50</v>
      </c>
      <c r="AZ1" s="7">
        <v>51</v>
      </c>
      <c r="BA1" s="7">
        <v>52</v>
      </c>
      <c r="BB1" s="7">
        <v>53</v>
      </c>
      <c r="BC1" s="7">
        <v>54</v>
      </c>
      <c r="BD1" s="7">
        <v>55</v>
      </c>
      <c r="BE1" s="7">
        <v>56</v>
      </c>
      <c r="BF1" s="7">
        <v>57</v>
      </c>
      <c r="BG1" s="7">
        <v>58</v>
      </c>
      <c r="BH1" s="7">
        <v>59</v>
      </c>
      <c r="BI1" s="7">
        <v>60</v>
      </c>
      <c r="BJ1" s="7">
        <v>61</v>
      </c>
      <c r="BK1" s="7">
        <v>62</v>
      </c>
      <c r="BL1" s="7">
        <v>63</v>
      </c>
      <c r="BM1" s="7">
        <v>64</v>
      </c>
      <c r="BN1" s="7">
        <v>65</v>
      </c>
      <c r="BO1" s="7">
        <v>66</v>
      </c>
      <c r="BP1" s="7">
        <v>67</v>
      </c>
      <c r="BQ1" s="7">
        <v>68</v>
      </c>
      <c r="BR1" s="7">
        <v>69</v>
      </c>
      <c r="BS1" s="7">
        <v>70</v>
      </c>
      <c r="BT1" s="7">
        <v>71</v>
      </c>
      <c r="BU1" s="7">
        <v>72</v>
      </c>
      <c r="BV1" s="7">
        <v>73</v>
      </c>
      <c r="BW1" s="7">
        <v>74</v>
      </c>
      <c r="BX1" s="7">
        <v>75</v>
      </c>
      <c r="BY1" s="7">
        <v>76</v>
      </c>
      <c r="BZ1" s="7">
        <v>77</v>
      </c>
      <c r="CA1" s="7">
        <v>78</v>
      </c>
      <c r="CB1" s="7">
        <v>79</v>
      </c>
      <c r="CC1" s="7">
        <v>80</v>
      </c>
      <c r="CD1" s="7">
        <v>81</v>
      </c>
      <c r="CE1" s="7">
        <v>82</v>
      </c>
      <c r="CF1" s="7">
        <v>83</v>
      </c>
      <c r="CG1" s="7">
        <v>84</v>
      </c>
      <c r="CH1" s="7">
        <v>85</v>
      </c>
      <c r="CI1" s="7">
        <v>86</v>
      </c>
      <c r="CJ1" s="7">
        <v>87</v>
      </c>
      <c r="CK1" s="40">
        <v>88</v>
      </c>
      <c r="CL1" s="7">
        <v>89</v>
      </c>
      <c r="CM1" s="7">
        <v>90</v>
      </c>
      <c r="CN1" s="7">
        <v>91</v>
      </c>
      <c r="CO1" s="7">
        <v>92</v>
      </c>
      <c r="CP1" s="7">
        <v>93</v>
      </c>
      <c r="CQ1" s="7">
        <v>94</v>
      </c>
      <c r="CR1" s="7">
        <v>95</v>
      </c>
      <c r="CS1" s="7">
        <v>96</v>
      </c>
      <c r="CT1" s="7">
        <v>97</v>
      </c>
      <c r="CU1" s="7">
        <v>98</v>
      </c>
      <c r="CV1" s="7">
        <v>99</v>
      </c>
      <c r="CW1" s="7">
        <v>100</v>
      </c>
      <c r="CX1" s="7">
        <v>101</v>
      </c>
      <c r="CY1" s="7">
        <v>102</v>
      </c>
      <c r="CZ1" s="7">
        <v>103</v>
      </c>
      <c r="DA1" s="7">
        <v>104</v>
      </c>
      <c r="DB1" s="7">
        <v>105</v>
      </c>
      <c r="DC1" s="7">
        <v>106</v>
      </c>
      <c r="DD1" s="7">
        <v>107</v>
      </c>
      <c r="DE1" s="7">
        <v>108</v>
      </c>
      <c r="DF1" s="7">
        <v>109</v>
      </c>
      <c r="DG1" s="7">
        <v>110</v>
      </c>
      <c r="DH1" s="7">
        <v>111</v>
      </c>
      <c r="DI1" s="7">
        <v>112</v>
      </c>
      <c r="DJ1" s="7">
        <v>113</v>
      </c>
      <c r="DK1" s="7">
        <v>114</v>
      </c>
      <c r="DL1" s="7">
        <v>115</v>
      </c>
      <c r="DM1" s="7">
        <v>116</v>
      </c>
      <c r="DN1" s="7">
        <v>117</v>
      </c>
      <c r="DO1" s="7">
        <v>118</v>
      </c>
      <c r="DP1" s="7">
        <v>119</v>
      </c>
      <c r="DQ1" s="7">
        <v>120</v>
      </c>
      <c r="DR1" s="7">
        <v>121</v>
      </c>
      <c r="DS1" s="7">
        <v>122</v>
      </c>
      <c r="DT1" s="7">
        <v>123</v>
      </c>
      <c r="DU1" s="7">
        <v>124</v>
      </c>
      <c r="DV1" s="7">
        <v>125</v>
      </c>
      <c r="DW1" s="20">
        <v>126</v>
      </c>
      <c r="DX1" s="7">
        <v>127</v>
      </c>
      <c r="DY1" s="7">
        <v>128</v>
      </c>
      <c r="DZ1" s="7">
        <v>129</v>
      </c>
      <c r="EA1" s="7">
        <v>130</v>
      </c>
      <c r="EB1" s="7">
        <v>131</v>
      </c>
      <c r="EC1" s="7">
        <v>132</v>
      </c>
      <c r="ED1" s="7">
        <v>133</v>
      </c>
      <c r="EE1" s="7">
        <v>134</v>
      </c>
      <c r="EF1" s="7">
        <v>135</v>
      </c>
      <c r="EG1" s="7">
        <v>136</v>
      </c>
      <c r="EH1" s="7">
        <v>137</v>
      </c>
      <c r="EI1" s="7">
        <v>138</v>
      </c>
      <c r="EJ1" s="7">
        <v>139</v>
      </c>
      <c r="EK1" s="7">
        <v>140</v>
      </c>
      <c r="EL1" s="7">
        <v>141</v>
      </c>
      <c r="EM1" s="7">
        <v>142</v>
      </c>
      <c r="EN1" s="7">
        <v>143</v>
      </c>
      <c r="EO1" s="7">
        <v>144</v>
      </c>
      <c r="EP1" s="7">
        <v>145</v>
      </c>
      <c r="EQ1" s="7">
        <v>146</v>
      </c>
      <c r="ER1" s="7">
        <v>147</v>
      </c>
      <c r="ES1" s="7">
        <v>148</v>
      </c>
      <c r="ET1" s="7">
        <v>149</v>
      </c>
      <c r="EU1" s="7">
        <v>150</v>
      </c>
      <c r="EV1" s="7">
        <v>151</v>
      </c>
      <c r="EW1" s="7">
        <v>152</v>
      </c>
      <c r="EX1" s="7">
        <v>153</v>
      </c>
      <c r="EY1" s="7">
        <v>154</v>
      </c>
      <c r="EZ1" s="7">
        <v>155</v>
      </c>
      <c r="FA1" s="7">
        <v>156</v>
      </c>
      <c r="FB1" s="7">
        <v>157</v>
      </c>
      <c r="FC1" s="7">
        <v>158</v>
      </c>
      <c r="FD1" s="7">
        <v>159</v>
      </c>
      <c r="FE1" s="7">
        <v>160</v>
      </c>
      <c r="FF1" s="7">
        <v>161</v>
      </c>
      <c r="FG1" s="7">
        <v>162</v>
      </c>
      <c r="FH1" s="7">
        <v>163</v>
      </c>
      <c r="FI1" s="7">
        <v>164</v>
      </c>
      <c r="FJ1" s="7">
        <v>165</v>
      </c>
      <c r="FK1" s="7">
        <v>166</v>
      </c>
      <c r="FL1" s="7">
        <v>167</v>
      </c>
      <c r="FM1" s="7">
        <v>168</v>
      </c>
      <c r="FN1" s="7">
        <v>169</v>
      </c>
      <c r="FO1" s="7">
        <v>170</v>
      </c>
      <c r="FP1" s="7">
        <v>171</v>
      </c>
      <c r="FQ1" s="48">
        <v>172</v>
      </c>
      <c r="FR1" s="7">
        <v>173</v>
      </c>
      <c r="FS1" s="7">
        <v>174</v>
      </c>
      <c r="FT1" s="7">
        <v>175</v>
      </c>
      <c r="FU1" s="7">
        <v>176</v>
      </c>
      <c r="FV1" s="7">
        <v>177</v>
      </c>
      <c r="FW1" s="7">
        <v>178</v>
      </c>
      <c r="FX1" s="39">
        <v>179</v>
      </c>
      <c r="FY1" s="7">
        <v>180</v>
      </c>
      <c r="FZ1" s="7">
        <v>181</v>
      </c>
      <c r="GA1" s="7">
        <v>182</v>
      </c>
      <c r="GB1" s="7">
        <v>183</v>
      </c>
      <c r="GC1" s="7">
        <v>184</v>
      </c>
      <c r="GD1" s="7">
        <v>185</v>
      </c>
      <c r="GE1" s="7">
        <v>186</v>
      </c>
      <c r="GF1" s="7">
        <v>187</v>
      </c>
      <c r="GG1" s="7">
        <v>188</v>
      </c>
      <c r="GH1" s="7">
        <v>189</v>
      </c>
      <c r="GI1" s="7">
        <v>190</v>
      </c>
      <c r="GJ1" s="7">
        <v>191</v>
      </c>
      <c r="GK1" s="7">
        <v>192</v>
      </c>
      <c r="GL1" s="7">
        <v>193</v>
      </c>
      <c r="GM1" s="7">
        <v>194</v>
      </c>
      <c r="GN1" s="7">
        <v>195</v>
      </c>
      <c r="GO1" s="7">
        <v>196</v>
      </c>
      <c r="GP1" s="7">
        <v>197</v>
      </c>
      <c r="GQ1" s="7">
        <v>198</v>
      </c>
      <c r="GR1" s="19">
        <v>199</v>
      </c>
      <c r="GS1" s="7">
        <v>200</v>
      </c>
      <c r="GT1" s="7">
        <v>201</v>
      </c>
      <c r="GU1" s="7">
        <v>202</v>
      </c>
      <c r="GV1" s="7">
        <v>203</v>
      </c>
      <c r="GW1" s="7">
        <v>204</v>
      </c>
      <c r="GX1" s="7">
        <v>205</v>
      </c>
      <c r="GY1" s="39">
        <v>206</v>
      </c>
      <c r="GZ1" s="7">
        <v>207</v>
      </c>
      <c r="HA1" s="7">
        <v>208</v>
      </c>
      <c r="HB1" s="7">
        <v>209</v>
      </c>
      <c r="HC1" s="7">
        <v>210</v>
      </c>
      <c r="HD1" s="7">
        <v>211</v>
      </c>
      <c r="HE1" s="7">
        <v>212</v>
      </c>
      <c r="HF1" s="7">
        <v>213</v>
      </c>
      <c r="HG1" s="7">
        <v>214</v>
      </c>
      <c r="HH1" s="7">
        <v>215</v>
      </c>
      <c r="HI1" s="7">
        <v>216</v>
      </c>
      <c r="HJ1" s="7">
        <v>217</v>
      </c>
      <c r="HK1" s="7">
        <v>218</v>
      </c>
      <c r="HL1" s="7">
        <v>219</v>
      </c>
      <c r="HM1" s="7">
        <v>220</v>
      </c>
      <c r="HN1" s="7">
        <v>221</v>
      </c>
      <c r="HO1" s="7">
        <v>222</v>
      </c>
      <c r="HP1" s="7">
        <v>223</v>
      </c>
      <c r="HQ1" s="7">
        <v>224</v>
      </c>
      <c r="HR1" s="7">
        <v>225</v>
      </c>
      <c r="HS1" s="50">
        <v>226</v>
      </c>
      <c r="HT1" s="7">
        <v>227</v>
      </c>
      <c r="HU1" s="7">
        <v>228</v>
      </c>
      <c r="HV1" s="7">
        <v>229</v>
      </c>
      <c r="HW1" s="7">
        <v>230</v>
      </c>
      <c r="HX1" s="7">
        <v>231</v>
      </c>
      <c r="HY1" s="7">
        <v>232</v>
      </c>
      <c r="HZ1" s="39">
        <v>233</v>
      </c>
      <c r="IA1" s="7">
        <v>234</v>
      </c>
      <c r="IB1" s="7">
        <v>235</v>
      </c>
      <c r="IC1" s="7">
        <v>236</v>
      </c>
      <c r="ID1" s="7">
        <v>237</v>
      </c>
      <c r="IE1" s="7">
        <v>238</v>
      </c>
      <c r="IF1" s="7">
        <v>239</v>
      </c>
      <c r="IG1" s="7">
        <v>240</v>
      </c>
      <c r="IH1" s="7">
        <v>241</v>
      </c>
      <c r="II1" s="7">
        <v>242</v>
      </c>
      <c r="IJ1" s="7">
        <v>243</v>
      </c>
      <c r="IK1" s="7">
        <v>244</v>
      </c>
      <c r="IL1" s="7">
        <v>245</v>
      </c>
      <c r="IM1" s="7">
        <v>246</v>
      </c>
      <c r="IN1" s="7">
        <v>247</v>
      </c>
      <c r="IO1" s="7">
        <v>248</v>
      </c>
      <c r="IP1" s="7">
        <v>249</v>
      </c>
      <c r="IQ1" s="7">
        <v>250</v>
      </c>
      <c r="IR1" s="7">
        <v>251</v>
      </c>
      <c r="IS1" s="7">
        <v>252</v>
      </c>
      <c r="IT1" s="21">
        <v>253</v>
      </c>
      <c r="IU1" s="7">
        <v>254</v>
      </c>
      <c r="IV1" s="7">
        <v>255</v>
      </c>
      <c r="IW1" s="7">
        <v>256</v>
      </c>
      <c r="IX1" s="7">
        <v>257</v>
      </c>
      <c r="IY1" s="7">
        <v>258</v>
      </c>
      <c r="IZ1" s="7">
        <v>259</v>
      </c>
      <c r="JA1" s="39">
        <v>260</v>
      </c>
      <c r="JB1" s="7">
        <v>261</v>
      </c>
      <c r="JC1" s="7">
        <v>262</v>
      </c>
      <c r="JD1" s="7">
        <v>263</v>
      </c>
      <c r="JE1" s="7">
        <v>264</v>
      </c>
      <c r="JF1" s="7">
        <v>265</v>
      </c>
      <c r="JG1" s="7">
        <v>266</v>
      </c>
      <c r="JH1" s="7">
        <v>267</v>
      </c>
      <c r="JI1" s="7">
        <v>268</v>
      </c>
      <c r="JJ1" s="7">
        <v>269</v>
      </c>
      <c r="JK1" s="7">
        <v>270</v>
      </c>
      <c r="JL1" s="7">
        <v>271</v>
      </c>
      <c r="JM1" s="7">
        <v>272</v>
      </c>
      <c r="JN1" s="7">
        <v>273</v>
      </c>
      <c r="JO1" s="7">
        <v>274</v>
      </c>
      <c r="JP1" s="7">
        <v>275</v>
      </c>
      <c r="JQ1" s="7">
        <v>276</v>
      </c>
      <c r="JR1" s="7">
        <v>277</v>
      </c>
      <c r="JS1" s="7">
        <v>278</v>
      </c>
      <c r="JT1" s="7">
        <v>279</v>
      </c>
      <c r="JU1" s="7">
        <v>280</v>
      </c>
    </row>
    <row r="2" spans="1:281">
      <c r="A2" s="7" t="s">
        <v>32</v>
      </c>
      <c r="B2" s="7" t="s">
        <v>33</v>
      </c>
      <c r="E2" s="7" t="s">
        <v>34</v>
      </c>
      <c r="F2" s="7" t="s">
        <v>35</v>
      </c>
      <c r="M2" s="39"/>
    </row>
    <row r="3" spans="1:281">
      <c r="M3" s="39"/>
    </row>
    <row r="4" spans="1:281">
      <c r="B4" s="7" t="s">
        <v>36</v>
      </c>
      <c r="M4" s="39"/>
      <c r="FP4" s="7" t="s">
        <v>37</v>
      </c>
    </row>
    <row r="5" spans="1:281">
      <c r="B5" s="7" t="s">
        <v>38</v>
      </c>
      <c r="M5" s="39" t="s">
        <v>39</v>
      </c>
      <c r="AY5" s="50" t="s">
        <v>40</v>
      </c>
      <c r="CK5" s="40" t="s">
        <v>41</v>
      </c>
      <c r="DW5" s="20" t="s">
        <v>42</v>
      </c>
      <c r="FJ5" s="7" t="s">
        <v>43</v>
      </c>
      <c r="FQ5" s="48" t="s">
        <v>39</v>
      </c>
      <c r="GR5" s="19" t="s">
        <v>40</v>
      </c>
      <c r="HS5" s="50" t="s">
        <v>41</v>
      </c>
      <c r="IT5" s="21" t="s">
        <v>42</v>
      </c>
    </row>
    <row r="6" spans="1:281">
      <c r="A6" s="7" t="s">
        <v>44</v>
      </c>
      <c r="B6" s="7" t="s">
        <v>45</v>
      </c>
      <c r="C6" s="7" t="s">
        <v>46</v>
      </c>
      <c r="D6" s="7" t="s">
        <v>47</v>
      </c>
      <c r="E6" s="7" t="s">
        <v>48</v>
      </c>
      <c r="F6" s="7" t="s">
        <v>49</v>
      </c>
      <c r="G6" s="7" t="s">
        <v>50</v>
      </c>
      <c r="H6" s="7" t="s">
        <v>51</v>
      </c>
      <c r="I6" s="7" t="s">
        <v>52</v>
      </c>
      <c r="J6" s="7" t="s">
        <v>53</v>
      </c>
      <c r="K6" s="7" t="s">
        <v>54</v>
      </c>
      <c r="L6" s="7" t="s">
        <v>55</v>
      </c>
      <c r="M6" s="39" t="s">
        <v>56</v>
      </c>
      <c r="N6" s="7" t="s">
        <v>57</v>
      </c>
      <c r="O6" s="49" t="s">
        <v>58</v>
      </c>
      <c r="P6" s="7" t="s">
        <v>59</v>
      </c>
      <c r="Q6" s="7" t="s">
        <v>60</v>
      </c>
      <c r="R6" s="7" t="s">
        <v>61</v>
      </c>
      <c r="S6" s="7" t="s">
        <v>62</v>
      </c>
      <c r="T6" s="7" t="s">
        <v>63</v>
      </c>
      <c r="U6" s="7" t="s">
        <v>64</v>
      </c>
      <c r="V6" s="7" t="s">
        <v>65</v>
      </c>
      <c r="W6" s="7" t="s">
        <v>66</v>
      </c>
      <c r="X6" s="7" t="s">
        <v>67</v>
      </c>
      <c r="Y6" s="7" t="s">
        <v>68</v>
      </c>
      <c r="Z6" s="7" t="s">
        <v>69</v>
      </c>
      <c r="AA6" s="7" t="s">
        <v>70</v>
      </c>
      <c r="AB6" s="7" t="s">
        <v>71</v>
      </c>
      <c r="AC6" s="7" t="s">
        <v>72</v>
      </c>
      <c r="AD6" s="7" t="s">
        <v>73</v>
      </c>
      <c r="AE6" s="7" t="s">
        <v>74</v>
      </c>
      <c r="AF6" s="7" t="s">
        <v>75</v>
      </c>
      <c r="AG6" s="7" t="s">
        <v>76</v>
      </c>
      <c r="AH6" s="7" t="s">
        <v>77</v>
      </c>
      <c r="AI6" s="7" t="s">
        <v>78</v>
      </c>
      <c r="AJ6" s="7" t="s">
        <v>79</v>
      </c>
      <c r="AK6" s="7" t="s">
        <v>80</v>
      </c>
      <c r="AL6" s="7" t="s">
        <v>81</v>
      </c>
      <c r="AM6" s="7" t="s">
        <v>82</v>
      </c>
      <c r="AN6" s="7" t="s">
        <v>83</v>
      </c>
      <c r="AO6" s="7" t="s">
        <v>84</v>
      </c>
      <c r="AP6" s="7" t="s">
        <v>85</v>
      </c>
      <c r="AQ6" s="7" t="s">
        <v>86</v>
      </c>
      <c r="AR6" s="7" t="s">
        <v>87</v>
      </c>
      <c r="AS6" s="7" t="s">
        <v>88</v>
      </c>
      <c r="AT6" s="7" t="s">
        <v>89</v>
      </c>
      <c r="AU6" s="7" t="s">
        <v>90</v>
      </c>
      <c r="AV6" s="7" t="s">
        <v>91</v>
      </c>
      <c r="AW6" s="7" t="s">
        <v>92</v>
      </c>
      <c r="AX6" s="7" t="s">
        <v>93</v>
      </c>
      <c r="AY6" s="50" t="s">
        <v>56</v>
      </c>
      <c r="AZ6" s="7" t="s">
        <v>57</v>
      </c>
      <c r="BA6" s="7" t="s">
        <v>94</v>
      </c>
      <c r="BB6" s="7" t="s">
        <v>59</v>
      </c>
      <c r="BC6" s="7" t="s">
        <v>60</v>
      </c>
      <c r="BD6" s="7" t="s">
        <v>61</v>
      </c>
      <c r="BE6" s="7" t="s">
        <v>62</v>
      </c>
      <c r="BF6" s="7" t="s">
        <v>63</v>
      </c>
      <c r="BG6" s="7" t="s">
        <v>64</v>
      </c>
      <c r="BH6" s="7" t="s">
        <v>65</v>
      </c>
      <c r="BI6" s="7" t="s">
        <v>66</v>
      </c>
      <c r="BJ6" s="7" t="s">
        <v>67</v>
      </c>
      <c r="BK6" s="7" t="s">
        <v>68</v>
      </c>
      <c r="BL6" s="7" t="s">
        <v>69</v>
      </c>
      <c r="BM6" s="7" t="s">
        <v>70</v>
      </c>
      <c r="BN6" s="7" t="s">
        <v>71</v>
      </c>
      <c r="BO6" s="7" t="s">
        <v>72</v>
      </c>
      <c r="BP6" s="7" t="s">
        <v>73</v>
      </c>
      <c r="BQ6" s="7" t="s">
        <v>74</v>
      </c>
      <c r="BR6" s="7" t="s">
        <v>75</v>
      </c>
      <c r="BS6" s="7" t="s">
        <v>95</v>
      </c>
      <c r="BT6" s="7" t="s">
        <v>77</v>
      </c>
      <c r="BU6" s="7" t="s">
        <v>78</v>
      </c>
      <c r="BV6" s="7" t="s">
        <v>79</v>
      </c>
      <c r="BW6" s="7" t="s">
        <v>80</v>
      </c>
      <c r="BX6" s="7" t="s">
        <v>81</v>
      </c>
      <c r="BY6" s="7" t="s">
        <v>82</v>
      </c>
      <c r="BZ6" s="7" t="s">
        <v>83</v>
      </c>
      <c r="CA6" s="7" t="s">
        <v>84</v>
      </c>
      <c r="CB6" s="7" t="s">
        <v>85</v>
      </c>
      <c r="CC6" s="7" t="s">
        <v>86</v>
      </c>
      <c r="CD6" s="7" t="s">
        <v>87</v>
      </c>
      <c r="CE6" s="7" t="s">
        <v>88</v>
      </c>
      <c r="CF6" s="7" t="s">
        <v>89</v>
      </c>
      <c r="CG6" s="7" t="s">
        <v>90</v>
      </c>
      <c r="CH6" s="7" t="s">
        <v>91</v>
      </c>
      <c r="CI6" s="7" t="s">
        <v>92</v>
      </c>
      <c r="CJ6" s="7" t="s">
        <v>93</v>
      </c>
      <c r="CK6" s="40" t="s">
        <v>56</v>
      </c>
      <c r="CL6" s="7" t="s">
        <v>57</v>
      </c>
      <c r="CM6" s="7" t="s">
        <v>96</v>
      </c>
      <c r="CN6" s="7" t="s">
        <v>97</v>
      </c>
      <c r="CO6" s="7" t="s">
        <v>60</v>
      </c>
      <c r="CP6" s="7" t="s">
        <v>61</v>
      </c>
      <c r="CQ6" s="7" t="s">
        <v>62</v>
      </c>
      <c r="CR6" s="7" t="s">
        <v>63</v>
      </c>
      <c r="CS6" s="7" t="s">
        <v>64</v>
      </c>
      <c r="CT6" s="7" t="s">
        <v>65</v>
      </c>
      <c r="CU6" s="7" t="s">
        <v>66</v>
      </c>
      <c r="CV6" s="7" t="s">
        <v>67</v>
      </c>
      <c r="CW6" s="7" t="s">
        <v>68</v>
      </c>
      <c r="CX6" s="7" t="s">
        <v>69</v>
      </c>
      <c r="CY6" s="7" t="s">
        <v>70</v>
      </c>
      <c r="CZ6" s="7" t="s">
        <v>71</v>
      </c>
      <c r="DA6" s="7" t="s">
        <v>72</v>
      </c>
      <c r="DB6" s="7" t="s">
        <v>73</v>
      </c>
      <c r="DC6" s="7" t="s">
        <v>74</v>
      </c>
      <c r="DD6" s="7" t="s">
        <v>75</v>
      </c>
      <c r="DE6" s="7" t="s">
        <v>76</v>
      </c>
      <c r="DF6" s="7" t="s">
        <v>77</v>
      </c>
      <c r="DG6" s="7" t="s">
        <v>78</v>
      </c>
      <c r="DH6" s="7" t="s">
        <v>79</v>
      </c>
      <c r="DI6" s="7" t="s">
        <v>80</v>
      </c>
      <c r="DJ6" s="7" t="s">
        <v>81</v>
      </c>
      <c r="DK6" s="7" t="s">
        <v>82</v>
      </c>
      <c r="DL6" s="7" t="s">
        <v>83</v>
      </c>
      <c r="DM6" s="7" t="s">
        <v>84</v>
      </c>
      <c r="DN6" s="7" t="s">
        <v>85</v>
      </c>
      <c r="DO6" s="7" t="s">
        <v>86</v>
      </c>
      <c r="DP6" s="7" t="s">
        <v>87</v>
      </c>
      <c r="DQ6" s="7" t="s">
        <v>88</v>
      </c>
      <c r="DR6" s="7" t="s">
        <v>89</v>
      </c>
      <c r="DS6" s="7" t="s">
        <v>90</v>
      </c>
      <c r="DT6" s="7" t="s">
        <v>91</v>
      </c>
      <c r="DU6" s="7" t="s">
        <v>92</v>
      </c>
      <c r="DV6" s="7" t="s">
        <v>93</v>
      </c>
      <c r="DW6" s="20" t="s">
        <v>56</v>
      </c>
      <c r="DX6" s="7" t="s">
        <v>57</v>
      </c>
      <c r="DY6" s="7" t="s">
        <v>98</v>
      </c>
      <c r="DZ6" s="7" t="s">
        <v>59</v>
      </c>
      <c r="EA6" s="7" t="s">
        <v>60</v>
      </c>
      <c r="EB6" s="7" t="s">
        <v>61</v>
      </c>
      <c r="EC6" s="7" t="s">
        <v>62</v>
      </c>
      <c r="ED6" s="7" t="s">
        <v>63</v>
      </c>
      <c r="EE6" s="7" t="s">
        <v>64</v>
      </c>
      <c r="EF6" s="7" t="s">
        <v>65</v>
      </c>
      <c r="EG6" s="7" t="s">
        <v>66</v>
      </c>
      <c r="EH6" s="7" t="s">
        <v>67</v>
      </c>
      <c r="EI6" s="7" t="s">
        <v>68</v>
      </c>
      <c r="EJ6" s="7" t="s">
        <v>69</v>
      </c>
      <c r="EK6" s="7" t="s">
        <v>70</v>
      </c>
      <c r="EL6" s="7" t="s">
        <v>71</v>
      </c>
      <c r="EM6" s="7" t="s">
        <v>72</v>
      </c>
      <c r="EN6" s="7" t="s">
        <v>73</v>
      </c>
      <c r="EO6" s="7" t="s">
        <v>74</v>
      </c>
      <c r="EP6" s="7" t="s">
        <v>75</v>
      </c>
      <c r="EQ6" s="7" t="s">
        <v>76</v>
      </c>
      <c r="ER6" s="7" t="s">
        <v>77</v>
      </c>
      <c r="ES6" s="7" t="s">
        <v>78</v>
      </c>
      <c r="ET6" s="7" t="s">
        <v>79</v>
      </c>
      <c r="EU6" s="7" t="s">
        <v>80</v>
      </c>
      <c r="EV6" s="7" t="s">
        <v>81</v>
      </c>
      <c r="EW6" s="7" t="s">
        <v>82</v>
      </c>
      <c r="EX6" s="7" t="s">
        <v>83</v>
      </c>
      <c r="EY6" s="7" t="s">
        <v>84</v>
      </c>
      <c r="EZ6" s="7" t="s">
        <v>85</v>
      </c>
      <c r="FA6" s="7" t="s">
        <v>86</v>
      </c>
      <c r="FB6" s="7" t="s">
        <v>87</v>
      </c>
      <c r="FC6" s="7" t="s">
        <v>88</v>
      </c>
      <c r="FD6" s="7" t="s">
        <v>89</v>
      </c>
      <c r="FE6" s="7" t="s">
        <v>90</v>
      </c>
      <c r="FF6" s="7" t="s">
        <v>91</v>
      </c>
      <c r="FG6" s="7" t="s">
        <v>92</v>
      </c>
      <c r="FH6" s="7" t="s">
        <v>93</v>
      </c>
      <c r="FI6" s="7" t="s">
        <v>99</v>
      </c>
      <c r="FJ6" s="7" t="s">
        <v>100</v>
      </c>
      <c r="FK6" s="7" t="s">
        <v>101</v>
      </c>
      <c r="FL6" s="7" t="s">
        <v>102</v>
      </c>
      <c r="FM6" s="7" t="s">
        <v>103</v>
      </c>
      <c r="FN6" s="7" t="s">
        <v>104</v>
      </c>
      <c r="FP6" s="7" t="s">
        <v>105</v>
      </c>
      <c r="FQ6" s="48" t="s">
        <v>106</v>
      </c>
      <c r="FR6" s="7" t="s">
        <v>107</v>
      </c>
      <c r="FS6" s="7" t="s">
        <v>108</v>
      </c>
      <c r="FT6" s="7" t="s">
        <v>109</v>
      </c>
      <c r="FU6" s="7" t="s">
        <v>110</v>
      </c>
      <c r="FV6" s="7" t="s">
        <v>111</v>
      </c>
      <c r="FW6" s="7" t="s">
        <v>112</v>
      </c>
      <c r="FX6" s="39" t="s">
        <v>153</v>
      </c>
      <c r="FY6" s="7" t="s">
        <v>113</v>
      </c>
      <c r="FZ6" s="7" t="s">
        <v>114</v>
      </c>
      <c r="GA6" s="7" t="s">
        <v>115</v>
      </c>
      <c r="GB6" s="7" t="s">
        <v>116</v>
      </c>
      <c r="GC6" s="7" t="s">
        <v>117</v>
      </c>
      <c r="GD6" s="7" t="s">
        <v>118</v>
      </c>
      <c r="GE6" s="7" t="s">
        <v>119</v>
      </c>
      <c r="GF6" s="7" t="s">
        <v>120</v>
      </c>
      <c r="GG6" s="7" t="s">
        <v>121</v>
      </c>
      <c r="GH6" s="7" t="s">
        <v>122</v>
      </c>
      <c r="GI6" s="7" t="s">
        <v>123</v>
      </c>
      <c r="GJ6" s="7" t="s">
        <v>124</v>
      </c>
      <c r="GK6" s="7" t="s">
        <v>125</v>
      </c>
      <c r="GL6" s="7" t="s">
        <v>126</v>
      </c>
      <c r="GM6" s="7" t="s">
        <v>127</v>
      </c>
      <c r="GN6" s="7" t="s">
        <v>128</v>
      </c>
      <c r="GO6" s="7" t="s">
        <v>129</v>
      </c>
      <c r="GP6" s="7" t="s">
        <v>130</v>
      </c>
      <c r="GQ6" s="7" t="s">
        <v>131</v>
      </c>
      <c r="GR6" s="19" t="s">
        <v>106</v>
      </c>
      <c r="GS6" s="7" t="s">
        <v>107</v>
      </c>
      <c r="GT6" s="7" t="s">
        <v>108</v>
      </c>
      <c r="GU6" s="7" t="s">
        <v>109</v>
      </c>
      <c r="GV6" s="7" t="s">
        <v>110</v>
      </c>
      <c r="GW6" s="7" t="s">
        <v>111</v>
      </c>
      <c r="GX6" s="7" t="s">
        <v>112</v>
      </c>
      <c r="GY6" s="39" t="s">
        <v>154</v>
      </c>
      <c r="GZ6" s="7" t="s">
        <v>113</v>
      </c>
      <c r="HA6" s="7" t="s">
        <v>114</v>
      </c>
      <c r="HB6" s="7" t="s">
        <v>115</v>
      </c>
      <c r="HC6" s="7" t="s">
        <v>116</v>
      </c>
      <c r="HD6" s="7" t="s">
        <v>117</v>
      </c>
      <c r="HE6" s="7" t="s">
        <v>118</v>
      </c>
      <c r="HF6" s="7" t="s">
        <v>119</v>
      </c>
      <c r="HG6" s="7" t="s">
        <v>120</v>
      </c>
      <c r="HH6" s="7" t="s">
        <v>121</v>
      </c>
      <c r="HI6" s="7" t="s">
        <v>122</v>
      </c>
      <c r="HJ6" s="7" t="s">
        <v>123</v>
      </c>
      <c r="HK6" s="7" t="s">
        <v>124</v>
      </c>
      <c r="HL6" s="7" t="s">
        <v>125</v>
      </c>
      <c r="HM6" s="7" t="s">
        <v>126</v>
      </c>
      <c r="HN6" s="7" t="s">
        <v>127</v>
      </c>
      <c r="HO6" s="7" t="s">
        <v>128</v>
      </c>
      <c r="HP6" s="7" t="s">
        <v>129</v>
      </c>
      <c r="HQ6" s="7" t="s">
        <v>130</v>
      </c>
      <c r="HR6" s="7" t="s">
        <v>131</v>
      </c>
      <c r="HS6" s="50" t="s">
        <v>106</v>
      </c>
      <c r="HT6" s="7" t="s">
        <v>107</v>
      </c>
      <c r="HU6" s="7" t="s">
        <v>108</v>
      </c>
      <c r="HV6" s="7" t="s">
        <v>109</v>
      </c>
      <c r="HW6" s="7" t="s">
        <v>110</v>
      </c>
      <c r="HX6" s="7" t="s">
        <v>111</v>
      </c>
      <c r="HY6" s="7" t="s">
        <v>112</v>
      </c>
      <c r="HZ6" s="39" t="s">
        <v>155</v>
      </c>
      <c r="IA6" s="7" t="s">
        <v>113</v>
      </c>
      <c r="IB6" s="7" t="s">
        <v>114</v>
      </c>
      <c r="IC6" s="7" t="s">
        <v>115</v>
      </c>
      <c r="ID6" s="7" t="s">
        <v>116</v>
      </c>
      <c r="IE6" s="7" t="s">
        <v>117</v>
      </c>
      <c r="IF6" s="7" t="s">
        <v>118</v>
      </c>
      <c r="IG6" s="7" t="s">
        <v>119</v>
      </c>
      <c r="IH6" s="7" t="s">
        <v>120</v>
      </c>
      <c r="II6" s="7" t="s">
        <v>121</v>
      </c>
      <c r="IJ6" s="7" t="s">
        <v>122</v>
      </c>
      <c r="IK6" s="7" t="s">
        <v>123</v>
      </c>
      <c r="IL6" s="7" t="s">
        <v>124</v>
      </c>
      <c r="IM6" s="7" t="s">
        <v>125</v>
      </c>
      <c r="IN6" s="7" t="s">
        <v>126</v>
      </c>
      <c r="IO6" s="7" t="s">
        <v>127</v>
      </c>
      <c r="IP6" s="7" t="s">
        <v>128</v>
      </c>
      <c r="IQ6" s="7" t="s">
        <v>129</v>
      </c>
      <c r="IR6" s="7" t="s">
        <v>130</v>
      </c>
      <c r="IS6" s="7" t="s">
        <v>131</v>
      </c>
      <c r="IT6" s="21" t="s">
        <v>106</v>
      </c>
      <c r="IU6" s="7" t="s">
        <v>107</v>
      </c>
      <c r="IV6" s="7" t="s">
        <v>108</v>
      </c>
      <c r="IW6" s="7" t="s">
        <v>109</v>
      </c>
      <c r="IX6" s="7" t="s">
        <v>110</v>
      </c>
      <c r="IY6" s="7" t="s">
        <v>111</v>
      </c>
      <c r="IZ6" s="7" t="s">
        <v>112</v>
      </c>
      <c r="JA6" s="39" t="s">
        <v>156</v>
      </c>
      <c r="JB6" s="7" t="s">
        <v>113</v>
      </c>
      <c r="JC6" s="7" t="s">
        <v>114</v>
      </c>
      <c r="JD6" s="7" t="s">
        <v>115</v>
      </c>
      <c r="JE6" s="7" t="s">
        <v>116</v>
      </c>
      <c r="JF6" s="7" t="s">
        <v>117</v>
      </c>
      <c r="JG6" s="7" t="s">
        <v>118</v>
      </c>
      <c r="JH6" s="7" t="s">
        <v>119</v>
      </c>
      <c r="JI6" s="7" t="s">
        <v>120</v>
      </c>
      <c r="JJ6" s="7" t="s">
        <v>121</v>
      </c>
      <c r="JK6" s="7" t="s">
        <v>122</v>
      </c>
      <c r="JL6" s="7" t="s">
        <v>123</v>
      </c>
      <c r="JM6" s="7" t="s">
        <v>124</v>
      </c>
      <c r="JN6" s="7" t="s">
        <v>125</v>
      </c>
      <c r="JO6" s="7" t="s">
        <v>126</v>
      </c>
      <c r="JP6" s="7" t="s">
        <v>127</v>
      </c>
      <c r="JQ6" s="7" t="s">
        <v>128</v>
      </c>
      <c r="JR6" s="7" t="s">
        <v>129</v>
      </c>
      <c r="JS6" s="7" t="s">
        <v>130</v>
      </c>
      <c r="JT6" s="7" t="s">
        <v>131</v>
      </c>
    </row>
    <row r="7" spans="1:281" ht="15.75">
      <c r="A7" s="25">
        <v>1</v>
      </c>
      <c r="B7" s="25">
        <v>20190301</v>
      </c>
      <c r="C7" s="25"/>
      <c r="D7" s="25" t="s">
        <v>132</v>
      </c>
      <c r="E7" s="25" t="s">
        <v>132</v>
      </c>
      <c r="F7" s="25" t="s">
        <v>133</v>
      </c>
      <c r="G7" s="25"/>
      <c r="H7" s="25">
        <v>100000001</v>
      </c>
      <c r="I7" s="25" t="s">
        <v>134</v>
      </c>
      <c r="J7" s="25" t="s">
        <v>135</v>
      </c>
      <c r="K7" s="25" t="s">
        <v>132</v>
      </c>
      <c r="L7" s="25">
        <v>4</v>
      </c>
      <c r="M7" s="25">
        <v>1</v>
      </c>
      <c r="N7" s="25">
        <v>1</v>
      </c>
      <c r="O7" s="45" t="s">
        <v>136</v>
      </c>
      <c r="P7" s="25">
        <v>100</v>
      </c>
      <c r="Q7" s="25">
        <v>20180301</v>
      </c>
      <c r="R7" s="25">
        <v>20180301</v>
      </c>
      <c r="S7" s="25" t="s">
        <v>137</v>
      </c>
      <c r="T7" s="25" t="s">
        <v>142</v>
      </c>
      <c r="U7" s="25">
        <v>20180301</v>
      </c>
      <c r="V7" s="25">
        <v>10</v>
      </c>
      <c r="W7" s="25">
        <v>10</v>
      </c>
      <c r="X7" s="25" t="s">
        <v>139</v>
      </c>
      <c r="Y7" s="25">
        <v>0</v>
      </c>
      <c r="Z7" s="25" t="s">
        <v>140</v>
      </c>
      <c r="AA7" s="25">
        <v>818</v>
      </c>
      <c r="AB7" s="26">
        <v>0</v>
      </c>
      <c r="AC7" s="26">
        <v>12</v>
      </c>
      <c r="AD7" s="26">
        <v>20180201</v>
      </c>
      <c r="AE7" s="26">
        <v>0</v>
      </c>
      <c r="AF7" s="25">
        <v>10000</v>
      </c>
      <c r="AG7" s="41">
        <v>50</v>
      </c>
      <c r="AH7" s="25">
        <v>60</v>
      </c>
      <c r="AI7" s="26">
        <v>0</v>
      </c>
      <c r="AJ7" s="26">
        <v>0</v>
      </c>
      <c r="AK7" s="26">
        <v>0</v>
      </c>
      <c r="AL7" s="26">
        <v>0</v>
      </c>
      <c r="AM7" s="26">
        <v>0</v>
      </c>
      <c r="AN7" s="26">
        <v>0</v>
      </c>
      <c r="AO7" s="26">
        <v>0</v>
      </c>
      <c r="AP7" s="26">
        <v>0</v>
      </c>
      <c r="AQ7" s="26">
        <v>0</v>
      </c>
      <c r="AR7" s="26">
        <v>0</v>
      </c>
      <c r="AS7" s="26">
        <v>0</v>
      </c>
      <c r="AT7" s="26">
        <v>0</v>
      </c>
      <c r="AU7" s="26">
        <v>0</v>
      </c>
      <c r="AV7" s="26">
        <v>0</v>
      </c>
      <c r="AW7" s="26">
        <v>0</v>
      </c>
      <c r="AX7" s="26">
        <v>0</v>
      </c>
      <c r="AY7" s="46">
        <v>1</v>
      </c>
      <c r="AZ7" s="25">
        <v>2</v>
      </c>
      <c r="BA7" s="41" t="s">
        <v>203</v>
      </c>
      <c r="BB7" s="41">
        <v>100</v>
      </c>
      <c r="BC7" s="41">
        <v>20180301</v>
      </c>
      <c r="BD7" s="41">
        <v>20180301</v>
      </c>
      <c r="BE7" s="41" t="s">
        <v>198</v>
      </c>
      <c r="BF7" s="41" t="s">
        <v>149</v>
      </c>
      <c r="BG7" s="41">
        <v>20180301</v>
      </c>
      <c r="BH7" s="41">
        <v>0</v>
      </c>
      <c r="BI7" s="41">
        <v>0</v>
      </c>
      <c r="BJ7" s="41" t="s">
        <v>199</v>
      </c>
      <c r="BK7" s="41">
        <v>0</v>
      </c>
      <c r="BL7" s="41" t="s">
        <v>140</v>
      </c>
      <c r="BM7" s="41">
        <v>818</v>
      </c>
      <c r="BN7" s="41">
        <v>0</v>
      </c>
      <c r="BO7" s="41">
        <v>12</v>
      </c>
      <c r="BP7" s="41">
        <v>20180201</v>
      </c>
      <c r="BQ7" s="41">
        <v>0</v>
      </c>
      <c r="BR7" s="41">
        <v>0</v>
      </c>
      <c r="BS7" s="41">
        <v>28</v>
      </c>
      <c r="BT7" s="25">
        <v>60</v>
      </c>
      <c r="BU7" s="25">
        <v>0</v>
      </c>
      <c r="BV7" s="25">
        <v>0</v>
      </c>
      <c r="BW7" s="25">
        <v>0</v>
      </c>
      <c r="BX7" s="25">
        <v>0</v>
      </c>
      <c r="BY7" s="25">
        <v>0</v>
      </c>
      <c r="BZ7" s="25">
        <v>0</v>
      </c>
      <c r="CA7" s="25">
        <v>0</v>
      </c>
      <c r="CB7" s="25">
        <v>0</v>
      </c>
      <c r="CC7" s="25">
        <v>0</v>
      </c>
      <c r="CD7" s="25">
        <v>0</v>
      </c>
      <c r="CE7" s="25">
        <v>0</v>
      </c>
      <c r="CF7" s="25">
        <v>0</v>
      </c>
      <c r="CG7" s="25">
        <v>0</v>
      </c>
      <c r="CH7" s="25">
        <v>0</v>
      </c>
      <c r="CI7" s="25">
        <v>0</v>
      </c>
      <c r="CJ7" s="25">
        <v>0</v>
      </c>
      <c r="CK7" s="22">
        <v>1</v>
      </c>
      <c r="CL7" s="25">
        <v>3</v>
      </c>
      <c r="CM7" s="41" t="s">
        <v>151</v>
      </c>
      <c r="CN7" s="41">
        <v>100</v>
      </c>
      <c r="CO7" s="41">
        <v>20180301</v>
      </c>
      <c r="CP7" s="41">
        <v>20180301</v>
      </c>
      <c r="CQ7" s="41" t="s">
        <v>198</v>
      </c>
      <c r="CR7" s="41" t="s">
        <v>200</v>
      </c>
      <c r="CS7" s="41">
        <v>20180301</v>
      </c>
      <c r="CT7" s="41">
        <v>0</v>
      </c>
      <c r="CU7" s="41">
        <v>0</v>
      </c>
      <c r="CV7" s="41" t="s">
        <v>199</v>
      </c>
      <c r="CW7" s="41">
        <v>0</v>
      </c>
      <c r="CX7" s="41" t="s">
        <v>140</v>
      </c>
      <c r="CY7" s="41">
        <v>818</v>
      </c>
      <c r="CZ7" s="41">
        <v>0</v>
      </c>
      <c r="DA7" s="41">
        <v>12</v>
      </c>
      <c r="DB7" s="41">
        <v>20180201</v>
      </c>
      <c r="DC7" s="41">
        <v>0</v>
      </c>
      <c r="DD7" s="41">
        <v>0</v>
      </c>
      <c r="DE7" s="41">
        <v>8</v>
      </c>
      <c r="DF7" s="25">
        <v>60</v>
      </c>
      <c r="DG7" s="25">
        <v>0</v>
      </c>
      <c r="DH7" s="25">
        <v>0</v>
      </c>
      <c r="DI7" s="25">
        <v>0</v>
      </c>
      <c r="DJ7" s="25">
        <v>0</v>
      </c>
      <c r="DK7" s="25">
        <v>0</v>
      </c>
      <c r="DL7" s="25">
        <v>0</v>
      </c>
      <c r="DM7" s="25">
        <v>0</v>
      </c>
      <c r="DN7" s="25">
        <v>0</v>
      </c>
      <c r="DO7" s="25">
        <v>0</v>
      </c>
      <c r="DP7" s="25">
        <v>0</v>
      </c>
      <c r="DQ7" s="25">
        <v>0</v>
      </c>
      <c r="DR7" s="25">
        <v>0</v>
      </c>
      <c r="DS7" s="25">
        <v>0</v>
      </c>
      <c r="DT7" s="25">
        <v>0</v>
      </c>
      <c r="DU7" s="25">
        <v>0</v>
      </c>
      <c r="DV7" s="25">
        <v>0</v>
      </c>
      <c r="DW7" s="23">
        <v>1</v>
      </c>
      <c r="DX7" s="25">
        <v>4</v>
      </c>
      <c r="DY7" s="41"/>
      <c r="DZ7" s="41">
        <v>100</v>
      </c>
      <c r="EA7" s="41">
        <v>20180301</v>
      </c>
      <c r="EB7" s="41">
        <v>20180301</v>
      </c>
      <c r="EC7" s="41" t="s">
        <v>198</v>
      </c>
      <c r="ED7" s="41" t="s">
        <v>201</v>
      </c>
      <c r="EE7" s="41">
        <v>20180301</v>
      </c>
      <c r="EF7" s="41">
        <v>0</v>
      </c>
      <c r="EG7" s="41">
        <v>0</v>
      </c>
      <c r="EH7" s="41" t="s">
        <v>199</v>
      </c>
      <c r="EI7" s="41">
        <v>0</v>
      </c>
      <c r="EJ7" s="41" t="s">
        <v>140</v>
      </c>
      <c r="EK7" s="41">
        <v>818</v>
      </c>
      <c r="EL7" s="41">
        <v>0</v>
      </c>
      <c r="EM7" s="41">
        <v>12</v>
      </c>
      <c r="EN7" s="41">
        <v>20180201</v>
      </c>
      <c r="EO7" s="41">
        <v>0</v>
      </c>
      <c r="EP7" s="41">
        <v>0</v>
      </c>
      <c r="EQ7" s="41"/>
      <c r="ER7" s="25"/>
      <c r="ES7" s="25">
        <v>0</v>
      </c>
      <c r="ET7" s="25">
        <v>0</v>
      </c>
      <c r="EU7" s="25">
        <v>0</v>
      </c>
      <c r="EV7" s="25">
        <v>0</v>
      </c>
      <c r="EW7" s="25">
        <v>0</v>
      </c>
      <c r="EX7" s="25">
        <v>0</v>
      </c>
      <c r="EY7" s="25">
        <v>0</v>
      </c>
      <c r="EZ7" s="25">
        <v>0</v>
      </c>
      <c r="FA7" s="25">
        <v>0</v>
      </c>
      <c r="FB7" s="25">
        <v>0</v>
      </c>
      <c r="FC7" s="25">
        <v>0</v>
      </c>
      <c r="FD7" s="25">
        <v>0</v>
      </c>
      <c r="FE7" s="25">
        <v>0</v>
      </c>
      <c r="FF7" s="25">
        <v>0</v>
      </c>
      <c r="FG7" s="25">
        <v>0</v>
      </c>
      <c r="FH7" s="25">
        <v>0</v>
      </c>
      <c r="FI7" s="25">
        <v>1</v>
      </c>
      <c r="FJ7" s="25">
        <v>1</v>
      </c>
      <c r="FK7" s="25">
        <v>1</v>
      </c>
      <c r="FL7" s="25">
        <v>60</v>
      </c>
      <c r="FM7" s="25" t="s">
        <v>137</v>
      </c>
      <c r="FN7" s="25">
        <v>19590101</v>
      </c>
      <c r="FP7" s="28">
        <v>4</v>
      </c>
      <c r="FQ7" s="47">
        <v>1</v>
      </c>
      <c r="FR7" s="27">
        <v>1</v>
      </c>
      <c r="FS7" s="27" t="str">
        <f>O7</f>
        <v>MFMM</v>
      </c>
      <c r="FT7" s="27">
        <f>AA7</f>
        <v>818</v>
      </c>
      <c r="FU7" s="27">
        <f>AH7</f>
        <v>60</v>
      </c>
      <c r="FV7" s="27">
        <v>11000</v>
      </c>
      <c r="FW7" s="27">
        <v>55</v>
      </c>
      <c r="FX7" s="41"/>
      <c r="FY7" s="29">
        <v>0</v>
      </c>
      <c r="FZ7" s="29">
        <v>0</v>
      </c>
      <c r="GA7" s="30">
        <v>0</v>
      </c>
      <c r="GB7" s="30">
        <v>0</v>
      </c>
      <c r="GC7" s="29">
        <v>0</v>
      </c>
      <c r="GD7" s="41">
        <v>0</v>
      </c>
      <c r="GE7" s="29">
        <v>0</v>
      </c>
      <c r="GF7" s="29">
        <v>0</v>
      </c>
      <c r="GG7" s="29">
        <v>0</v>
      </c>
      <c r="GH7" s="29">
        <v>0</v>
      </c>
      <c r="GI7" s="29">
        <v>0</v>
      </c>
      <c r="GJ7" s="29">
        <v>0</v>
      </c>
      <c r="GK7" s="29">
        <v>0</v>
      </c>
      <c r="GL7" s="29">
        <v>0</v>
      </c>
      <c r="GM7" s="29">
        <v>0</v>
      </c>
      <c r="GN7" s="29">
        <v>0</v>
      </c>
      <c r="GO7" s="29">
        <v>0</v>
      </c>
      <c r="GP7" s="29">
        <v>0</v>
      </c>
      <c r="GQ7" s="29">
        <v>0</v>
      </c>
      <c r="GR7" s="18">
        <v>1</v>
      </c>
      <c r="GS7" s="31">
        <v>2</v>
      </c>
      <c r="GT7" s="31" t="str">
        <f>BA7</f>
        <v>PURO</v>
      </c>
      <c r="GU7" s="31">
        <v>818</v>
      </c>
      <c r="GV7" s="31">
        <v>59</v>
      </c>
      <c r="GW7" s="31">
        <v>0</v>
      </c>
      <c r="GX7" s="31">
        <v>30.8</v>
      </c>
      <c r="GY7" s="41"/>
      <c r="GZ7" s="32">
        <v>0</v>
      </c>
      <c r="HA7" s="32">
        <v>0</v>
      </c>
      <c r="HB7" s="33">
        <v>0</v>
      </c>
      <c r="HC7" s="33">
        <v>0</v>
      </c>
      <c r="HD7" s="32">
        <v>0</v>
      </c>
      <c r="HE7" s="41">
        <v>0</v>
      </c>
      <c r="HF7" s="32">
        <v>0</v>
      </c>
      <c r="HG7" s="32">
        <v>0</v>
      </c>
      <c r="HH7" s="32">
        <v>0</v>
      </c>
      <c r="HI7" s="32">
        <v>0</v>
      </c>
      <c r="HJ7" s="32">
        <v>0</v>
      </c>
      <c r="HK7" s="32">
        <v>0</v>
      </c>
      <c r="HL7" s="32">
        <v>0</v>
      </c>
      <c r="HM7" s="32">
        <v>0</v>
      </c>
      <c r="HN7" s="32">
        <v>0</v>
      </c>
      <c r="HO7" s="32">
        <v>0</v>
      </c>
      <c r="HP7" s="32">
        <v>0</v>
      </c>
      <c r="HQ7" s="32">
        <v>0</v>
      </c>
      <c r="HR7" s="32">
        <v>0</v>
      </c>
      <c r="HS7" s="24">
        <v>1</v>
      </c>
      <c r="HT7" s="34">
        <v>3</v>
      </c>
      <c r="HU7" s="34" t="str">
        <f>CM7</f>
        <v>PUDS</v>
      </c>
      <c r="HV7" s="34">
        <v>818</v>
      </c>
      <c r="HW7" s="34">
        <v>59</v>
      </c>
      <c r="HX7" s="34">
        <v>0</v>
      </c>
      <c r="HY7" s="34">
        <v>8.8000000000000007</v>
      </c>
      <c r="HZ7" s="42"/>
      <c r="IA7" s="35">
        <v>0</v>
      </c>
      <c r="IB7" s="35">
        <v>0</v>
      </c>
      <c r="IC7" s="36">
        <v>0</v>
      </c>
      <c r="ID7" s="36">
        <v>0</v>
      </c>
      <c r="IE7" s="35">
        <v>0</v>
      </c>
      <c r="IF7" s="37">
        <v>0</v>
      </c>
      <c r="IG7" s="35">
        <v>0</v>
      </c>
      <c r="IH7" s="35">
        <v>0</v>
      </c>
      <c r="II7" s="35">
        <v>0</v>
      </c>
      <c r="IJ7" s="35">
        <v>0</v>
      </c>
      <c r="IK7" s="35">
        <v>0</v>
      </c>
      <c r="IL7" s="35">
        <v>0</v>
      </c>
      <c r="IM7" s="35">
        <v>0</v>
      </c>
      <c r="IN7" s="35">
        <v>0</v>
      </c>
      <c r="IO7" s="35">
        <v>0</v>
      </c>
      <c r="IP7" s="35">
        <v>0</v>
      </c>
      <c r="IQ7" s="35">
        <v>0</v>
      </c>
      <c r="IR7" s="35">
        <v>0</v>
      </c>
      <c r="IS7" s="35">
        <v>0</v>
      </c>
      <c r="IT7" s="17">
        <v>1</v>
      </c>
      <c r="IU7" s="38">
        <v>4</v>
      </c>
      <c r="IV7" s="38">
        <f>DY7</f>
        <v>0</v>
      </c>
      <c r="IW7" s="38">
        <v>818</v>
      </c>
      <c r="IX7" s="38">
        <v>59</v>
      </c>
      <c r="IY7" s="38">
        <v>0</v>
      </c>
      <c r="IZ7" s="38"/>
      <c r="JA7" s="42"/>
      <c r="JB7" s="41">
        <v>0</v>
      </c>
      <c r="JC7" s="41">
        <v>0</v>
      </c>
      <c r="JD7" s="42">
        <v>0</v>
      </c>
      <c r="JE7" s="42">
        <v>0</v>
      </c>
      <c r="JF7" s="41">
        <v>0</v>
      </c>
      <c r="JG7" s="41">
        <v>0</v>
      </c>
      <c r="JH7" s="41">
        <v>0</v>
      </c>
      <c r="JI7" s="41">
        <v>0</v>
      </c>
      <c r="JJ7" s="41">
        <v>0</v>
      </c>
      <c r="JK7" s="41">
        <v>0</v>
      </c>
      <c r="JL7" s="41">
        <v>0</v>
      </c>
      <c r="JM7" s="41">
        <v>0</v>
      </c>
      <c r="JN7" s="41">
        <v>0</v>
      </c>
      <c r="JO7" s="41">
        <v>0</v>
      </c>
      <c r="JP7" s="41">
        <v>0</v>
      </c>
      <c r="JQ7" s="41">
        <v>0</v>
      </c>
      <c r="JR7" s="41">
        <v>0</v>
      </c>
      <c r="JS7" s="41">
        <v>0</v>
      </c>
      <c r="JT7" s="41">
        <v>0</v>
      </c>
    </row>
    <row r="8" spans="1:281" ht="15.75">
      <c r="A8" s="25">
        <v>2</v>
      </c>
      <c r="B8" s="25">
        <v>20190301</v>
      </c>
      <c r="C8" s="25"/>
      <c r="D8" s="25" t="s">
        <v>132</v>
      </c>
      <c r="E8" s="25" t="s">
        <v>132</v>
      </c>
      <c r="F8" s="25" t="s">
        <v>133</v>
      </c>
      <c r="G8" s="25"/>
      <c r="H8" s="25">
        <v>100000002</v>
      </c>
      <c r="I8" s="25" t="s">
        <v>134</v>
      </c>
      <c r="J8" s="25" t="s">
        <v>135</v>
      </c>
      <c r="K8" s="25" t="s">
        <v>132</v>
      </c>
      <c r="L8" s="25">
        <v>4</v>
      </c>
      <c r="M8" s="25">
        <v>1</v>
      </c>
      <c r="N8" s="25">
        <v>1</v>
      </c>
      <c r="O8" s="45" t="s">
        <v>136</v>
      </c>
      <c r="P8" s="25">
        <v>100</v>
      </c>
      <c r="Q8" s="25">
        <v>20180301</v>
      </c>
      <c r="R8" s="25">
        <v>20180301</v>
      </c>
      <c r="S8" s="25" t="s">
        <v>137</v>
      </c>
      <c r="T8" s="25" t="s">
        <v>142</v>
      </c>
      <c r="U8" s="25">
        <v>20180301</v>
      </c>
      <c r="V8" s="25">
        <v>10</v>
      </c>
      <c r="W8" s="25">
        <v>10</v>
      </c>
      <c r="X8" s="25" t="s">
        <v>139</v>
      </c>
      <c r="Y8" s="25">
        <v>0</v>
      </c>
      <c r="Z8" s="25" t="s">
        <v>140</v>
      </c>
      <c r="AA8" s="25">
        <v>818</v>
      </c>
      <c r="AB8" s="26">
        <v>0</v>
      </c>
      <c r="AC8" s="26">
        <v>12</v>
      </c>
      <c r="AD8" s="26">
        <v>20180201</v>
      </c>
      <c r="AE8" s="26">
        <v>0</v>
      </c>
      <c r="AF8" s="25">
        <v>15000</v>
      </c>
      <c r="AG8" s="41">
        <v>64</v>
      </c>
      <c r="AH8" s="25">
        <v>59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46">
        <v>1</v>
      </c>
      <c r="AZ8" s="25">
        <v>2</v>
      </c>
      <c r="BA8" s="41" t="s">
        <v>203</v>
      </c>
      <c r="BB8" s="41">
        <v>100</v>
      </c>
      <c r="BC8" s="41">
        <v>20180301</v>
      </c>
      <c r="BD8" s="41">
        <v>20180301</v>
      </c>
      <c r="BE8" s="41" t="s">
        <v>198</v>
      </c>
      <c r="BF8" s="41" t="s">
        <v>149</v>
      </c>
      <c r="BG8" s="41">
        <v>20180301</v>
      </c>
      <c r="BH8" s="41">
        <v>0</v>
      </c>
      <c r="BI8" s="41">
        <v>0</v>
      </c>
      <c r="BJ8" s="41" t="s">
        <v>199</v>
      </c>
      <c r="BK8" s="41">
        <v>0</v>
      </c>
      <c r="BL8" s="41" t="s">
        <v>140</v>
      </c>
      <c r="BM8" s="41">
        <v>818</v>
      </c>
      <c r="BN8" s="41">
        <v>0</v>
      </c>
      <c r="BO8" s="41">
        <v>12</v>
      </c>
      <c r="BP8" s="41">
        <v>20180201</v>
      </c>
      <c r="BQ8" s="41">
        <v>0</v>
      </c>
      <c r="BR8" s="41">
        <v>0</v>
      </c>
      <c r="BS8" s="41">
        <v>34</v>
      </c>
      <c r="BT8" s="25">
        <v>59</v>
      </c>
      <c r="BU8" s="25">
        <v>0</v>
      </c>
      <c r="BV8" s="25">
        <v>0</v>
      </c>
      <c r="BW8" s="25">
        <v>0</v>
      </c>
      <c r="BX8" s="25">
        <v>0</v>
      </c>
      <c r="BY8" s="25">
        <v>0</v>
      </c>
      <c r="BZ8" s="25">
        <v>0</v>
      </c>
      <c r="CA8" s="25">
        <v>0</v>
      </c>
      <c r="CB8" s="25">
        <v>0</v>
      </c>
      <c r="CC8" s="25">
        <v>0</v>
      </c>
      <c r="CD8" s="25">
        <v>0</v>
      </c>
      <c r="CE8" s="25">
        <v>0</v>
      </c>
      <c r="CF8" s="25">
        <v>0</v>
      </c>
      <c r="CG8" s="25">
        <v>0</v>
      </c>
      <c r="CH8" s="25">
        <v>0</v>
      </c>
      <c r="CI8" s="25">
        <v>0</v>
      </c>
      <c r="CJ8" s="25">
        <v>0</v>
      </c>
      <c r="CK8" s="22">
        <v>1</v>
      </c>
      <c r="CL8" s="25">
        <v>3</v>
      </c>
      <c r="CM8" s="41" t="s">
        <v>151</v>
      </c>
      <c r="CN8" s="41">
        <v>100</v>
      </c>
      <c r="CO8" s="41">
        <v>20180301</v>
      </c>
      <c r="CP8" s="41">
        <v>20180301</v>
      </c>
      <c r="CQ8" s="41" t="s">
        <v>198</v>
      </c>
      <c r="CR8" s="41" t="s">
        <v>200</v>
      </c>
      <c r="CS8" s="41">
        <v>20180301</v>
      </c>
      <c r="CT8" s="41">
        <v>0</v>
      </c>
      <c r="CU8" s="41">
        <v>0</v>
      </c>
      <c r="CV8" s="41" t="s">
        <v>199</v>
      </c>
      <c r="CW8" s="41">
        <v>0</v>
      </c>
      <c r="CX8" s="41" t="s">
        <v>140</v>
      </c>
      <c r="CY8" s="41">
        <v>818</v>
      </c>
      <c r="CZ8" s="41">
        <v>0</v>
      </c>
      <c r="DA8" s="41">
        <v>12</v>
      </c>
      <c r="DB8" s="41">
        <v>20180201</v>
      </c>
      <c r="DC8" s="41">
        <v>0</v>
      </c>
      <c r="DD8" s="41">
        <v>0</v>
      </c>
      <c r="DE8" s="41">
        <v>10</v>
      </c>
      <c r="DF8" s="25">
        <v>59</v>
      </c>
      <c r="DG8" s="25">
        <v>0</v>
      </c>
      <c r="DH8" s="25">
        <v>0</v>
      </c>
      <c r="DI8" s="25">
        <v>0</v>
      </c>
      <c r="DJ8" s="25">
        <v>0</v>
      </c>
      <c r="DK8" s="25">
        <v>0</v>
      </c>
      <c r="DL8" s="25">
        <v>0</v>
      </c>
      <c r="DM8" s="25">
        <v>0</v>
      </c>
      <c r="DN8" s="25">
        <v>0</v>
      </c>
      <c r="DO8" s="25">
        <v>0</v>
      </c>
      <c r="DP8" s="25">
        <v>0</v>
      </c>
      <c r="DQ8" s="25">
        <v>0</v>
      </c>
      <c r="DR8" s="25">
        <v>0</v>
      </c>
      <c r="DS8" s="25">
        <v>0</v>
      </c>
      <c r="DT8" s="25">
        <v>0</v>
      </c>
      <c r="DU8" s="25">
        <v>0</v>
      </c>
      <c r="DV8" s="25">
        <v>0</v>
      </c>
      <c r="DW8" s="23">
        <v>1</v>
      </c>
      <c r="DX8" s="25">
        <v>4</v>
      </c>
      <c r="DY8" s="41"/>
      <c r="DZ8" s="41">
        <v>100</v>
      </c>
      <c r="EA8" s="41">
        <v>20180301</v>
      </c>
      <c r="EB8" s="41">
        <v>20180301</v>
      </c>
      <c r="EC8" s="41" t="s">
        <v>198</v>
      </c>
      <c r="ED8" s="41" t="s">
        <v>201</v>
      </c>
      <c r="EE8" s="41">
        <v>20180301</v>
      </c>
      <c r="EF8" s="41">
        <v>0</v>
      </c>
      <c r="EG8" s="41">
        <v>0</v>
      </c>
      <c r="EH8" s="41" t="s">
        <v>199</v>
      </c>
      <c r="EI8" s="41">
        <v>0</v>
      </c>
      <c r="EJ8" s="41" t="s">
        <v>140</v>
      </c>
      <c r="EK8" s="41">
        <v>818</v>
      </c>
      <c r="EL8" s="41">
        <v>0</v>
      </c>
      <c r="EM8" s="41">
        <v>12</v>
      </c>
      <c r="EN8" s="41">
        <v>20180201</v>
      </c>
      <c r="EO8" s="41">
        <v>0</v>
      </c>
      <c r="EP8" s="41">
        <v>0</v>
      </c>
      <c r="EQ8" s="41"/>
      <c r="ER8" s="25"/>
      <c r="ES8" s="25">
        <v>0</v>
      </c>
      <c r="ET8" s="25">
        <v>0</v>
      </c>
      <c r="EU8" s="25">
        <v>0</v>
      </c>
      <c r="EV8" s="25">
        <v>0</v>
      </c>
      <c r="EW8" s="25">
        <v>0</v>
      </c>
      <c r="EX8" s="25">
        <v>0</v>
      </c>
      <c r="EY8" s="25">
        <v>0</v>
      </c>
      <c r="EZ8" s="25">
        <v>0</v>
      </c>
      <c r="FA8" s="25">
        <v>0</v>
      </c>
      <c r="FB8" s="25">
        <v>0</v>
      </c>
      <c r="FC8" s="25">
        <v>0</v>
      </c>
      <c r="FD8" s="25">
        <v>0</v>
      </c>
      <c r="FE8" s="25">
        <v>0</v>
      </c>
      <c r="FF8" s="25">
        <v>0</v>
      </c>
      <c r="FG8" s="25">
        <v>0</v>
      </c>
      <c r="FH8" s="25">
        <v>0</v>
      </c>
      <c r="FI8" s="25">
        <v>1</v>
      </c>
      <c r="FJ8" s="25">
        <v>1</v>
      </c>
      <c r="FK8" s="25">
        <v>1</v>
      </c>
      <c r="FL8" s="25">
        <v>59</v>
      </c>
      <c r="FM8" s="25" t="s">
        <v>137</v>
      </c>
      <c r="FN8" s="25">
        <v>19600101</v>
      </c>
      <c r="FP8" s="28">
        <v>4</v>
      </c>
      <c r="FQ8" s="47">
        <v>1</v>
      </c>
      <c r="FR8" s="27">
        <v>1</v>
      </c>
      <c r="FS8" s="41" t="str">
        <f t="shared" ref="FS8:FS71" si="0">O8</f>
        <v>MFMM</v>
      </c>
      <c r="FT8" s="41">
        <f t="shared" ref="FT8:FT71" si="1">AA8</f>
        <v>818</v>
      </c>
      <c r="FU8" s="41">
        <f t="shared" ref="FU8:FU71" si="2">AH8</f>
        <v>59</v>
      </c>
      <c r="FV8" s="41">
        <v>16500</v>
      </c>
      <c r="FW8" s="27">
        <v>70.400000000000006</v>
      </c>
      <c r="FX8" s="41"/>
      <c r="FY8" s="29">
        <v>0</v>
      </c>
      <c r="FZ8" s="29">
        <v>0</v>
      </c>
      <c r="GA8" s="30">
        <v>0</v>
      </c>
      <c r="GB8" s="30">
        <v>0</v>
      </c>
      <c r="GC8" s="29">
        <v>0</v>
      </c>
      <c r="GD8" s="41">
        <v>0</v>
      </c>
      <c r="GE8" s="29">
        <v>0</v>
      </c>
      <c r="GF8" s="29">
        <v>0</v>
      </c>
      <c r="GG8" s="29">
        <v>0</v>
      </c>
      <c r="GH8" s="29">
        <v>0</v>
      </c>
      <c r="GI8" s="29">
        <v>0</v>
      </c>
      <c r="GJ8" s="29">
        <v>0</v>
      </c>
      <c r="GK8" s="29">
        <v>0</v>
      </c>
      <c r="GL8" s="29">
        <v>0</v>
      </c>
      <c r="GM8" s="29">
        <v>0</v>
      </c>
      <c r="GN8" s="29">
        <v>0</v>
      </c>
      <c r="GO8" s="29">
        <v>0</v>
      </c>
      <c r="GP8" s="29">
        <v>0</v>
      </c>
      <c r="GQ8" s="29">
        <v>0</v>
      </c>
      <c r="GR8" s="18">
        <v>1</v>
      </c>
      <c r="GS8" s="31">
        <v>2</v>
      </c>
      <c r="GT8" s="41" t="str">
        <f t="shared" ref="GT8:GT71" si="3">BA8</f>
        <v>PURO</v>
      </c>
      <c r="GU8" s="31">
        <v>818</v>
      </c>
      <c r="GV8" s="31">
        <v>59</v>
      </c>
      <c r="GW8" s="31">
        <v>0</v>
      </c>
      <c r="GX8" s="31">
        <v>37.4</v>
      </c>
      <c r="GY8" s="41"/>
      <c r="GZ8" s="32">
        <v>0</v>
      </c>
      <c r="HA8" s="32">
        <v>0</v>
      </c>
      <c r="HB8" s="33">
        <v>0</v>
      </c>
      <c r="HC8" s="33">
        <v>0</v>
      </c>
      <c r="HD8" s="32">
        <v>0</v>
      </c>
      <c r="HE8" s="41">
        <v>0</v>
      </c>
      <c r="HF8" s="32">
        <v>0</v>
      </c>
      <c r="HG8" s="32">
        <v>0</v>
      </c>
      <c r="HH8" s="32">
        <v>0</v>
      </c>
      <c r="HI8" s="32">
        <v>0</v>
      </c>
      <c r="HJ8" s="32">
        <v>0</v>
      </c>
      <c r="HK8" s="32">
        <v>0</v>
      </c>
      <c r="HL8" s="32">
        <v>0</v>
      </c>
      <c r="HM8" s="32">
        <v>0</v>
      </c>
      <c r="HN8" s="32">
        <v>0</v>
      </c>
      <c r="HO8" s="32">
        <v>0</v>
      </c>
      <c r="HP8" s="32">
        <v>0</v>
      </c>
      <c r="HQ8" s="32">
        <v>0</v>
      </c>
      <c r="HR8" s="32">
        <v>0</v>
      </c>
      <c r="HS8" s="24">
        <v>1</v>
      </c>
      <c r="HT8" s="34">
        <v>3</v>
      </c>
      <c r="HU8" s="41" t="str">
        <f t="shared" ref="HU8:HU71" si="4">CM8</f>
        <v>PUDS</v>
      </c>
      <c r="HV8" s="34">
        <v>818</v>
      </c>
      <c r="HW8" s="34">
        <v>59</v>
      </c>
      <c r="HX8" s="34">
        <v>0</v>
      </c>
      <c r="HY8" s="34">
        <v>11</v>
      </c>
      <c r="HZ8" s="42"/>
      <c r="IA8" s="35">
        <v>0</v>
      </c>
      <c r="IB8" s="35">
        <v>0</v>
      </c>
      <c r="IC8" s="36">
        <v>0</v>
      </c>
      <c r="ID8" s="36">
        <v>0</v>
      </c>
      <c r="IE8" s="35">
        <v>0</v>
      </c>
      <c r="IF8" s="37">
        <v>0</v>
      </c>
      <c r="IG8" s="35">
        <v>0</v>
      </c>
      <c r="IH8" s="35">
        <v>0</v>
      </c>
      <c r="II8" s="35">
        <v>0</v>
      </c>
      <c r="IJ8" s="35">
        <v>0</v>
      </c>
      <c r="IK8" s="35">
        <v>0</v>
      </c>
      <c r="IL8" s="35">
        <v>0</v>
      </c>
      <c r="IM8" s="35">
        <v>0</v>
      </c>
      <c r="IN8" s="35">
        <v>0</v>
      </c>
      <c r="IO8" s="35">
        <v>0</v>
      </c>
      <c r="IP8" s="35">
        <v>0</v>
      </c>
      <c r="IQ8" s="35">
        <v>0</v>
      </c>
      <c r="IR8" s="35">
        <v>0</v>
      </c>
      <c r="IS8" s="35">
        <v>0</v>
      </c>
      <c r="IT8" s="17">
        <v>1</v>
      </c>
      <c r="IU8" s="38">
        <v>4</v>
      </c>
      <c r="IV8" s="41">
        <f t="shared" ref="IV8:IV71" si="5">DY8</f>
        <v>0</v>
      </c>
      <c r="IW8" s="38">
        <v>818</v>
      </c>
      <c r="IX8" s="38">
        <v>59</v>
      </c>
      <c r="IY8" s="38">
        <v>0</v>
      </c>
      <c r="IZ8" s="38"/>
      <c r="JA8" s="42"/>
      <c r="JB8" s="41">
        <v>0</v>
      </c>
      <c r="JC8" s="41">
        <v>0</v>
      </c>
      <c r="JD8" s="42">
        <v>0</v>
      </c>
      <c r="JE8" s="42">
        <v>0</v>
      </c>
      <c r="JF8" s="41">
        <v>0</v>
      </c>
      <c r="JG8" s="41">
        <v>0</v>
      </c>
      <c r="JH8" s="41">
        <v>0</v>
      </c>
      <c r="JI8" s="41">
        <v>0</v>
      </c>
      <c r="JJ8" s="41">
        <v>0</v>
      </c>
      <c r="JK8" s="41">
        <v>0</v>
      </c>
      <c r="JL8" s="41">
        <v>0</v>
      </c>
      <c r="JM8" s="41">
        <v>0</v>
      </c>
      <c r="JN8" s="41">
        <v>0</v>
      </c>
      <c r="JO8" s="41">
        <v>0</v>
      </c>
      <c r="JP8" s="41">
        <v>0</v>
      </c>
      <c r="JQ8" s="41">
        <v>0</v>
      </c>
      <c r="JR8" s="41">
        <v>0</v>
      </c>
      <c r="JS8" s="41">
        <v>0</v>
      </c>
      <c r="JT8" s="41">
        <v>0</v>
      </c>
    </row>
    <row r="9" spans="1:281" ht="15.75">
      <c r="A9" s="25">
        <v>3</v>
      </c>
      <c r="B9" s="25">
        <v>20190301</v>
      </c>
      <c r="C9" s="25"/>
      <c r="D9" s="25" t="s">
        <v>132</v>
      </c>
      <c r="E9" s="25" t="s">
        <v>132</v>
      </c>
      <c r="F9" s="25" t="s">
        <v>133</v>
      </c>
      <c r="G9" s="25"/>
      <c r="H9" s="25">
        <v>100000003</v>
      </c>
      <c r="I9" s="25" t="s">
        <v>134</v>
      </c>
      <c r="J9" s="25" t="s">
        <v>135</v>
      </c>
      <c r="K9" s="25" t="s">
        <v>132</v>
      </c>
      <c r="L9" s="25">
        <v>4</v>
      </c>
      <c r="M9" s="25">
        <v>1</v>
      </c>
      <c r="N9" s="25">
        <v>1</v>
      </c>
      <c r="O9" s="45" t="s">
        <v>136</v>
      </c>
      <c r="P9" s="25">
        <v>100</v>
      </c>
      <c r="Q9" s="25">
        <v>20180301</v>
      </c>
      <c r="R9" s="25">
        <v>20180301</v>
      </c>
      <c r="S9" s="25" t="s">
        <v>137</v>
      </c>
      <c r="T9" s="25" t="s">
        <v>138</v>
      </c>
      <c r="U9" s="25">
        <v>20190301</v>
      </c>
      <c r="V9" s="25">
        <v>10</v>
      </c>
      <c r="W9" s="25">
        <v>10</v>
      </c>
      <c r="X9" s="25" t="s">
        <v>139</v>
      </c>
      <c r="Y9" s="25">
        <v>0</v>
      </c>
      <c r="Z9" s="25" t="s">
        <v>140</v>
      </c>
      <c r="AA9" s="25">
        <v>818</v>
      </c>
      <c r="AB9" s="26">
        <v>0</v>
      </c>
      <c r="AC9" s="26">
        <v>12</v>
      </c>
      <c r="AD9" s="26">
        <v>20180201</v>
      </c>
      <c r="AE9" s="26">
        <v>0</v>
      </c>
      <c r="AF9" s="26">
        <v>20000</v>
      </c>
      <c r="AG9" s="41">
        <v>78</v>
      </c>
      <c r="AH9" s="26">
        <v>60</v>
      </c>
      <c r="AI9" s="26">
        <v>0</v>
      </c>
      <c r="AJ9" s="26">
        <v>0</v>
      </c>
      <c r="AK9" s="26">
        <v>0</v>
      </c>
      <c r="AL9" s="26">
        <v>0</v>
      </c>
      <c r="AM9" s="26">
        <v>0</v>
      </c>
      <c r="AN9" s="26">
        <v>0</v>
      </c>
      <c r="AO9" s="26">
        <v>0</v>
      </c>
      <c r="AP9" s="26">
        <v>0</v>
      </c>
      <c r="AQ9" s="26">
        <v>0</v>
      </c>
      <c r="AR9" s="26">
        <v>0</v>
      </c>
      <c r="AS9" s="26">
        <v>0</v>
      </c>
      <c r="AT9" s="26">
        <v>0</v>
      </c>
      <c r="AU9" s="26">
        <v>0</v>
      </c>
      <c r="AV9" s="26">
        <v>0</v>
      </c>
      <c r="AW9" s="26">
        <v>0</v>
      </c>
      <c r="AX9" s="26">
        <v>0</v>
      </c>
      <c r="AY9" s="46">
        <v>1</v>
      </c>
      <c r="AZ9" s="25">
        <v>2</v>
      </c>
      <c r="BA9" s="41" t="s">
        <v>203</v>
      </c>
      <c r="BB9" s="41">
        <v>100</v>
      </c>
      <c r="BC9" s="41">
        <v>20180301</v>
      </c>
      <c r="BD9" s="41">
        <v>20180301</v>
      </c>
      <c r="BE9" s="41" t="s">
        <v>198</v>
      </c>
      <c r="BF9" s="41" t="s">
        <v>149</v>
      </c>
      <c r="BG9" s="41">
        <v>20180301</v>
      </c>
      <c r="BH9" s="41">
        <v>0</v>
      </c>
      <c r="BI9" s="41">
        <v>0</v>
      </c>
      <c r="BJ9" s="41"/>
      <c r="BK9" s="41">
        <v>0</v>
      </c>
      <c r="BL9" s="41" t="s">
        <v>140</v>
      </c>
      <c r="BM9" s="41">
        <v>818</v>
      </c>
      <c r="BN9" s="41">
        <v>0</v>
      </c>
      <c r="BO9" s="41">
        <v>12</v>
      </c>
      <c r="BP9" s="41">
        <v>20180201</v>
      </c>
      <c r="BQ9" s="41">
        <v>0</v>
      </c>
      <c r="BR9" s="41">
        <v>0</v>
      </c>
      <c r="BS9" s="41">
        <v>41</v>
      </c>
      <c r="BT9" s="25">
        <v>60</v>
      </c>
      <c r="BU9" s="25">
        <v>0</v>
      </c>
      <c r="BV9" s="25">
        <v>0</v>
      </c>
      <c r="BW9" s="25">
        <v>0</v>
      </c>
      <c r="BX9" s="25">
        <v>0</v>
      </c>
      <c r="BY9" s="25">
        <v>0</v>
      </c>
      <c r="BZ9" s="25">
        <v>0</v>
      </c>
      <c r="CA9" s="25">
        <v>0</v>
      </c>
      <c r="CB9" s="25">
        <v>0</v>
      </c>
      <c r="CC9" s="25">
        <v>0</v>
      </c>
      <c r="CD9" s="25">
        <v>0</v>
      </c>
      <c r="CE9" s="25">
        <v>0</v>
      </c>
      <c r="CF9" s="25">
        <v>0</v>
      </c>
      <c r="CG9" s="25">
        <v>0</v>
      </c>
      <c r="CH9" s="25">
        <v>0</v>
      </c>
      <c r="CI9" s="25">
        <v>0</v>
      </c>
      <c r="CJ9" s="25">
        <v>0</v>
      </c>
      <c r="CK9" s="22">
        <v>1</v>
      </c>
      <c r="CL9" s="25">
        <v>3</v>
      </c>
      <c r="CM9" s="41" t="s">
        <v>151</v>
      </c>
      <c r="CN9" s="41">
        <v>100</v>
      </c>
      <c r="CO9" s="41">
        <v>20180301</v>
      </c>
      <c r="CP9" s="41">
        <v>20180301</v>
      </c>
      <c r="CQ9" s="41" t="s">
        <v>198</v>
      </c>
      <c r="CR9" s="41" t="s">
        <v>200</v>
      </c>
      <c r="CS9" s="41">
        <v>20180301</v>
      </c>
      <c r="CT9" s="41">
        <v>0</v>
      </c>
      <c r="CU9" s="41">
        <v>0</v>
      </c>
      <c r="CV9" s="41"/>
      <c r="CW9" s="41">
        <v>0</v>
      </c>
      <c r="CX9" s="41" t="s">
        <v>140</v>
      </c>
      <c r="CY9" s="41">
        <v>818</v>
      </c>
      <c r="CZ9" s="41">
        <v>0</v>
      </c>
      <c r="DA9" s="41">
        <v>12</v>
      </c>
      <c r="DB9" s="41">
        <v>20180201</v>
      </c>
      <c r="DC9" s="41">
        <v>0</v>
      </c>
      <c r="DD9" s="41">
        <v>0</v>
      </c>
      <c r="DE9" s="41">
        <v>12</v>
      </c>
      <c r="DF9" s="25">
        <v>60</v>
      </c>
      <c r="DG9" s="25">
        <v>0</v>
      </c>
      <c r="DH9" s="25">
        <v>0</v>
      </c>
      <c r="DI9" s="25">
        <v>0</v>
      </c>
      <c r="DJ9" s="25">
        <v>0</v>
      </c>
      <c r="DK9" s="25">
        <v>0</v>
      </c>
      <c r="DL9" s="25">
        <v>0</v>
      </c>
      <c r="DM9" s="25">
        <v>0</v>
      </c>
      <c r="DN9" s="25">
        <v>0</v>
      </c>
      <c r="DO9" s="25">
        <v>0</v>
      </c>
      <c r="DP9" s="25">
        <v>0</v>
      </c>
      <c r="DQ9" s="25">
        <v>0</v>
      </c>
      <c r="DR9" s="25">
        <v>0</v>
      </c>
      <c r="DS9" s="25">
        <v>0</v>
      </c>
      <c r="DT9" s="25">
        <v>0</v>
      </c>
      <c r="DU9" s="25">
        <v>0</v>
      </c>
      <c r="DV9" s="25">
        <v>0</v>
      </c>
      <c r="DW9" s="23">
        <v>1</v>
      </c>
      <c r="DX9" s="25">
        <v>4</v>
      </c>
      <c r="DY9" s="41"/>
      <c r="DZ9" s="41">
        <v>100</v>
      </c>
      <c r="EA9" s="41">
        <v>20180301</v>
      </c>
      <c r="EB9" s="41">
        <v>20180301</v>
      </c>
      <c r="EC9" s="41" t="s">
        <v>198</v>
      </c>
      <c r="ED9" s="41" t="s">
        <v>201</v>
      </c>
      <c r="EE9" s="41">
        <v>20180301</v>
      </c>
      <c r="EF9" s="41">
        <v>0</v>
      </c>
      <c r="EG9" s="41">
        <v>0</v>
      </c>
      <c r="EH9" s="41"/>
      <c r="EI9" s="41">
        <v>0</v>
      </c>
      <c r="EJ9" s="41" t="s">
        <v>140</v>
      </c>
      <c r="EK9" s="41">
        <v>818</v>
      </c>
      <c r="EL9" s="41">
        <v>0</v>
      </c>
      <c r="EM9" s="41">
        <v>12</v>
      </c>
      <c r="EN9" s="41">
        <v>20180201</v>
      </c>
      <c r="EO9" s="41">
        <v>0</v>
      </c>
      <c r="EP9" s="41">
        <v>0</v>
      </c>
      <c r="EQ9" s="41"/>
      <c r="ER9" s="25"/>
      <c r="ES9" s="25">
        <v>0</v>
      </c>
      <c r="ET9" s="25">
        <v>0</v>
      </c>
      <c r="EU9" s="25">
        <v>0</v>
      </c>
      <c r="EV9" s="25">
        <v>0</v>
      </c>
      <c r="EW9" s="25">
        <v>0</v>
      </c>
      <c r="EX9" s="25">
        <v>0</v>
      </c>
      <c r="EY9" s="25">
        <v>0</v>
      </c>
      <c r="EZ9" s="25">
        <v>0</v>
      </c>
      <c r="FA9" s="25">
        <v>0</v>
      </c>
      <c r="FB9" s="25">
        <v>0</v>
      </c>
      <c r="FC9" s="25">
        <v>0</v>
      </c>
      <c r="FD9" s="25">
        <v>0</v>
      </c>
      <c r="FE9" s="25">
        <v>0</v>
      </c>
      <c r="FF9" s="25">
        <v>0</v>
      </c>
      <c r="FG9" s="25">
        <v>0</v>
      </c>
      <c r="FH9" s="25">
        <v>0</v>
      </c>
      <c r="FI9" s="25">
        <v>1</v>
      </c>
      <c r="FJ9" s="25">
        <v>1</v>
      </c>
      <c r="FK9" s="25">
        <v>1</v>
      </c>
      <c r="FL9" s="25">
        <v>60</v>
      </c>
      <c r="FM9" s="25" t="s">
        <v>137</v>
      </c>
      <c r="FN9" s="25">
        <v>19580101</v>
      </c>
      <c r="FP9" s="28">
        <v>4</v>
      </c>
      <c r="FQ9" s="47">
        <v>1</v>
      </c>
      <c r="FR9" s="27">
        <v>1</v>
      </c>
      <c r="FS9" s="41" t="str">
        <f t="shared" si="0"/>
        <v>MFMM</v>
      </c>
      <c r="FT9" s="41">
        <f t="shared" si="1"/>
        <v>818</v>
      </c>
      <c r="FU9" s="41">
        <f t="shared" si="2"/>
        <v>60</v>
      </c>
      <c r="FV9" s="41">
        <v>22000</v>
      </c>
      <c r="FW9" s="27">
        <v>85.8</v>
      </c>
      <c r="FX9" s="41"/>
      <c r="FY9" s="29">
        <v>0</v>
      </c>
      <c r="FZ9" s="29">
        <v>0</v>
      </c>
      <c r="GA9" s="30">
        <v>0</v>
      </c>
      <c r="GB9" s="30">
        <v>0</v>
      </c>
      <c r="GC9" s="29">
        <v>0</v>
      </c>
      <c r="GD9" s="41">
        <v>0</v>
      </c>
      <c r="GE9" s="29">
        <v>0</v>
      </c>
      <c r="GF9" s="29">
        <v>0</v>
      </c>
      <c r="GG9" s="29">
        <v>0</v>
      </c>
      <c r="GH9" s="29">
        <v>0</v>
      </c>
      <c r="GI9" s="29">
        <v>0</v>
      </c>
      <c r="GJ9" s="29">
        <v>0</v>
      </c>
      <c r="GK9" s="29">
        <v>0</v>
      </c>
      <c r="GL9" s="29">
        <v>0</v>
      </c>
      <c r="GM9" s="29">
        <v>0</v>
      </c>
      <c r="GN9" s="29">
        <v>0</v>
      </c>
      <c r="GO9" s="29">
        <v>0</v>
      </c>
      <c r="GP9" s="29">
        <v>0</v>
      </c>
      <c r="GQ9" s="29">
        <v>0</v>
      </c>
      <c r="GR9" s="18">
        <v>1</v>
      </c>
      <c r="GS9" s="31">
        <v>2</v>
      </c>
      <c r="GT9" s="41" t="str">
        <f t="shared" si="3"/>
        <v>PURO</v>
      </c>
      <c r="GU9" s="31">
        <v>818</v>
      </c>
      <c r="GV9" s="31">
        <v>37</v>
      </c>
      <c r="GW9" s="31">
        <v>0</v>
      </c>
      <c r="GX9" s="31">
        <v>45.1</v>
      </c>
      <c r="GY9" s="41"/>
      <c r="GZ9" s="32">
        <v>0</v>
      </c>
      <c r="HA9" s="32">
        <v>0</v>
      </c>
      <c r="HB9" s="33">
        <v>0</v>
      </c>
      <c r="HC9" s="33">
        <v>0</v>
      </c>
      <c r="HD9" s="32">
        <v>0</v>
      </c>
      <c r="HE9" s="41">
        <v>0</v>
      </c>
      <c r="HF9" s="32">
        <v>0</v>
      </c>
      <c r="HG9" s="32">
        <v>0</v>
      </c>
      <c r="HH9" s="32">
        <v>0</v>
      </c>
      <c r="HI9" s="32">
        <v>0</v>
      </c>
      <c r="HJ9" s="32">
        <v>0</v>
      </c>
      <c r="HK9" s="32">
        <v>0</v>
      </c>
      <c r="HL9" s="32">
        <v>0</v>
      </c>
      <c r="HM9" s="32">
        <v>0</v>
      </c>
      <c r="HN9" s="32">
        <v>0</v>
      </c>
      <c r="HO9" s="32">
        <v>0</v>
      </c>
      <c r="HP9" s="32">
        <v>0</v>
      </c>
      <c r="HQ9" s="32">
        <v>0</v>
      </c>
      <c r="HR9" s="32">
        <v>0</v>
      </c>
      <c r="HS9" s="24">
        <v>1</v>
      </c>
      <c r="HT9" s="34">
        <v>3</v>
      </c>
      <c r="HU9" s="41" t="str">
        <f t="shared" si="4"/>
        <v>PUDS</v>
      </c>
      <c r="HV9" s="34">
        <v>818</v>
      </c>
      <c r="HW9" s="34">
        <v>37</v>
      </c>
      <c r="HX9" s="34">
        <v>0</v>
      </c>
      <c r="HY9" s="34">
        <v>13.2</v>
      </c>
      <c r="HZ9" s="42"/>
      <c r="IA9" s="35">
        <v>0</v>
      </c>
      <c r="IB9" s="35">
        <v>0</v>
      </c>
      <c r="IC9" s="36">
        <v>0</v>
      </c>
      <c r="ID9" s="36">
        <v>0</v>
      </c>
      <c r="IE9" s="35">
        <v>0</v>
      </c>
      <c r="IF9" s="37">
        <v>0</v>
      </c>
      <c r="IG9" s="35">
        <v>0</v>
      </c>
      <c r="IH9" s="35">
        <v>0</v>
      </c>
      <c r="II9" s="35">
        <v>0</v>
      </c>
      <c r="IJ9" s="35">
        <v>0</v>
      </c>
      <c r="IK9" s="35">
        <v>0</v>
      </c>
      <c r="IL9" s="35">
        <v>0</v>
      </c>
      <c r="IM9" s="35">
        <v>0</v>
      </c>
      <c r="IN9" s="35">
        <v>0</v>
      </c>
      <c r="IO9" s="35">
        <v>0</v>
      </c>
      <c r="IP9" s="35">
        <v>0</v>
      </c>
      <c r="IQ9" s="35">
        <v>0</v>
      </c>
      <c r="IR9" s="35">
        <v>0</v>
      </c>
      <c r="IS9" s="35">
        <v>0</v>
      </c>
      <c r="IT9" s="17">
        <v>1</v>
      </c>
      <c r="IU9" s="38">
        <v>4</v>
      </c>
      <c r="IV9" s="41">
        <f t="shared" si="5"/>
        <v>0</v>
      </c>
      <c r="IW9" s="38">
        <v>818</v>
      </c>
      <c r="IX9" s="38">
        <v>37</v>
      </c>
      <c r="IY9" s="38">
        <v>0</v>
      </c>
      <c r="IZ9" s="38"/>
      <c r="JA9" s="42"/>
      <c r="JB9" s="41">
        <v>0</v>
      </c>
      <c r="JC9" s="41">
        <v>0</v>
      </c>
      <c r="JD9" s="42">
        <v>0</v>
      </c>
      <c r="JE9" s="42">
        <v>0</v>
      </c>
      <c r="JF9" s="41">
        <v>0</v>
      </c>
      <c r="JG9" s="41">
        <v>0</v>
      </c>
      <c r="JH9" s="41">
        <v>0</v>
      </c>
      <c r="JI9" s="41">
        <v>0</v>
      </c>
      <c r="JJ9" s="41">
        <v>0</v>
      </c>
      <c r="JK9" s="41">
        <v>0</v>
      </c>
      <c r="JL9" s="41">
        <v>0</v>
      </c>
      <c r="JM9" s="41">
        <v>0</v>
      </c>
      <c r="JN9" s="41">
        <v>0</v>
      </c>
      <c r="JO9" s="41">
        <v>0</v>
      </c>
      <c r="JP9" s="41">
        <v>0</v>
      </c>
      <c r="JQ9" s="41">
        <v>0</v>
      </c>
      <c r="JR9" s="41">
        <v>0</v>
      </c>
      <c r="JS9" s="41">
        <v>0</v>
      </c>
      <c r="JT9" s="41">
        <v>0</v>
      </c>
    </row>
    <row r="10" spans="1:281" ht="15.75">
      <c r="A10" s="25">
        <v>4</v>
      </c>
      <c r="B10" s="25">
        <v>20190301</v>
      </c>
      <c r="C10" s="25"/>
      <c r="D10" s="25" t="s">
        <v>132</v>
      </c>
      <c r="E10" s="25" t="s">
        <v>132</v>
      </c>
      <c r="F10" s="25" t="s">
        <v>133</v>
      </c>
      <c r="G10" s="25"/>
      <c r="H10" s="25">
        <v>100000004</v>
      </c>
      <c r="I10" s="25" t="s">
        <v>134</v>
      </c>
      <c r="J10" s="25" t="s">
        <v>135</v>
      </c>
      <c r="K10" s="25" t="s">
        <v>132</v>
      </c>
      <c r="L10" s="25">
        <v>4</v>
      </c>
      <c r="M10" s="25">
        <v>1</v>
      </c>
      <c r="N10" s="25">
        <v>1</v>
      </c>
      <c r="O10" s="45" t="s">
        <v>136</v>
      </c>
      <c r="P10" s="25">
        <v>100</v>
      </c>
      <c r="Q10" s="25">
        <v>20180301</v>
      </c>
      <c r="R10" s="25">
        <v>20180301</v>
      </c>
      <c r="S10" s="25" t="s">
        <v>137</v>
      </c>
      <c r="T10" s="25" t="s">
        <v>138</v>
      </c>
      <c r="U10" s="25">
        <v>20190301</v>
      </c>
      <c r="V10" s="25">
        <v>10</v>
      </c>
      <c r="W10" s="25">
        <v>10</v>
      </c>
      <c r="X10" s="25" t="s">
        <v>139</v>
      </c>
      <c r="Y10" s="25">
        <v>0</v>
      </c>
      <c r="Z10" s="25" t="s">
        <v>140</v>
      </c>
      <c r="AA10" s="25">
        <v>818</v>
      </c>
      <c r="AB10" s="26">
        <v>0</v>
      </c>
      <c r="AC10" s="26">
        <v>12</v>
      </c>
      <c r="AD10" s="26">
        <v>20180201</v>
      </c>
      <c r="AE10" s="26">
        <v>0</v>
      </c>
      <c r="AF10" s="26">
        <v>25000</v>
      </c>
      <c r="AG10" s="41">
        <v>92</v>
      </c>
      <c r="AH10" s="26">
        <v>59</v>
      </c>
      <c r="AI10" s="26">
        <v>0</v>
      </c>
      <c r="AJ10" s="26">
        <v>0</v>
      </c>
      <c r="AK10" s="26">
        <v>0</v>
      </c>
      <c r="AL10" s="26">
        <v>0</v>
      </c>
      <c r="AM10" s="26">
        <v>0</v>
      </c>
      <c r="AN10" s="26">
        <v>0</v>
      </c>
      <c r="AO10" s="26">
        <v>0</v>
      </c>
      <c r="AP10" s="26">
        <v>0</v>
      </c>
      <c r="AQ10" s="26">
        <v>0</v>
      </c>
      <c r="AR10" s="26">
        <v>0</v>
      </c>
      <c r="AS10" s="26">
        <v>0</v>
      </c>
      <c r="AT10" s="26">
        <v>0</v>
      </c>
      <c r="AU10" s="26">
        <v>0</v>
      </c>
      <c r="AV10" s="26">
        <v>0</v>
      </c>
      <c r="AW10" s="26">
        <v>0</v>
      </c>
      <c r="AX10" s="26">
        <v>0</v>
      </c>
      <c r="AY10" s="46">
        <v>1</v>
      </c>
      <c r="AZ10" s="25">
        <v>2</v>
      </c>
      <c r="BA10" s="41" t="s">
        <v>203</v>
      </c>
      <c r="BB10" s="41">
        <v>100</v>
      </c>
      <c r="BC10" s="41">
        <v>20180301</v>
      </c>
      <c r="BD10" s="41">
        <v>20180301</v>
      </c>
      <c r="BE10" s="41" t="s">
        <v>198</v>
      </c>
      <c r="BF10" s="41" t="s">
        <v>149</v>
      </c>
      <c r="BG10" s="41">
        <v>20180301</v>
      </c>
      <c r="BH10" s="41">
        <v>0</v>
      </c>
      <c r="BI10" s="41">
        <v>0</v>
      </c>
      <c r="BJ10" s="41"/>
      <c r="BK10" s="41">
        <v>0</v>
      </c>
      <c r="BL10" s="41" t="s">
        <v>140</v>
      </c>
      <c r="BM10" s="41">
        <v>818</v>
      </c>
      <c r="BN10" s="41">
        <v>0</v>
      </c>
      <c r="BO10" s="41">
        <v>12</v>
      </c>
      <c r="BP10" s="41">
        <v>20180201</v>
      </c>
      <c r="BQ10" s="41">
        <v>0</v>
      </c>
      <c r="BR10" s="41">
        <v>0</v>
      </c>
      <c r="BS10" s="41">
        <v>47</v>
      </c>
      <c r="BT10" s="25">
        <v>59</v>
      </c>
      <c r="BU10" s="25">
        <v>0</v>
      </c>
      <c r="BV10" s="25">
        <v>0</v>
      </c>
      <c r="BW10" s="25">
        <v>0</v>
      </c>
      <c r="BX10" s="25">
        <v>0</v>
      </c>
      <c r="BY10" s="25">
        <v>0</v>
      </c>
      <c r="BZ10" s="25">
        <v>0</v>
      </c>
      <c r="CA10" s="25">
        <v>0</v>
      </c>
      <c r="CB10" s="25">
        <v>0</v>
      </c>
      <c r="CC10" s="25">
        <v>0</v>
      </c>
      <c r="CD10" s="25">
        <v>0</v>
      </c>
      <c r="CE10" s="25">
        <v>0</v>
      </c>
      <c r="CF10" s="25">
        <v>0</v>
      </c>
      <c r="CG10" s="25">
        <v>0</v>
      </c>
      <c r="CH10" s="25">
        <v>0</v>
      </c>
      <c r="CI10" s="25">
        <v>0</v>
      </c>
      <c r="CJ10" s="25">
        <v>0</v>
      </c>
      <c r="CK10" s="22">
        <v>1</v>
      </c>
      <c r="CL10" s="25">
        <v>3</v>
      </c>
      <c r="CM10" s="41" t="s">
        <v>151</v>
      </c>
      <c r="CN10" s="41">
        <v>100</v>
      </c>
      <c r="CO10" s="41">
        <v>20180301</v>
      </c>
      <c r="CP10" s="41">
        <v>20180301</v>
      </c>
      <c r="CQ10" s="41" t="s">
        <v>198</v>
      </c>
      <c r="CR10" s="41" t="s">
        <v>200</v>
      </c>
      <c r="CS10" s="41">
        <v>20180301</v>
      </c>
      <c r="CT10" s="41">
        <v>0</v>
      </c>
      <c r="CU10" s="41">
        <v>0</v>
      </c>
      <c r="CV10" s="41"/>
      <c r="CW10" s="41">
        <v>0</v>
      </c>
      <c r="CX10" s="41" t="s">
        <v>140</v>
      </c>
      <c r="CY10" s="41">
        <v>818</v>
      </c>
      <c r="CZ10" s="41">
        <v>0</v>
      </c>
      <c r="DA10" s="41">
        <v>12</v>
      </c>
      <c r="DB10" s="41">
        <v>20180201</v>
      </c>
      <c r="DC10" s="41">
        <v>0</v>
      </c>
      <c r="DD10" s="41">
        <v>0</v>
      </c>
      <c r="DE10" s="41">
        <v>14</v>
      </c>
      <c r="DF10" s="25">
        <v>59</v>
      </c>
      <c r="DG10" s="25">
        <v>0</v>
      </c>
      <c r="DH10" s="25">
        <v>0</v>
      </c>
      <c r="DI10" s="25">
        <v>0</v>
      </c>
      <c r="DJ10" s="25">
        <v>0</v>
      </c>
      <c r="DK10" s="25">
        <v>0</v>
      </c>
      <c r="DL10" s="25">
        <v>0</v>
      </c>
      <c r="DM10" s="25">
        <v>0</v>
      </c>
      <c r="DN10" s="25">
        <v>0</v>
      </c>
      <c r="DO10" s="25">
        <v>0</v>
      </c>
      <c r="DP10" s="25">
        <v>0</v>
      </c>
      <c r="DQ10" s="25">
        <v>0</v>
      </c>
      <c r="DR10" s="25">
        <v>0</v>
      </c>
      <c r="DS10" s="25">
        <v>0</v>
      </c>
      <c r="DT10" s="25">
        <v>0</v>
      </c>
      <c r="DU10" s="25">
        <v>0</v>
      </c>
      <c r="DV10" s="25">
        <v>0</v>
      </c>
      <c r="DW10" s="23">
        <v>1</v>
      </c>
      <c r="DX10" s="25">
        <v>4</v>
      </c>
      <c r="DY10" s="41"/>
      <c r="DZ10" s="41">
        <v>100</v>
      </c>
      <c r="EA10" s="41">
        <v>20180301</v>
      </c>
      <c r="EB10" s="41">
        <v>20180301</v>
      </c>
      <c r="EC10" s="41" t="s">
        <v>198</v>
      </c>
      <c r="ED10" s="41" t="s">
        <v>201</v>
      </c>
      <c r="EE10" s="41">
        <v>20180301</v>
      </c>
      <c r="EF10" s="41">
        <v>0</v>
      </c>
      <c r="EG10" s="41">
        <v>0</v>
      </c>
      <c r="EH10" s="41"/>
      <c r="EI10" s="41">
        <v>0</v>
      </c>
      <c r="EJ10" s="41" t="s">
        <v>140</v>
      </c>
      <c r="EK10" s="41">
        <v>818</v>
      </c>
      <c r="EL10" s="41">
        <v>0</v>
      </c>
      <c r="EM10" s="41">
        <v>12</v>
      </c>
      <c r="EN10" s="41">
        <v>20180201</v>
      </c>
      <c r="EO10" s="41">
        <v>0</v>
      </c>
      <c r="EP10" s="41">
        <v>0</v>
      </c>
      <c r="EQ10" s="41"/>
      <c r="ER10" s="25"/>
      <c r="ES10" s="25">
        <v>0</v>
      </c>
      <c r="ET10" s="25">
        <v>0</v>
      </c>
      <c r="EU10" s="25">
        <v>0</v>
      </c>
      <c r="EV10" s="25">
        <v>0</v>
      </c>
      <c r="EW10" s="25">
        <v>0</v>
      </c>
      <c r="EX10" s="25">
        <v>0</v>
      </c>
      <c r="EY10" s="25">
        <v>0</v>
      </c>
      <c r="EZ10" s="25">
        <v>0</v>
      </c>
      <c r="FA10" s="25">
        <v>0</v>
      </c>
      <c r="FB10" s="25">
        <v>0</v>
      </c>
      <c r="FC10" s="25">
        <v>0</v>
      </c>
      <c r="FD10" s="25">
        <v>0</v>
      </c>
      <c r="FE10" s="25">
        <v>0</v>
      </c>
      <c r="FF10" s="25">
        <v>0</v>
      </c>
      <c r="FG10" s="25">
        <v>0</v>
      </c>
      <c r="FH10" s="25">
        <v>0</v>
      </c>
      <c r="FI10" s="25">
        <v>1</v>
      </c>
      <c r="FJ10" s="25">
        <v>1</v>
      </c>
      <c r="FK10" s="25">
        <v>1</v>
      </c>
      <c r="FL10" s="25">
        <v>59</v>
      </c>
      <c r="FM10" s="25" t="s">
        <v>137</v>
      </c>
      <c r="FN10" s="25">
        <v>19590101</v>
      </c>
      <c r="FP10" s="28">
        <v>4</v>
      </c>
      <c r="FQ10" s="47">
        <v>1</v>
      </c>
      <c r="FR10" s="27">
        <v>1</v>
      </c>
      <c r="FS10" s="41" t="str">
        <f t="shared" si="0"/>
        <v>MFMM</v>
      </c>
      <c r="FT10" s="41">
        <f t="shared" si="1"/>
        <v>818</v>
      </c>
      <c r="FU10" s="41">
        <f t="shared" si="2"/>
        <v>59</v>
      </c>
      <c r="FV10" s="41">
        <v>27500</v>
      </c>
      <c r="FW10" s="27">
        <v>101.2</v>
      </c>
      <c r="FX10" s="41"/>
      <c r="FY10" s="29">
        <v>0</v>
      </c>
      <c r="FZ10" s="29">
        <v>0</v>
      </c>
      <c r="GA10" s="30">
        <v>0</v>
      </c>
      <c r="GB10" s="30">
        <v>0</v>
      </c>
      <c r="GC10" s="29">
        <v>0</v>
      </c>
      <c r="GD10" s="41">
        <v>0</v>
      </c>
      <c r="GE10" s="29">
        <v>0</v>
      </c>
      <c r="GF10" s="29">
        <v>0</v>
      </c>
      <c r="GG10" s="29">
        <v>0</v>
      </c>
      <c r="GH10" s="29">
        <v>0</v>
      </c>
      <c r="GI10" s="29">
        <v>0</v>
      </c>
      <c r="GJ10" s="29">
        <v>0</v>
      </c>
      <c r="GK10" s="29">
        <v>0</v>
      </c>
      <c r="GL10" s="29">
        <v>0</v>
      </c>
      <c r="GM10" s="29">
        <v>0</v>
      </c>
      <c r="GN10" s="29">
        <v>0</v>
      </c>
      <c r="GO10" s="29">
        <v>0</v>
      </c>
      <c r="GP10" s="29">
        <v>0</v>
      </c>
      <c r="GQ10" s="29">
        <v>0</v>
      </c>
      <c r="GR10" s="18">
        <v>1</v>
      </c>
      <c r="GS10" s="31">
        <v>2</v>
      </c>
      <c r="GT10" s="41" t="str">
        <f t="shared" si="3"/>
        <v>PURO</v>
      </c>
      <c r="GU10" s="31">
        <v>818</v>
      </c>
      <c r="GV10" s="31">
        <v>38</v>
      </c>
      <c r="GW10" s="31">
        <v>0</v>
      </c>
      <c r="GX10" s="31">
        <v>51.7</v>
      </c>
      <c r="GY10" s="41"/>
      <c r="GZ10" s="32">
        <v>0</v>
      </c>
      <c r="HA10" s="32">
        <v>0</v>
      </c>
      <c r="HB10" s="33">
        <v>0</v>
      </c>
      <c r="HC10" s="33">
        <v>0</v>
      </c>
      <c r="HD10" s="32">
        <v>0</v>
      </c>
      <c r="HE10" s="41">
        <v>0</v>
      </c>
      <c r="HF10" s="32">
        <v>0</v>
      </c>
      <c r="HG10" s="32">
        <v>0</v>
      </c>
      <c r="HH10" s="32">
        <v>0</v>
      </c>
      <c r="HI10" s="32">
        <v>0</v>
      </c>
      <c r="HJ10" s="32">
        <v>0</v>
      </c>
      <c r="HK10" s="32">
        <v>0</v>
      </c>
      <c r="HL10" s="32">
        <v>0</v>
      </c>
      <c r="HM10" s="32">
        <v>0</v>
      </c>
      <c r="HN10" s="32">
        <v>0</v>
      </c>
      <c r="HO10" s="32">
        <v>0</v>
      </c>
      <c r="HP10" s="32">
        <v>0</v>
      </c>
      <c r="HQ10" s="32">
        <v>0</v>
      </c>
      <c r="HR10" s="32">
        <v>0</v>
      </c>
      <c r="HS10" s="24">
        <v>1</v>
      </c>
      <c r="HT10" s="34">
        <v>3</v>
      </c>
      <c r="HU10" s="41" t="str">
        <f t="shared" si="4"/>
        <v>PUDS</v>
      </c>
      <c r="HV10" s="34">
        <v>818</v>
      </c>
      <c r="HW10" s="34">
        <v>38</v>
      </c>
      <c r="HX10" s="34">
        <v>0</v>
      </c>
      <c r="HY10" s="34">
        <v>15.4</v>
      </c>
      <c r="HZ10" s="42"/>
      <c r="IA10" s="35">
        <v>0</v>
      </c>
      <c r="IB10" s="35">
        <v>0</v>
      </c>
      <c r="IC10" s="36">
        <v>0</v>
      </c>
      <c r="ID10" s="36">
        <v>0</v>
      </c>
      <c r="IE10" s="35">
        <v>0</v>
      </c>
      <c r="IF10" s="37">
        <v>0</v>
      </c>
      <c r="IG10" s="35">
        <v>0</v>
      </c>
      <c r="IH10" s="35">
        <v>0</v>
      </c>
      <c r="II10" s="35">
        <v>0</v>
      </c>
      <c r="IJ10" s="35">
        <v>0</v>
      </c>
      <c r="IK10" s="35">
        <v>0</v>
      </c>
      <c r="IL10" s="35">
        <v>0</v>
      </c>
      <c r="IM10" s="35">
        <v>0</v>
      </c>
      <c r="IN10" s="35">
        <v>0</v>
      </c>
      <c r="IO10" s="35">
        <v>0</v>
      </c>
      <c r="IP10" s="35">
        <v>0</v>
      </c>
      <c r="IQ10" s="35">
        <v>0</v>
      </c>
      <c r="IR10" s="35">
        <v>0</v>
      </c>
      <c r="IS10" s="35">
        <v>0</v>
      </c>
      <c r="IT10" s="17">
        <v>1</v>
      </c>
      <c r="IU10" s="38">
        <v>4</v>
      </c>
      <c r="IV10" s="41">
        <f t="shared" si="5"/>
        <v>0</v>
      </c>
      <c r="IW10" s="38">
        <v>818</v>
      </c>
      <c r="IX10" s="38">
        <v>38</v>
      </c>
      <c r="IY10" s="38">
        <v>0</v>
      </c>
      <c r="IZ10" s="38"/>
      <c r="JA10" s="42"/>
      <c r="JB10" s="41">
        <v>0</v>
      </c>
      <c r="JC10" s="41">
        <v>0</v>
      </c>
      <c r="JD10" s="42">
        <v>0</v>
      </c>
      <c r="JE10" s="42">
        <v>0</v>
      </c>
      <c r="JF10" s="41">
        <v>0</v>
      </c>
      <c r="JG10" s="41">
        <v>0</v>
      </c>
      <c r="JH10" s="41">
        <v>0</v>
      </c>
      <c r="JI10" s="41">
        <v>0</v>
      </c>
      <c r="JJ10" s="41">
        <v>0</v>
      </c>
      <c r="JK10" s="41">
        <v>0</v>
      </c>
      <c r="JL10" s="41">
        <v>0</v>
      </c>
      <c r="JM10" s="41">
        <v>0</v>
      </c>
      <c r="JN10" s="41">
        <v>0</v>
      </c>
      <c r="JO10" s="41">
        <v>0</v>
      </c>
      <c r="JP10" s="41">
        <v>0</v>
      </c>
      <c r="JQ10" s="41">
        <v>0</v>
      </c>
      <c r="JR10" s="41">
        <v>0</v>
      </c>
      <c r="JS10" s="41">
        <v>0</v>
      </c>
      <c r="JT10" s="41">
        <v>0</v>
      </c>
    </row>
    <row r="11" spans="1:281" ht="15.75">
      <c r="A11" s="25">
        <v>5</v>
      </c>
      <c r="B11" s="25">
        <v>20190301</v>
      </c>
      <c r="C11" s="25"/>
      <c r="D11" s="25" t="s">
        <v>132</v>
      </c>
      <c r="E11" s="25" t="s">
        <v>132</v>
      </c>
      <c r="F11" s="25" t="s">
        <v>133</v>
      </c>
      <c r="G11" s="25"/>
      <c r="H11" s="25">
        <v>100000005</v>
      </c>
      <c r="I11" s="25" t="s">
        <v>134</v>
      </c>
      <c r="J11" s="25" t="s">
        <v>135</v>
      </c>
      <c r="K11" s="25" t="s">
        <v>132</v>
      </c>
      <c r="L11" s="25">
        <v>4</v>
      </c>
      <c r="M11" s="25">
        <v>1</v>
      </c>
      <c r="N11" s="25">
        <v>1</v>
      </c>
      <c r="O11" s="45" t="s">
        <v>136</v>
      </c>
      <c r="P11" s="25">
        <v>100</v>
      </c>
      <c r="Q11" s="25">
        <v>20180301</v>
      </c>
      <c r="R11" s="25">
        <v>20180301</v>
      </c>
      <c r="S11" s="25" t="s">
        <v>137</v>
      </c>
      <c r="T11" s="25" t="s">
        <v>138</v>
      </c>
      <c r="U11" s="25">
        <v>20190301</v>
      </c>
      <c r="V11" s="25">
        <v>10</v>
      </c>
      <c r="W11" s="25">
        <v>10</v>
      </c>
      <c r="X11" s="25" t="s">
        <v>139</v>
      </c>
      <c r="Y11" s="25">
        <v>0</v>
      </c>
      <c r="Z11" s="25" t="s">
        <v>140</v>
      </c>
      <c r="AA11" s="25">
        <v>818</v>
      </c>
      <c r="AB11" s="26">
        <v>0</v>
      </c>
      <c r="AC11" s="26">
        <v>12</v>
      </c>
      <c r="AD11" s="26">
        <v>20180201</v>
      </c>
      <c r="AE11" s="26">
        <v>0</v>
      </c>
      <c r="AF11" s="26">
        <v>30000</v>
      </c>
      <c r="AG11" s="41">
        <v>106</v>
      </c>
      <c r="AH11" s="26">
        <v>58</v>
      </c>
      <c r="AI11" s="26">
        <v>0</v>
      </c>
      <c r="AJ11" s="26">
        <v>0</v>
      </c>
      <c r="AK11" s="26">
        <v>0</v>
      </c>
      <c r="AL11" s="26">
        <v>0</v>
      </c>
      <c r="AM11" s="26">
        <v>0</v>
      </c>
      <c r="AN11" s="26">
        <v>0</v>
      </c>
      <c r="AO11" s="26">
        <v>0</v>
      </c>
      <c r="AP11" s="26">
        <v>0</v>
      </c>
      <c r="AQ11" s="26">
        <v>0</v>
      </c>
      <c r="AR11" s="26">
        <v>0</v>
      </c>
      <c r="AS11" s="26">
        <v>0</v>
      </c>
      <c r="AT11" s="26">
        <v>0</v>
      </c>
      <c r="AU11" s="26">
        <v>0</v>
      </c>
      <c r="AV11" s="26">
        <v>0</v>
      </c>
      <c r="AW11" s="26">
        <v>0</v>
      </c>
      <c r="AX11" s="26">
        <v>0</v>
      </c>
      <c r="AY11" s="46">
        <v>1</v>
      </c>
      <c r="AZ11" s="25">
        <v>2</v>
      </c>
      <c r="BA11" s="41" t="s">
        <v>203</v>
      </c>
      <c r="BB11" s="41">
        <v>100</v>
      </c>
      <c r="BC11" s="41">
        <v>20180301</v>
      </c>
      <c r="BD11" s="41">
        <v>20180301</v>
      </c>
      <c r="BE11" s="41" t="s">
        <v>198</v>
      </c>
      <c r="BF11" s="41" t="s">
        <v>149</v>
      </c>
      <c r="BG11" s="41">
        <v>20180301</v>
      </c>
      <c r="BH11" s="41">
        <v>0</v>
      </c>
      <c r="BI11" s="41">
        <v>0</v>
      </c>
      <c r="BJ11" s="41"/>
      <c r="BK11" s="41">
        <v>0</v>
      </c>
      <c r="BL11" s="41" t="s">
        <v>140</v>
      </c>
      <c r="BM11" s="41">
        <v>818</v>
      </c>
      <c r="BN11" s="41">
        <v>0</v>
      </c>
      <c r="BO11" s="41">
        <v>12</v>
      </c>
      <c r="BP11" s="41">
        <v>20180201</v>
      </c>
      <c r="BQ11" s="41">
        <v>0</v>
      </c>
      <c r="BR11" s="41">
        <v>0</v>
      </c>
      <c r="BS11" s="41">
        <v>54</v>
      </c>
      <c r="BT11" s="25">
        <v>58</v>
      </c>
      <c r="BU11" s="25">
        <v>0</v>
      </c>
      <c r="BV11" s="25">
        <v>0</v>
      </c>
      <c r="BW11" s="25">
        <v>0</v>
      </c>
      <c r="BX11" s="25">
        <v>0</v>
      </c>
      <c r="BY11" s="25">
        <v>0</v>
      </c>
      <c r="BZ11" s="25">
        <v>0</v>
      </c>
      <c r="CA11" s="25">
        <v>0</v>
      </c>
      <c r="CB11" s="25">
        <v>0</v>
      </c>
      <c r="CC11" s="25">
        <v>0</v>
      </c>
      <c r="CD11" s="25">
        <v>0</v>
      </c>
      <c r="CE11" s="25">
        <v>0</v>
      </c>
      <c r="CF11" s="25">
        <v>0</v>
      </c>
      <c r="CG11" s="25">
        <v>0</v>
      </c>
      <c r="CH11" s="25">
        <v>0</v>
      </c>
      <c r="CI11" s="25">
        <v>0</v>
      </c>
      <c r="CJ11" s="25">
        <v>0</v>
      </c>
      <c r="CK11" s="22">
        <v>1</v>
      </c>
      <c r="CL11" s="25">
        <v>3</v>
      </c>
      <c r="CM11" s="41" t="s">
        <v>151</v>
      </c>
      <c r="CN11" s="41">
        <v>100</v>
      </c>
      <c r="CO11" s="41">
        <v>20180301</v>
      </c>
      <c r="CP11" s="41">
        <v>20180301</v>
      </c>
      <c r="CQ11" s="41" t="s">
        <v>198</v>
      </c>
      <c r="CR11" s="41" t="s">
        <v>200</v>
      </c>
      <c r="CS11" s="41">
        <v>20180301</v>
      </c>
      <c r="CT11" s="41">
        <v>0</v>
      </c>
      <c r="CU11" s="41">
        <v>0</v>
      </c>
      <c r="CV11" s="41"/>
      <c r="CW11" s="41">
        <v>0</v>
      </c>
      <c r="CX11" s="41" t="s">
        <v>140</v>
      </c>
      <c r="CY11" s="41">
        <v>818</v>
      </c>
      <c r="CZ11" s="41">
        <v>0</v>
      </c>
      <c r="DA11" s="41">
        <v>12</v>
      </c>
      <c r="DB11" s="41">
        <v>20180201</v>
      </c>
      <c r="DC11" s="41">
        <v>0</v>
      </c>
      <c r="DD11" s="41">
        <v>0</v>
      </c>
      <c r="DE11" s="41">
        <v>15</v>
      </c>
      <c r="DF11" s="25">
        <v>58</v>
      </c>
      <c r="DG11" s="25">
        <v>0</v>
      </c>
      <c r="DH11" s="25">
        <v>0</v>
      </c>
      <c r="DI11" s="25">
        <v>0</v>
      </c>
      <c r="DJ11" s="25">
        <v>0</v>
      </c>
      <c r="DK11" s="25">
        <v>0</v>
      </c>
      <c r="DL11" s="25">
        <v>0</v>
      </c>
      <c r="DM11" s="25">
        <v>0</v>
      </c>
      <c r="DN11" s="25">
        <v>0</v>
      </c>
      <c r="DO11" s="25">
        <v>0</v>
      </c>
      <c r="DP11" s="25">
        <v>0</v>
      </c>
      <c r="DQ11" s="25">
        <v>0</v>
      </c>
      <c r="DR11" s="25">
        <v>0</v>
      </c>
      <c r="DS11" s="25">
        <v>0</v>
      </c>
      <c r="DT11" s="25">
        <v>0</v>
      </c>
      <c r="DU11" s="25">
        <v>0</v>
      </c>
      <c r="DV11" s="25">
        <v>0</v>
      </c>
      <c r="DW11" s="23">
        <v>1</v>
      </c>
      <c r="DX11" s="25">
        <v>4</v>
      </c>
      <c r="DY11" s="41"/>
      <c r="DZ11" s="41">
        <v>100</v>
      </c>
      <c r="EA11" s="41">
        <v>20180301</v>
      </c>
      <c r="EB11" s="41">
        <v>20180301</v>
      </c>
      <c r="EC11" s="41" t="s">
        <v>198</v>
      </c>
      <c r="ED11" s="41" t="s">
        <v>201</v>
      </c>
      <c r="EE11" s="41">
        <v>20180301</v>
      </c>
      <c r="EF11" s="41">
        <v>0</v>
      </c>
      <c r="EG11" s="41">
        <v>0</v>
      </c>
      <c r="EH11" s="41"/>
      <c r="EI11" s="41">
        <v>0</v>
      </c>
      <c r="EJ11" s="41" t="s">
        <v>140</v>
      </c>
      <c r="EK11" s="41">
        <v>818</v>
      </c>
      <c r="EL11" s="41">
        <v>0</v>
      </c>
      <c r="EM11" s="41">
        <v>12</v>
      </c>
      <c r="EN11" s="41">
        <v>20180201</v>
      </c>
      <c r="EO11" s="41">
        <v>0</v>
      </c>
      <c r="EP11" s="41">
        <v>0</v>
      </c>
      <c r="EQ11" s="41"/>
      <c r="ER11" s="25"/>
      <c r="ES11" s="25">
        <v>0</v>
      </c>
      <c r="ET11" s="25">
        <v>0</v>
      </c>
      <c r="EU11" s="25">
        <v>0</v>
      </c>
      <c r="EV11" s="25">
        <v>0</v>
      </c>
      <c r="EW11" s="25">
        <v>0</v>
      </c>
      <c r="EX11" s="25">
        <v>0</v>
      </c>
      <c r="EY11" s="25">
        <v>0</v>
      </c>
      <c r="EZ11" s="25">
        <v>0</v>
      </c>
      <c r="FA11" s="25">
        <v>0</v>
      </c>
      <c r="FB11" s="25">
        <v>0</v>
      </c>
      <c r="FC11" s="25">
        <v>0</v>
      </c>
      <c r="FD11" s="25">
        <v>0</v>
      </c>
      <c r="FE11" s="25">
        <v>0</v>
      </c>
      <c r="FF11" s="25">
        <v>0</v>
      </c>
      <c r="FG11" s="25">
        <v>0</v>
      </c>
      <c r="FH11" s="25">
        <v>0</v>
      </c>
      <c r="FI11" s="25">
        <v>1</v>
      </c>
      <c r="FJ11" s="25">
        <v>1</v>
      </c>
      <c r="FK11" s="25">
        <v>1</v>
      </c>
      <c r="FL11" s="25">
        <v>58</v>
      </c>
      <c r="FM11" s="25" t="s">
        <v>137</v>
      </c>
      <c r="FN11" s="25">
        <v>19570101</v>
      </c>
      <c r="FP11" s="28">
        <v>4</v>
      </c>
      <c r="FQ11" s="47">
        <v>1</v>
      </c>
      <c r="FR11" s="27">
        <v>1</v>
      </c>
      <c r="FS11" s="41" t="str">
        <f t="shared" si="0"/>
        <v>MFMM</v>
      </c>
      <c r="FT11" s="41">
        <f t="shared" si="1"/>
        <v>818</v>
      </c>
      <c r="FU11" s="41">
        <f t="shared" si="2"/>
        <v>58</v>
      </c>
      <c r="FV11" s="41">
        <v>33000</v>
      </c>
      <c r="FW11" s="27">
        <v>116.6</v>
      </c>
      <c r="FX11" s="41"/>
      <c r="FY11" s="29">
        <v>0</v>
      </c>
      <c r="FZ11" s="29">
        <v>0</v>
      </c>
      <c r="GA11" s="30">
        <v>0</v>
      </c>
      <c r="GB11" s="30">
        <v>0</v>
      </c>
      <c r="GC11" s="29">
        <v>0</v>
      </c>
      <c r="GD11" s="41">
        <v>0</v>
      </c>
      <c r="GE11" s="29">
        <v>0</v>
      </c>
      <c r="GF11" s="29">
        <v>0</v>
      </c>
      <c r="GG11" s="29">
        <v>0</v>
      </c>
      <c r="GH11" s="29">
        <v>0</v>
      </c>
      <c r="GI11" s="29">
        <v>0</v>
      </c>
      <c r="GJ11" s="29">
        <v>0</v>
      </c>
      <c r="GK11" s="29">
        <v>0</v>
      </c>
      <c r="GL11" s="29">
        <v>0</v>
      </c>
      <c r="GM11" s="29">
        <v>0</v>
      </c>
      <c r="GN11" s="29">
        <v>0</v>
      </c>
      <c r="GO11" s="29">
        <v>0</v>
      </c>
      <c r="GP11" s="29">
        <v>0</v>
      </c>
      <c r="GQ11" s="29">
        <v>0</v>
      </c>
      <c r="GR11" s="18">
        <v>1</v>
      </c>
      <c r="GS11" s="31">
        <v>2</v>
      </c>
      <c r="GT11" s="41" t="str">
        <f t="shared" si="3"/>
        <v>PURO</v>
      </c>
      <c r="GU11" s="31">
        <v>818</v>
      </c>
      <c r="GV11" s="31">
        <v>39</v>
      </c>
      <c r="GW11" s="31">
        <v>0</v>
      </c>
      <c r="GX11" s="31">
        <v>59.4</v>
      </c>
      <c r="GY11" s="41"/>
      <c r="GZ11" s="32">
        <v>0</v>
      </c>
      <c r="HA11" s="32">
        <v>0</v>
      </c>
      <c r="HB11" s="33">
        <v>0</v>
      </c>
      <c r="HC11" s="33">
        <v>0</v>
      </c>
      <c r="HD11" s="32">
        <v>0</v>
      </c>
      <c r="HE11" s="41">
        <v>0</v>
      </c>
      <c r="HF11" s="32">
        <v>0</v>
      </c>
      <c r="HG11" s="32">
        <v>0</v>
      </c>
      <c r="HH11" s="32">
        <v>0</v>
      </c>
      <c r="HI11" s="32">
        <v>0</v>
      </c>
      <c r="HJ11" s="32">
        <v>0</v>
      </c>
      <c r="HK11" s="32">
        <v>0</v>
      </c>
      <c r="HL11" s="32">
        <v>0</v>
      </c>
      <c r="HM11" s="32">
        <v>0</v>
      </c>
      <c r="HN11" s="32">
        <v>0</v>
      </c>
      <c r="HO11" s="32">
        <v>0</v>
      </c>
      <c r="HP11" s="32">
        <v>0</v>
      </c>
      <c r="HQ11" s="32">
        <v>0</v>
      </c>
      <c r="HR11" s="32">
        <v>0</v>
      </c>
      <c r="HS11" s="24">
        <v>1</v>
      </c>
      <c r="HT11" s="34">
        <v>3</v>
      </c>
      <c r="HU11" s="41" t="str">
        <f t="shared" si="4"/>
        <v>PUDS</v>
      </c>
      <c r="HV11" s="34">
        <v>818</v>
      </c>
      <c r="HW11" s="34">
        <v>39</v>
      </c>
      <c r="HX11" s="34">
        <v>0</v>
      </c>
      <c r="HY11" s="34">
        <v>16.5</v>
      </c>
      <c r="HZ11" s="42"/>
      <c r="IA11" s="35">
        <v>0</v>
      </c>
      <c r="IB11" s="35">
        <v>0</v>
      </c>
      <c r="IC11" s="36">
        <v>0</v>
      </c>
      <c r="ID11" s="36">
        <v>0</v>
      </c>
      <c r="IE11" s="35">
        <v>0</v>
      </c>
      <c r="IF11" s="37">
        <v>0</v>
      </c>
      <c r="IG11" s="35">
        <v>0</v>
      </c>
      <c r="IH11" s="35">
        <v>0</v>
      </c>
      <c r="II11" s="35">
        <v>0</v>
      </c>
      <c r="IJ11" s="35">
        <v>0</v>
      </c>
      <c r="IK11" s="35">
        <v>0</v>
      </c>
      <c r="IL11" s="35">
        <v>0</v>
      </c>
      <c r="IM11" s="35">
        <v>0</v>
      </c>
      <c r="IN11" s="35">
        <v>0</v>
      </c>
      <c r="IO11" s="35">
        <v>0</v>
      </c>
      <c r="IP11" s="35">
        <v>0</v>
      </c>
      <c r="IQ11" s="35">
        <v>0</v>
      </c>
      <c r="IR11" s="35">
        <v>0</v>
      </c>
      <c r="IS11" s="35">
        <v>0</v>
      </c>
      <c r="IT11" s="17">
        <v>1</v>
      </c>
      <c r="IU11" s="38">
        <v>4</v>
      </c>
      <c r="IV11" s="41">
        <f t="shared" si="5"/>
        <v>0</v>
      </c>
      <c r="IW11" s="38">
        <v>818</v>
      </c>
      <c r="IX11" s="38">
        <v>39</v>
      </c>
      <c r="IY11" s="38">
        <v>0</v>
      </c>
      <c r="IZ11" s="38"/>
      <c r="JA11" s="42"/>
      <c r="JB11" s="41">
        <v>0</v>
      </c>
      <c r="JC11" s="41">
        <v>0</v>
      </c>
      <c r="JD11" s="42">
        <v>0</v>
      </c>
      <c r="JE11" s="42">
        <v>0</v>
      </c>
      <c r="JF11" s="41">
        <v>0</v>
      </c>
      <c r="JG11" s="41">
        <v>0</v>
      </c>
      <c r="JH11" s="41">
        <v>0</v>
      </c>
      <c r="JI11" s="41">
        <v>0</v>
      </c>
      <c r="JJ11" s="41">
        <v>0</v>
      </c>
      <c r="JK11" s="41">
        <v>0</v>
      </c>
      <c r="JL11" s="41">
        <v>0</v>
      </c>
      <c r="JM11" s="41">
        <v>0</v>
      </c>
      <c r="JN11" s="41">
        <v>0</v>
      </c>
      <c r="JO11" s="41">
        <v>0</v>
      </c>
      <c r="JP11" s="41">
        <v>0</v>
      </c>
      <c r="JQ11" s="41">
        <v>0</v>
      </c>
      <c r="JR11" s="41">
        <v>0</v>
      </c>
      <c r="JS11" s="41">
        <v>0</v>
      </c>
      <c r="JT11" s="41">
        <v>0</v>
      </c>
    </row>
    <row r="12" spans="1:281" ht="15.75">
      <c r="A12" s="25">
        <v>6</v>
      </c>
      <c r="B12" s="25">
        <v>20190301</v>
      </c>
      <c r="C12" s="25"/>
      <c r="D12" s="25" t="s">
        <v>132</v>
      </c>
      <c r="E12" s="25" t="s">
        <v>132</v>
      </c>
      <c r="F12" s="25" t="s">
        <v>133</v>
      </c>
      <c r="G12" s="25"/>
      <c r="H12" s="25">
        <v>100000006</v>
      </c>
      <c r="I12" s="25" t="s">
        <v>134</v>
      </c>
      <c r="J12" s="25" t="s">
        <v>135</v>
      </c>
      <c r="K12" s="25" t="s">
        <v>132</v>
      </c>
      <c r="L12" s="25">
        <v>4</v>
      </c>
      <c r="M12" s="25">
        <v>1</v>
      </c>
      <c r="N12" s="25">
        <v>1</v>
      </c>
      <c r="O12" s="45" t="s">
        <v>136</v>
      </c>
      <c r="P12" s="25">
        <v>100</v>
      </c>
      <c r="Q12" s="25">
        <v>20180301</v>
      </c>
      <c r="R12" s="25">
        <v>20180301</v>
      </c>
      <c r="S12" s="25" t="s">
        <v>137</v>
      </c>
      <c r="T12" s="25" t="s">
        <v>142</v>
      </c>
      <c r="U12" s="25">
        <v>20190301</v>
      </c>
      <c r="V12" s="25">
        <v>10</v>
      </c>
      <c r="W12" s="25">
        <v>10</v>
      </c>
      <c r="X12" s="25" t="s">
        <v>139</v>
      </c>
      <c r="Y12" s="25">
        <v>0</v>
      </c>
      <c r="Z12" s="25" t="s">
        <v>140</v>
      </c>
      <c r="AA12" s="25">
        <v>818</v>
      </c>
      <c r="AB12" s="41">
        <v>0</v>
      </c>
      <c r="AC12" s="41">
        <v>12</v>
      </c>
      <c r="AD12" s="41">
        <v>20180201</v>
      </c>
      <c r="AE12" s="41">
        <v>0</v>
      </c>
      <c r="AF12" s="26">
        <v>35000</v>
      </c>
      <c r="AG12" s="41">
        <v>120</v>
      </c>
      <c r="AH12" s="26">
        <v>57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  <c r="AO12" s="26">
        <v>0</v>
      </c>
      <c r="AP12" s="26">
        <v>0</v>
      </c>
      <c r="AQ12" s="26">
        <v>0</v>
      </c>
      <c r="AR12" s="26">
        <v>0</v>
      </c>
      <c r="AS12" s="26">
        <v>0</v>
      </c>
      <c r="AT12" s="26">
        <v>0</v>
      </c>
      <c r="AU12" s="26">
        <v>0</v>
      </c>
      <c r="AV12" s="26">
        <v>0</v>
      </c>
      <c r="AW12" s="26">
        <v>0</v>
      </c>
      <c r="AX12" s="26">
        <v>0</v>
      </c>
      <c r="AY12" s="46">
        <v>1</v>
      </c>
      <c r="AZ12" s="25">
        <v>2</v>
      </c>
      <c r="BA12" s="41" t="s">
        <v>203</v>
      </c>
      <c r="BB12" s="41">
        <v>100</v>
      </c>
      <c r="BC12" s="41">
        <v>20180301</v>
      </c>
      <c r="BD12" s="41">
        <v>20180301</v>
      </c>
      <c r="BE12" s="41" t="s">
        <v>198</v>
      </c>
      <c r="BF12" s="41" t="s">
        <v>149</v>
      </c>
      <c r="BG12" s="41">
        <v>20180301</v>
      </c>
      <c r="BH12" s="41">
        <v>0</v>
      </c>
      <c r="BI12" s="41">
        <v>0</v>
      </c>
      <c r="BJ12" s="41"/>
      <c r="BK12" s="41">
        <v>0</v>
      </c>
      <c r="BL12" s="41" t="s">
        <v>140</v>
      </c>
      <c r="BM12" s="41">
        <v>818</v>
      </c>
      <c r="BN12" s="41">
        <v>0</v>
      </c>
      <c r="BO12" s="41">
        <v>12</v>
      </c>
      <c r="BP12" s="41">
        <v>20180201</v>
      </c>
      <c r="BQ12" s="41">
        <v>0</v>
      </c>
      <c r="BR12" s="41">
        <v>0</v>
      </c>
      <c r="BS12" s="41">
        <v>60</v>
      </c>
      <c r="BT12" s="25">
        <v>57</v>
      </c>
      <c r="BU12" s="25">
        <v>0</v>
      </c>
      <c r="BV12" s="25">
        <v>0</v>
      </c>
      <c r="BW12" s="25">
        <v>0</v>
      </c>
      <c r="BX12" s="25">
        <v>0</v>
      </c>
      <c r="BY12" s="25">
        <v>0</v>
      </c>
      <c r="BZ12" s="25">
        <v>0</v>
      </c>
      <c r="CA12" s="25">
        <v>0</v>
      </c>
      <c r="CB12" s="25">
        <v>0</v>
      </c>
      <c r="CC12" s="25">
        <v>0</v>
      </c>
      <c r="CD12" s="25">
        <v>0</v>
      </c>
      <c r="CE12" s="25">
        <v>0</v>
      </c>
      <c r="CF12" s="25">
        <v>0</v>
      </c>
      <c r="CG12" s="25">
        <v>0</v>
      </c>
      <c r="CH12" s="25">
        <v>0</v>
      </c>
      <c r="CI12" s="25">
        <v>0</v>
      </c>
      <c r="CJ12" s="25">
        <v>0</v>
      </c>
      <c r="CK12" s="22">
        <v>1</v>
      </c>
      <c r="CL12" s="25">
        <v>3</v>
      </c>
      <c r="CM12" s="41" t="s">
        <v>151</v>
      </c>
      <c r="CN12" s="41">
        <v>100</v>
      </c>
      <c r="CO12" s="41">
        <v>20180301</v>
      </c>
      <c r="CP12" s="41">
        <v>20180301</v>
      </c>
      <c r="CQ12" s="41" t="s">
        <v>198</v>
      </c>
      <c r="CR12" s="41" t="s">
        <v>200</v>
      </c>
      <c r="CS12" s="41">
        <v>20180301</v>
      </c>
      <c r="CT12" s="41">
        <v>0</v>
      </c>
      <c r="CU12" s="41">
        <v>0</v>
      </c>
      <c r="CV12" s="41"/>
      <c r="CW12" s="41">
        <v>0</v>
      </c>
      <c r="CX12" s="41" t="s">
        <v>140</v>
      </c>
      <c r="CY12" s="41">
        <v>818</v>
      </c>
      <c r="CZ12" s="41">
        <v>0</v>
      </c>
      <c r="DA12" s="41">
        <v>12</v>
      </c>
      <c r="DB12" s="41">
        <v>20180201</v>
      </c>
      <c r="DC12" s="41">
        <v>0</v>
      </c>
      <c r="DD12" s="41">
        <v>0</v>
      </c>
      <c r="DE12" s="41">
        <v>17</v>
      </c>
      <c r="DF12" s="25">
        <v>57</v>
      </c>
      <c r="DG12" s="25">
        <v>0</v>
      </c>
      <c r="DH12" s="25">
        <v>0</v>
      </c>
      <c r="DI12" s="25">
        <v>0</v>
      </c>
      <c r="DJ12" s="25">
        <v>0</v>
      </c>
      <c r="DK12" s="25">
        <v>0</v>
      </c>
      <c r="DL12" s="25">
        <v>0</v>
      </c>
      <c r="DM12" s="25">
        <v>0</v>
      </c>
      <c r="DN12" s="25">
        <v>0</v>
      </c>
      <c r="DO12" s="25">
        <v>0</v>
      </c>
      <c r="DP12" s="25">
        <v>0</v>
      </c>
      <c r="DQ12" s="25">
        <v>0</v>
      </c>
      <c r="DR12" s="25">
        <v>0</v>
      </c>
      <c r="DS12" s="25">
        <v>0</v>
      </c>
      <c r="DT12" s="25">
        <v>0</v>
      </c>
      <c r="DU12" s="25">
        <v>0</v>
      </c>
      <c r="DV12" s="25">
        <v>0</v>
      </c>
      <c r="DW12" s="23">
        <v>1</v>
      </c>
      <c r="DX12" s="25">
        <v>4</v>
      </c>
      <c r="DY12" s="41"/>
      <c r="DZ12" s="41">
        <v>100</v>
      </c>
      <c r="EA12" s="41">
        <v>20180301</v>
      </c>
      <c r="EB12" s="41">
        <v>20180301</v>
      </c>
      <c r="EC12" s="41" t="s">
        <v>198</v>
      </c>
      <c r="ED12" s="41" t="s">
        <v>201</v>
      </c>
      <c r="EE12" s="41">
        <v>20180301</v>
      </c>
      <c r="EF12" s="41">
        <v>0</v>
      </c>
      <c r="EG12" s="41">
        <v>0</v>
      </c>
      <c r="EH12" s="41"/>
      <c r="EI12" s="41">
        <v>0</v>
      </c>
      <c r="EJ12" s="41" t="s">
        <v>140</v>
      </c>
      <c r="EK12" s="41">
        <v>818</v>
      </c>
      <c r="EL12" s="41">
        <v>0</v>
      </c>
      <c r="EM12" s="41">
        <v>12</v>
      </c>
      <c r="EN12" s="41">
        <v>20180201</v>
      </c>
      <c r="EO12" s="41">
        <v>0</v>
      </c>
      <c r="EP12" s="41">
        <v>0</v>
      </c>
      <c r="EQ12" s="41"/>
      <c r="ER12" s="25"/>
      <c r="ES12" s="25">
        <v>0</v>
      </c>
      <c r="ET12" s="25">
        <v>0</v>
      </c>
      <c r="EU12" s="25">
        <v>0</v>
      </c>
      <c r="EV12" s="25">
        <v>0</v>
      </c>
      <c r="EW12" s="25">
        <v>0</v>
      </c>
      <c r="EX12" s="25">
        <v>0</v>
      </c>
      <c r="EY12" s="25">
        <v>0</v>
      </c>
      <c r="EZ12" s="25">
        <v>0</v>
      </c>
      <c r="FA12" s="25">
        <v>0</v>
      </c>
      <c r="FB12" s="25">
        <v>0</v>
      </c>
      <c r="FC12" s="25">
        <v>0</v>
      </c>
      <c r="FD12" s="25">
        <v>0</v>
      </c>
      <c r="FE12" s="25">
        <v>0</v>
      </c>
      <c r="FF12" s="25">
        <v>0</v>
      </c>
      <c r="FG12" s="25">
        <v>0</v>
      </c>
      <c r="FH12" s="25">
        <v>0</v>
      </c>
      <c r="FI12" s="25">
        <v>1</v>
      </c>
      <c r="FJ12" s="25">
        <v>1</v>
      </c>
      <c r="FK12" s="25">
        <v>1</v>
      </c>
      <c r="FL12" s="25">
        <v>57</v>
      </c>
      <c r="FM12" s="25" t="s">
        <v>137</v>
      </c>
      <c r="FN12" s="25">
        <v>19580101</v>
      </c>
      <c r="FP12" s="28">
        <v>4</v>
      </c>
      <c r="FQ12" s="47">
        <v>1</v>
      </c>
      <c r="FR12" s="41">
        <v>1</v>
      </c>
      <c r="FS12" s="41" t="str">
        <f t="shared" si="0"/>
        <v>MFMM</v>
      </c>
      <c r="FT12" s="41">
        <f t="shared" si="1"/>
        <v>818</v>
      </c>
      <c r="FU12" s="41">
        <f t="shared" si="2"/>
        <v>57</v>
      </c>
      <c r="FV12" s="41">
        <v>38500</v>
      </c>
      <c r="FW12" s="41">
        <v>132</v>
      </c>
      <c r="FX12" s="41"/>
      <c r="FY12" s="29">
        <v>0</v>
      </c>
      <c r="FZ12" s="29">
        <v>0</v>
      </c>
      <c r="GA12" s="30">
        <v>0</v>
      </c>
      <c r="GB12" s="30">
        <v>0</v>
      </c>
      <c r="GC12" s="29">
        <v>0</v>
      </c>
      <c r="GD12" s="41">
        <v>0</v>
      </c>
      <c r="GE12" s="29">
        <v>0</v>
      </c>
      <c r="GF12" s="29">
        <v>0</v>
      </c>
      <c r="GG12" s="29">
        <v>0</v>
      </c>
      <c r="GH12" s="29">
        <v>0</v>
      </c>
      <c r="GI12" s="29">
        <v>0</v>
      </c>
      <c r="GJ12" s="29">
        <v>0</v>
      </c>
      <c r="GK12" s="29">
        <v>0</v>
      </c>
      <c r="GL12" s="29">
        <v>0</v>
      </c>
      <c r="GM12" s="29">
        <v>0</v>
      </c>
      <c r="GN12" s="29">
        <v>0</v>
      </c>
      <c r="GO12" s="29">
        <v>0</v>
      </c>
      <c r="GP12" s="29">
        <v>0</v>
      </c>
      <c r="GQ12" s="29">
        <v>0</v>
      </c>
      <c r="GR12" s="18">
        <v>1</v>
      </c>
      <c r="GS12" s="41">
        <v>2</v>
      </c>
      <c r="GT12" s="41" t="str">
        <f t="shared" si="3"/>
        <v>PURO</v>
      </c>
      <c r="GU12" s="41">
        <v>818</v>
      </c>
      <c r="GV12" s="41">
        <v>20</v>
      </c>
      <c r="GW12" s="41">
        <v>0</v>
      </c>
      <c r="GX12" s="41">
        <v>66</v>
      </c>
      <c r="GY12" s="41"/>
      <c r="GZ12" s="41">
        <v>0</v>
      </c>
      <c r="HA12" s="41">
        <v>0</v>
      </c>
      <c r="HB12" s="42">
        <v>0</v>
      </c>
      <c r="HC12" s="42">
        <v>0</v>
      </c>
      <c r="HD12" s="41">
        <v>0</v>
      </c>
      <c r="HE12" s="41">
        <v>0</v>
      </c>
      <c r="HF12" s="41">
        <v>0</v>
      </c>
      <c r="HG12" s="41">
        <v>0</v>
      </c>
      <c r="HH12" s="41">
        <v>0</v>
      </c>
      <c r="HI12" s="41">
        <v>0</v>
      </c>
      <c r="HJ12" s="41">
        <v>0</v>
      </c>
      <c r="HK12" s="41">
        <v>0</v>
      </c>
      <c r="HL12" s="41">
        <v>0</v>
      </c>
      <c r="HM12" s="41">
        <v>0</v>
      </c>
      <c r="HN12" s="41">
        <v>0</v>
      </c>
      <c r="HO12" s="41">
        <v>0</v>
      </c>
      <c r="HP12" s="41">
        <v>0</v>
      </c>
      <c r="HQ12" s="41">
        <v>0</v>
      </c>
      <c r="HR12" s="41">
        <v>0</v>
      </c>
      <c r="HS12" s="24">
        <v>1</v>
      </c>
      <c r="HT12" s="41">
        <v>3</v>
      </c>
      <c r="HU12" s="41" t="str">
        <f t="shared" si="4"/>
        <v>PUDS</v>
      </c>
      <c r="HV12" s="41">
        <v>818</v>
      </c>
      <c r="HW12" s="41">
        <v>20</v>
      </c>
      <c r="HX12" s="41">
        <v>0</v>
      </c>
      <c r="HY12" s="41">
        <v>18.7</v>
      </c>
      <c r="HZ12" s="42"/>
      <c r="IA12" s="41">
        <v>0</v>
      </c>
      <c r="IB12" s="41">
        <v>0</v>
      </c>
      <c r="IC12" s="42">
        <v>0</v>
      </c>
      <c r="ID12" s="42">
        <v>0</v>
      </c>
      <c r="IE12" s="41">
        <v>0</v>
      </c>
      <c r="IF12" s="43">
        <v>0</v>
      </c>
      <c r="IG12" s="41">
        <v>0</v>
      </c>
      <c r="IH12" s="41">
        <v>0</v>
      </c>
      <c r="II12" s="41">
        <v>0</v>
      </c>
      <c r="IJ12" s="41">
        <v>0</v>
      </c>
      <c r="IK12" s="41">
        <v>0</v>
      </c>
      <c r="IL12" s="41">
        <v>0</v>
      </c>
      <c r="IM12" s="41">
        <v>0</v>
      </c>
      <c r="IN12" s="41">
        <v>0</v>
      </c>
      <c r="IO12" s="41">
        <v>0</v>
      </c>
      <c r="IP12" s="41">
        <v>0</v>
      </c>
      <c r="IQ12" s="41">
        <v>0</v>
      </c>
      <c r="IR12" s="41">
        <v>0</v>
      </c>
      <c r="IS12" s="41">
        <v>0</v>
      </c>
      <c r="IT12" s="17">
        <v>1</v>
      </c>
      <c r="IU12" s="41">
        <v>4</v>
      </c>
      <c r="IV12" s="41">
        <f t="shared" si="5"/>
        <v>0</v>
      </c>
      <c r="IW12" s="41">
        <v>818</v>
      </c>
      <c r="IX12" s="41">
        <v>20</v>
      </c>
      <c r="IY12" s="41">
        <v>0</v>
      </c>
      <c r="IZ12" s="41"/>
      <c r="JA12" s="42"/>
      <c r="JB12" s="41">
        <v>0</v>
      </c>
      <c r="JC12" s="41">
        <v>0</v>
      </c>
      <c r="JD12" s="42">
        <v>0</v>
      </c>
      <c r="JE12" s="42">
        <v>0</v>
      </c>
      <c r="JF12" s="41">
        <v>0</v>
      </c>
      <c r="JG12" s="41">
        <v>0</v>
      </c>
      <c r="JH12" s="41">
        <v>0</v>
      </c>
      <c r="JI12" s="41">
        <v>0</v>
      </c>
      <c r="JJ12" s="41">
        <v>0</v>
      </c>
      <c r="JK12" s="41">
        <v>0</v>
      </c>
      <c r="JL12" s="41">
        <v>0</v>
      </c>
      <c r="JM12" s="41">
        <v>0</v>
      </c>
      <c r="JN12" s="41">
        <v>0</v>
      </c>
      <c r="JO12" s="41">
        <v>0</v>
      </c>
      <c r="JP12" s="41">
        <v>0</v>
      </c>
      <c r="JQ12" s="41">
        <v>0</v>
      </c>
      <c r="JR12" s="41">
        <v>0</v>
      </c>
      <c r="JS12" s="41">
        <v>0</v>
      </c>
      <c r="JT12" s="41">
        <v>0</v>
      </c>
    </row>
    <row r="13" spans="1:281" ht="15.75">
      <c r="A13" s="25">
        <v>7</v>
      </c>
      <c r="B13" s="25">
        <v>20190301</v>
      </c>
      <c r="C13" s="25"/>
      <c r="D13" s="25" t="s">
        <v>132</v>
      </c>
      <c r="E13" s="25" t="s">
        <v>132</v>
      </c>
      <c r="F13" s="25" t="s">
        <v>133</v>
      </c>
      <c r="G13" s="25"/>
      <c r="H13" s="25">
        <v>100000007</v>
      </c>
      <c r="I13" s="25" t="s">
        <v>134</v>
      </c>
      <c r="J13" s="25" t="s">
        <v>135</v>
      </c>
      <c r="K13" s="25" t="s">
        <v>132</v>
      </c>
      <c r="L13" s="25">
        <v>4</v>
      </c>
      <c r="M13" s="25">
        <v>1</v>
      </c>
      <c r="N13" s="25">
        <v>1</v>
      </c>
      <c r="O13" s="45" t="s">
        <v>136</v>
      </c>
      <c r="P13" s="25">
        <v>100</v>
      </c>
      <c r="Q13" s="25">
        <v>20180301</v>
      </c>
      <c r="R13" s="25">
        <v>20180301</v>
      </c>
      <c r="S13" s="25" t="s">
        <v>137</v>
      </c>
      <c r="T13" s="25" t="s">
        <v>142</v>
      </c>
      <c r="U13" s="25">
        <v>20190301</v>
      </c>
      <c r="V13" s="25">
        <v>10</v>
      </c>
      <c r="W13" s="25">
        <v>10</v>
      </c>
      <c r="X13" s="25" t="s">
        <v>139</v>
      </c>
      <c r="Y13" s="25">
        <v>0</v>
      </c>
      <c r="Z13" s="25" t="s">
        <v>140</v>
      </c>
      <c r="AA13" s="25">
        <v>818</v>
      </c>
      <c r="AB13" s="41">
        <v>0</v>
      </c>
      <c r="AC13" s="41">
        <v>12</v>
      </c>
      <c r="AD13" s="41">
        <v>20180201</v>
      </c>
      <c r="AE13" s="41">
        <v>0</v>
      </c>
      <c r="AF13" s="26">
        <v>40000</v>
      </c>
      <c r="AG13" s="41">
        <v>134</v>
      </c>
      <c r="AH13" s="26">
        <v>56</v>
      </c>
      <c r="AI13" s="26">
        <v>0</v>
      </c>
      <c r="AJ13" s="26">
        <v>0</v>
      </c>
      <c r="AK13" s="26">
        <v>0</v>
      </c>
      <c r="AL13" s="26">
        <v>0</v>
      </c>
      <c r="AM13" s="26">
        <v>0</v>
      </c>
      <c r="AN13" s="26">
        <v>0</v>
      </c>
      <c r="AO13" s="26">
        <v>0</v>
      </c>
      <c r="AP13" s="26">
        <v>0</v>
      </c>
      <c r="AQ13" s="26">
        <v>0</v>
      </c>
      <c r="AR13" s="26">
        <v>0</v>
      </c>
      <c r="AS13" s="26">
        <v>0</v>
      </c>
      <c r="AT13" s="26">
        <v>0</v>
      </c>
      <c r="AU13" s="26">
        <v>0</v>
      </c>
      <c r="AV13" s="26">
        <v>0</v>
      </c>
      <c r="AW13" s="26">
        <v>0</v>
      </c>
      <c r="AX13" s="26">
        <v>0</v>
      </c>
      <c r="AY13" s="46">
        <v>1</v>
      </c>
      <c r="AZ13" s="25">
        <v>2</v>
      </c>
      <c r="BA13" s="41" t="s">
        <v>203</v>
      </c>
      <c r="BB13" s="41">
        <v>100</v>
      </c>
      <c r="BC13" s="41">
        <v>20180301</v>
      </c>
      <c r="BD13" s="41">
        <v>20180301</v>
      </c>
      <c r="BE13" s="41" t="s">
        <v>198</v>
      </c>
      <c r="BF13" s="41" t="s">
        <v>149</v>
      </c>
      <c r="BG13" s="41">
        <v>20180301</v>
      </c>
      <c r="BH13" s="41">
        <v>0</v>
      </c>
      <c r="BI13" s="41">
        <v>0</v>
      </c>
      <c r="BJ13" s="41"/>
      <c r="BK13" s="41">
        <v>0</v>
      </c>
      <c r="BL13" s="41" t="s">
        <v>140</v>
      </c>
      <c r="BM13" s="41">
        <v>818</v>
      </c>
      <c r="BN13" s="41">
        <v>0</v>
      </c>
      <c r="BO13" s="41">
        <v>12</v>
      </c>
      <c r="BP13" s="41">
        <v>20180201</v>
      </c>
      <c r="BQ13" s="41">
        <v>0</v>
      </c>
      <c r="BR13" s="41">
        <v>0</v>
      </c>
      <c r="BS13" s="41">
        <v>66</v>
      </c>
      <c r="BT13" s="25">
        <v>56</v>
      </c>
      <c r="BU13" s="25">
        <v>0</v>
      </c>
      <c r="BV13" s="25">
        <v>0</v>
      </c>
      <c r="BW13" s="25">
        <v>0</v>
      </c>
      <c r="BX13" s="25">
        <v>0</v>
      </c>
      <c r="BY13" s="25">
        <v>0</v>
      </c>
      <c r="BZ13" s="25">
        <v>0</v>
      </c>
      <c r="CA13" s="25">
        <v>0</v>
      </c>
      <c r="CB13" s="25">
        <v>0</v>
      </c>
      <c r="CC13" s="25">
        <v>0</v>
      </c>
      <c r="CD13" s="25">
        <v>0</v>
      </c>
      <c r="CE13" s="25">
        <v>0</v>
      </c>
      <c r="CF13" s="25">
        <v>0</v>
      </c>
      <c r="CG13" s="25">
        <v>0</v>
      </c>
      <c r="CH13" s="25">
        <v>0</v>
      </c>
      <c r="CI13" s="25">
        <v>0</v>
      </c>
      <c r="CJ13" s="25">
        <v>0</v>
      </c>
      <c r="CK13" s="22">
        <v>1</v>
      </c>
      <c r="CL13" s="25">
        <v>3</v>
      </c>
      <c r="CM13" s="41" t="s">
        <v>151</v>
      </c>
      <c r="CN13" s="41">
        <v>100</v>
      </c>
      <c r="CO13" s="41">
        <v>20180301</v>
      </c>
      <c r="CP13" s="41">
        <v>20180301</v>
      </c>
      <c r="CQ13" s="41" t="s">
        <v>198</v>
      </c>
      <c r="CR13" s="41" t="s">
        <v>200</v>
      </c>
      <c r="CS13" s="41">
        <v>20180301</v>
      </c>
      <c r="CT13" s="41">
        <v>0</v>
      </c>
      <c r="CU13" s="41">
        <v>0</v>
      </c>
      <c r="CV13" s="41"/>
      <c r="CW13" s="41">
        <v>0</v>
      </c>
      <c r="CX13" s="41" t="s">
        <v>140</v>
      </c>
      <c r="CY13" s="41">
        <v>818</v>
      </c>
      <c r="CZ13" s="41">
        <v>0</v>
      </c>
      <c r="DA13" s="41">
        <v>12</v>
      </c>
      <c r="DB13" s="41">
        <v>20180201</v>
      </c>
      <c r="DC13" s="41">
        <v>0</v>
      </c>
      <c r="DD13" s="41">
        <v>0</v>
      </c>
      <c r="DE13" s="41">
        <v>19</v>
      </c>
      <c r="DF13" s="25">
        <v>56</v>
      </c>
      <c r="DG13" s="25">
        <v>0</v>
      </c>
      <c r="DH13" s="25">
        <v>0</v>
      </c>
      <c r="DI13" s="25">
        <v>0</v>
      </c>
      <c r="DJ13" s="25">
        <v>0</v>
      </c>
      <c r="DK13" s="25">
        <v>0</v>
      </c>
      <c r="DL13" s="25">
        <v>0</v>
      </c>
      <c r="DM13" s="25">
        <v>0</v>
      </c>
      <c r="DN13" s="25">
        <v>0</v>
      </c>
      <c r="DO13" s="25">
        <v>0</v>
      </c>
      <c r="DP13" s="25">
        <v>0</v>
      </c>
      <c r="DQ13" s="25">
        <v>0</v>
      </c>
      <c r="DR13" s="25">
        <v>0</v>
      </c>
      <c r="DS13" s="25">
        <v>0</v>
      </c>
      <c r="DT13" s="25">
        <v>0</v>
      </c>
      <c r="DU13" s="25">
        <v>0</v>
      </c>
      <c r="DV13" s="25">
        <v>0</v>
      </c>
      <c r="DW13" s="23">
        <v>1</v>
      </c>
      <c r="DX13" s="25">
        <v>4</v>
      </c>
      <c r="DY13" s="41"/>
      <c r="DZ13" s="41">
        <v>100</v>
      </c>
      <c r="EA13" s="41">
        <v>20180301</v>
      </c>
      <c r="EB13" s="41">
        <v>20180301</v>
      </c>
      <c r="EC13" s="41" t="s">
        <v>198</v>
      </c>
      <c r="ED13" s="41" t="s">
        <v>201</v>
      </c>
      <c r="EE13" s="41">
        <v>20180301</v>
      </c>
      <c r="EF13" s="41">
        <v>0</v>
      </c>
      <c r="EG13" s="41">
        <v>0</v>
      </c>
      <c r="EH13" s="41"/>
      <c r="EI13" s="41">
        <v>0</v>
      </c>
      <c r="EJ13" s="41" t="s">
        <v>140</v>
      </c>
      <c r="EK13" s="41">
        <v>818</v>
      </c>
      <c r="EL13" s="41">
        <v>0</v>
      </c>
      <c r="EM13" s="41">
        <v>12</v>
      </c>
      <c r="EN13" s="41">
        <v>20180201</v>
      </c>
      <c r="EO13" s="41">
        <v>0</v>
      </c>
      <c r="EP13" s="41">
        <v>0</v>
      </c>
      <c r="EQ13" s="41"/>
      <c r="ER13" s="25"/>
      <c r="ES13" s="25">
        <v>0</v>
      </c>
      <c r="ET13" s="25">
        <v>0</v>
      </c>
      <c r="EU13" s="25">
        <v>0</v>
      </c>
      <c r="EV13" s="25">
        <v>0</v>
      </c>
      <c r="EW13" s="25">
        <v>0</v>
      </c>
      <c r="EX13" s="25">
        <v>0</v>
      </c>
      <c r="EY13" s="25">
        <v>0</v>
      </c>
      <c r="EZ13" s="25">
        <v>0</v>
      </c>
      <c r="FA13" s="25">
        <v>0</v>
      </c>
      <c r="FB13" s="25">
        <v>0</v>
      </c>
      <c r="FC13" s="25">
        <v>0</v>
      </c>
      <c r="FD13" s="25">
        <v>0</v>
      </c>
      <c r="FE13" s="25">
        <v>0</v>
      </c>
      <c r="FF13" s="25">
        <v>0</v>
      </c>
      <c r="FG13" s="25">
        <v>0</v>
      </c>
      <c r="FH13" s="25">
        <v>0</v>
      </c>
      <c r="FI13" s="25">
        <v>1</v>
      </c>
      <c r="FJ13" s="25">
        <v>1</v>
      </c>
      <c r="FK13" s="25">
        <v>1</v>
      </c>
      <c r="FL13" s="25">
        <v>56</v>
      </c>
      <c r="FM13" s="25" t="s">
        <v>137</v>
      </c>
      <c r="FN13" s="25">
        <v>19560101</v>
      </c>
      <c r="FP13" s="28">
        <v>4</v>
      </c>
      <c r="FQ13" s="47">
        <v>1</v>
      </c>
      <c r="FR13" s="41">
        <v>1</v>
      </c>
      <c r="FS13" s="41" t="str">
        <f t="shared" si="0"/>
        <v>MFMM</v>
      </c>
      <c r="FT13" s="41">
        <f t="shared" si="1"/>
        <v>818</v>
      </c>
      <c r="FU13" s="41">
        <f t="shared" si="2"/>
        <v>56</v>
      </c>
      <c r="FV13" s="41">
        <v>44000</v>
      </c>
      <c r="FW13" s="41">
        <v>147.4</v>
      </c>
      <c r="FX13" s="41"/>
      <c r="FY13" s="29">
        <v>0</v>
      </c>
      <c r="FZ13" s="29">
        <v>0</v>
      </c>
      <c r="GA13" s="30">
        <v>0</v>
      </c>
      <c r="GB13" s="30">
        <v>0</v>
      </c>
      <c r="GC13" s="29">
        <v>0</v>
      </c>
      <c r="GD13" s="41">
        <v>0</v>
      </c>
      <c r="GE13" s="29">
        <v>0</v>
      </c>
      <c r="GF13" s="29">
        <v>0</v>
      </c>
      <c r="GG13" s="29">
        <v>0</v>
      </c>
      <c r="GH13" s="29">
        <v>0</v>
      </c>
      <c r="GI13" s="29">
        <v>0</v>
      </c>
      <c r="GJ13" s="29">
        <v>0</v>
      </c>
      <c r="GK13" s="29">
        <v>0</v>
      </c>
      <c r="GL13" s="29">
        <v>0</v>
      </c>
      <c r="GM13" s="29">
        <v>0</v>
      </c>
      <c r="GN13" s="29">
        <v>0</v>
      </c>
      <c r="GO13" s="29">
        <v>0</v>
      </c>
      <c r="GP13" s="29">
        <v>0</v>
      </c>
      <c r="GQ13" s="29">
        <v>0</v>
      </c>
      <c r="GR13" s="18">
        <v>1</v>
      </c>
      <c r="GS13" s="41">
        <v>2</v>
      </c>
      <c r="GT13" s="41" t="str">
        <f t="shared" si="3"/>
        <v>PURO</v>
      </c>
      <c r="GU13" s="41">
        <v>818</v>
      </c>
      <c r="GV13" s="41">
        <v>41</v>
      </c>
      <c r="GW13" s="41">
        <v>0</v>
      </c>
      <c r="GX13" s="41">
        <v>72.599999999999994</v>
      </c>
      <c r="GY13" s="41"/>
      <c r="GZ13" s="41">
        <v>0</v>
      </c>
      <c r="HA13" s="41">
        <v>0</v>
      </c>
      <c r="HB13" s="42">
        <v>0</v>
      </c>
      <c r="HC13" s="42">
        <v>0</v>
      </c>
      <c r="HD13" s="41">
        <v>0</v>
      </c>
      <c r="HE13" s="41">
        <v>0</v>
      </c>
      <c r="HF13" s="41">
        <v>0</v>
      </c>
      <c r="HG13" s="41">
        <v>0</v>
      </c>
      <c r="HH13" s="41">
        <v>0</v>
      </c>
      <c r="HI13" s="41">
        <v>0</v>
      </c>
      <c r="HJ13" s="41">
        <v>0</v>
      </c>
      <c r="HK13" s="41">
        <v>0</v>
      </c>
      <c r="HL13" s="41">
        <v>0</v>
      </c>
      <c r="HM13" s="41">
        <v>0</v>
      </c>
      <c r="HN13" s="41">
        <v>0</v>
      </c>
      <c r="HO13" s="41">
        <v>0</v>
      </c>
      <c r="HP13" s="41">
        <v>0</v>
      </c>
      <c r="HQ13" s="41">
        <v>0</v>
      </c>
      <c r="HR13" s="41">
        <v>0</v>
      </c>
      <c r="HS13" s="24">
        <v>1</v>
      </c>
      <c r="HT13" s="41">
        <v>3</v>
      </c>
      <c r="HU13" s="41" t="str">
        <f t="shared" si="4"/>
        <v>PUDS</v>
      </c>
      <c r="HV13" s="41">
        <v>818</v>
      </c>
      <c r="HW13" s="41">
        <v>41</v>
      </c>
      <c r="HX13" s="41">
        <v>0</v>
      </c>
      <c r="HY13" s="41">
        <v>20.9</v>
      </c>
      <c r="HZ13" s="42"/>
      <c r="IA13" s="41">
        <v>0</v>
      </c>
      <c r="IB13" s="41">
        <v>0</v>
      </c>
      <c r="IC13" s="42">
        <v>0</v>
      </c>
      <c r="ID13" s="42">
        <v>0</v>
      </c>
      <c r="IE13" s="41">
        <v>0</v>
      </c>
      <c r="IF13" s="43">
        <v>0</v>
      </c>
      <c r="IG13" s="41">
        <v>0</v>
      </c>
      <c r="IH13" s="41">
        <v>0</v>
      </c>
      <c r="II13" s="41">
        <v>0</v>
      </c>
      <c r="IJ13" s="41">
        <v>0</v>
      </c>
      <c r="IK13" s="41">
        <v>0</v>
      </c>
      <c r="IL13" s="41">
        <v>0</v>
      </c>
      <c r="IM13" s="41">
        <v>0</v>
      </c>
      <c r="IN13" s="41">
        <v>0</v>
      </c>
      <c r="IO13" s="41">
        <v>0</v>
      </c>
      <c r="IP13" s="41">
        <v>0</v>
      </c>
      <c r="IQ13" s="41">
        <v>0</v>
      </c>
      <c r="IR13" s="41">
        <v>0</v>
      </c>
      <c r="IS13" s="41">
        <v>0</v>
      </c>
      <c r="IT13" s="17">
        <v>1</v>
      </c>
      <c r="IU13" s="41">
        <v>4</v>
      </c>
      <c r="IV13" s="41">
        <f t="shared" si="5"/>
        <v>0</v>
      </c>
      <c r="IW13" s="41">
        <v>818</v>
      </c>
      <c r="IX13" s="41">
        <v>41</v>
      </c>
      <c r="IY13" s="41">
        <v>0</v>
      </c>
      <c r="IZ13" s="41"/>
      <c r="JA13" s="42"/>
      <c r="JB13" s="41">
        <v>0</v>
      </c>
      <c r="JC13" s="41">
        <v>0</v>
      </c>
      <c r="JD13" s="42">
        <v>0</v>
      </c>
      <c r="JE13" s="42">
        <v>0</v>
      </c>
      <c r="JF13" s="41">
        <v>0</v>
      </c>
      <c r="JG13" s="41">
        <v>0</v>
      </c>
      <c r="JH13" s="41">
        <v>0</v>
      </c>
      <c r="JI13" s="41">
        <v>0</v>
      </c>
      <c r="JJ13" s="41">
        <v>0</v>
      </c>
      <c r="JK13" s="41">
        <v>0</v>
      </c>
      <c r="JL13" s="41">
        <v>0</v>
      </c>
      <c r="JM13" s="41">
        <v>0</v>
      </c>
      <c r="JN13" s="41">
        <v>0</v>
      </c>
      <c r="JO13" s="41">
        <v>0</v>
      </c>
      <c r="JP13" s="41">
        <v>0</v>
      </c>
      <c r="JQ13" s="41">
        <v>0</v>
      </c>
      <c r="JR13" s="41">
        <v>0</v>
      </c>
      <c r="JS13" s="41">
        <v>0</v>
      </c>
      <c r="JT13" s="41">
        <v>0</v>
      </c>
    </row>
    <row r="14" spans="1:281" ht="15.75">
      <c r="A14" s="25">
        <v>8</v>
      </c>
      <c r="B14" s="25">
        <v>20190301</v>
      </c>
      <c r="C14" s="25"/>
      <c r="D14" s="25" t="s">
        <v>132</v>
      </c>
      <c r="E14" s="25" t="s">
        <v>132</v>
      </c>
      <c r="F14" s="25" t="s">
        <v>133</v>
      </c>
      <c r="G14" s="25"/>
      <c r="H14" s="25">
        <v>100000008</v>
      </c>
      <c r="I14" s="25" t="s">
        <v>134</v>
      </c>
      <c r="J14" s="25" t="s">
        <v>135</v>
      </c>
      <c r="K14" s="25" t="s">
        <v>132</v>
      </c>
      <c r="L14" s="25">
        <v>4</v>
      </c>
      <c r="M14" s="25">
        <v>1</v>
      </c>
      <c r="N14" s="25">
        <v>1</v>
      </c>
      <c r="O14" s="45" t="s">
        <v>136</v>
      </c>
      <c r="P14" s="25">
        <v>100</v>
      </c>
      <c r="Q14" s="25">
        <v>20180301</v>
      </c>
      <c r="R14" s="25">
        <v>20180301</v>
      </c>
      <c r="S14" s="25" t="s">
        <v>137</v>
      </c>
      <c r="T14" s="25" t="s">
        <v>142</v>
      </c>
      <c r="U14" s="25">
        <v>20190301</v>
      </c>
      <c r="V14" s="25">
        <v>6</v>
      </c>
      <c r="W14" s="25">
        <v>6</v>
      </c>
      <c r="X14" s="25" t="s">
        <v>139</v>
      </c>
      <c r="Y14" s="25">
        <v>0</v>
      </c>
      <c r="Z14" s="25" t="s">
        <v>140</v>
      </c>
      <c r="AA14" s="25">
        <v>818</v>
      </c>
      <c r="AB14" s="41">
        <v>0</v>
      </c>
      <c r="AC14" s="41">
        <v>12</v>
      </c>
      <c r="AD14" s="41">
        <v>20180201</v>
      </c>
      <c r="AE14" s="41">
        <v>0</v>
      </c>
      <c r="AF14" s="26">
        <v>45000</v>
      </c>
      <c r="AG14" s="41">
        <v>99</v>
      </c>
      <c r="AH14" s="26">
        <v>40</v>
      </c>
      <c r="AI14" s="26">
        <v>0</v>
      </c>
      <c r="AJ14" s="26">
        <v>0</v>
      </c>
      <c r="AK14" s="26">
        <v>0</v>
      </c>
      <c r="AL14" s="26">
        <v>0</v>
      </c>
      <c r="AM14" s="26">
        <v>0</v>
      </c>
      <c r="AN14" s="26">
        <v>0</v>
      </c>
      <c r="AO14" s="26">
        <v>0</v>
      </c>
      <c r="AP14" s="26">
        <v>0</v>
      </c>
      <c r="AQ14" s="26">
        <v>0</v>
      </c>
      <c r="AR14" s="26">
        <v>0</v>
      </c>
      <c r="AS14" s="26">
        <v>0</v>
      </c>
      <c r="AT14" s="26">
        <v>0</v>
      </c>
      <c r="AU14" s="26">
        <v>0</v>
      </c>
      <c r="AV14" s="26">
        <v>0</v>
      </c>
      <c r="AW14" s="26">
        <v>0</v>
      </c>
      <c r="AX14" s="26">
        <v>0</v>
      </c>
      <c r="AY14" s="46">
        <v>1</v>
      </c>
      <c r="AZ14" s="25">
        <v>2</v>
      </c>
      <c r="BA14" s="41" t="s">
        <v>203</v>
      </c>
      <c r="BB14" s="41">
        <v>100</v>
      </c>
      <c r="BC14" s="41">
        <v>20180301</v>
      </c>
      <c r="BD14" s="41">
        <v>20180301</v>
      </c>
      <c r="BE14" s="41" t="s">
        <v>198</v>
      </c>
      <c r="BF14" s="41" t="s">
        <v>149</v>
      </c>
      <c r="BG14" s="41">
        <v>20180301</v>
      </c>
      <c r="BH14" s="41">
        <v>0</v>
      </c>
      <c r="BI14" s="41">
        <v>0</v>
      </c>
      <c r="BJ14" s="41"/>
      <c r="BK14" s="41">
        <v>0</v>
      </c>
      <c r="BL14" s="41" t="s">
        <v>140</v>
      </c>
      <c r="BM14" s="41">
        <v>818</v>
      </c>
      <c r="BN14" s="41">
        <v>0</v>
      </c>
      <c r="BO14" s="41">
        <v>12</v>
      </c>
      <c r="BP14" s="41">
        <v>20180201</v>
      </c>
      <c r="BQ14" s="41">
        <v>0</v>
      </c>
      <c r="BR14" s="41">
        <v>0</v>
      </c>
      <c r="BS14" s="41">
        <v>21</v>
      </c>
      <c r="BT14" s="25">
        <v>40</v>
      </c>
      <c r="BU14" s="25">
        <v>0</v>
      </c>
      <c r="BV14" s="25">
        <v>0</v>
      </c>
      <c r="BW14" s="25">
        <v>0</v>
      </c>
      <c r="BX14" s="25">
        <v>0</v>
      </c>
      <c r="BY14" s="25">
        <v>0</v>
      </c>
      <c r="BZ14" s="25">
        <v>0</v>
      </c>
      <c r="CA14" s="25">
        <v>0</v>
      </c>
      <c r="CB14" s="25">
        <v>0</v>
      </c>
      <c r="CC14" s="25">
        <v>0</v>
      </c>
      <c r="CD14" s="25">
        <v>0</v>
      </c>
      <c r="CE14" s="25">
        <v>0</v>
      </c>
      <c r="CF14" s="25">
        <v>0</v>
      </c>
      <c r="CG14" s="25">
        <v>0</v>
      </c>
      <c r="CH14" s="25">
        <v>0</v>
      </c>
      <c r="CI14" s="25">
        <v>0</v>
      </c>
      <c r="CJ14" s="25">
        <v>0</v>
      </c>
      <c r="CK14" s="22">
        <v>1</v>
      </c>
      <c r="CL14" s="25">
        <v>3</v>
      </c>
      <c r="CM14" s="41" t="s">
        <v>151</v>
      </c>
      <c r="CN14" s="41">
        <v>100</v>
      </c>
      <c r="CO14" s="41">
        <v>20180301</v>
      </c>
      <c r="CP14" s="41">
        <v>20180301</v>
      </c>
      <c r="CQ14" s="41" t="s">
        <v>198</v>
      </c>
      <c r="CR14" s="41" t="s">
        <v>200</v>
      </c>
      <c r="CS14" s="41">
        <v>20180301</v>
      </c>
      <c r="CT14" s="41">
        <v>0</v>
      </c>
      <c r="CU14" s="41">
        <v>0</v>
      </c>
      <c r="CV14" s="41"/>
      <c r="CW14" s="41">
        <v>0</v>
      </c>
      <c r="CX14" s="41" t="s">
        <v>140</v>
      </c>
      <c r="CY14" s="41">
        <v>818</v>
      </c>
      <c r="CZ14" s="41">
        <v>0</v>
      </c>
      <c r="DA14" s="41">
        <v>12</v>
      </c>
      <c r="DB14" s="41">
        <v>20180201</v>
      </c>
      <c r="DC14" s="41">
        <v>0</v>
      </c>
      <c r="DD14" s="41">
        <v>0</v>
      </c>
      <c r="DE14" s="41">
        <v>10</v>
      </c>
      <c r="DF14" s="25">
        <v>40</v>
      </c>
      <c r="DG14" s="25">
        <v>0</v>
      </c>
      <c r="DH14" s="25">
        <v>0</v>
      </c>
      <c r="DI14" s="25">
        <v>0</v>
      </c>
      <c r="DJ14" s="25">
        <v>0</v>
      </c>
      <c r="DK14" s="25">
        <v>0</v>
      </c>
      <c r="DL14" s="25">
        <v>0</v>
      </c>
      <c r="DM14" s="25">
        <v>0</v>
      </c>
      <c r="DN14" s="25">
        <v>0</v>
      </c>
      <c r="DO14" s="25">
        <v>0</v>
      </c>
      <c r="DP14" s="25">
        <v>0</v>
      </c>
      <c r="DQ14" s="25">
        <v>0</v>
      </c>
      <c r="DR14" s="25">
        <v>0</v>
      </c>
      <c r="DS14" s="25">
        <v>0</v>
      </c>
      <c r="DT14" s="25">
        <v>0</v>
      </c>
      <c r="DU14" s="25">
        <v>0</v>
      </c>
      <c r="DV14" s="25">
        <v>0</v>
      </c>
      <c r="DW14" s="23">
        <v>1</v>
      </c>
      <c r="DX14" s="25">
        <v>4</v>
      </c>
      <c r="DY14" s="41"/>
      <c r="DZ14" s="41">
        <v>100</v>
      </c>
      <c r="EA14" s="41">
        <v>20180301</v>
      </c>
      <c r="EB14" s="41">
        <v>20180301</v>
      </c>
      <c r="EC14" s="41" t="s">
        <v>198</v>
      </c>
      <c r="ED14" s="41" t="s">
        <v>201</v>
      </c>
      <c r="EE14" s="41">
        <v>20180301</v>
      </c>
      <c r="EF14" s="41">
        <v>0</v>
      </c>
      <c r="EG14" s="41">
        <v>0</v>
      </c>
      <c r="EH14" s="41"/>
      <c r="EI14" s="41">
        <v>0</v>
      </c>
      <c r="EJ14" s="41" t="s">
        <v>140</v>
      </c>
      <c r="EK14" s="41">
        <v>818</v>
      </c>
      <c r="EL14" s="41">
        <v>0</v>
      </c>
      <c r="EM14" s="41">
        <v>12</v>
      </c>
      <c r="EN14" s="41">
        <v>20180201</v>
      </c>
      <c r="EO14" s="41">
        <v>0</v>
      </c>
      <c r="EP14" s="41">
        <v>0</v>
      </c>
      <c r="EQ14" s="41"/>
      <c r="ER14" s="25"/>
      <c r="ES14" s="25">
        <v>0</v>
      </c>
      <c r="ET14" s="25">
        <v>0</v>
      </c>
      <c r="EU14" s="25">
        <v>0</v>
      </c>
      <c r="EV14" s="25">
        <v>0</v>
      </c>
      <c r="EW14" s="25">
        <v>0</v>
      </c>
      <c r="EX14" s="25">
        <v>0</v>
      </c>
      <c r="EY14" s="25">
        <v>0</v>
      </c>
      <c r="EZ14" s="25">
        <v>0</v>
      </c>
      <c r="FA14" s="25">
        <v>0</v>
      </c>
      <c r="FB14" s="25">
        <v>0</v>
      </c>
      <c r="FC14" s="25">
        <v>0</v>
      </c>
      <c r="FD14" s="25">
        <v>0</v>
      </c>
      <c r="FE14" s="25">
        <v>0</v>
      </c>
      <c r="FF14" s="25">
        <v>0</v>
      </c>
      <c r="FG14" s="25">
        <v>0</v>
      </c>
      <c r="FH14" s="25">
        <v>0</v>
      </c>
      <c r="FI14" s="25">
        <v>1</v>
      </c>
      <c r="FJ14" s="25">
        <v>1</v>
      </c>
      <c r="FK14" s="25">
        <v>1</v>
      </c>
      <c r="FL14" s="25">
        <v>40</v>
      </c>
      <c r="FM14" s="25" t="s">
        <v>137</v>
      </c>
      <c r="FN14" s="25">
        <v>19570101</v>
      </c>
      <c r="FP14" s="28">
        <v>4</v>
      </c>
      <c r="FQ14" s="47">
        <v>1</v>
      </c>
      <c r="FR14" s="41">
        <v>1</v>
      </c>
      <c r="FS14" s="41" t="str">
        <f t="shared" si="0"/>
        <v>MFMM</v>
      </c>
      <c r="FT14" s="41">
        <f t="shared" si="1"/>
        <v>818</v>
      </c>
      <c r="FU14" s="41">
        <f t="shared" si="2"/>
        <v>40</v>
      </c>
      <c r="FV14" s="41">
        <v>47700</v>
      </c>
      <c r="FW14" s="41">
        <v>104.94</v>
      </c>
      <c r="FX14" s="41"/>
      <c r="FY14" s="29">
        <v>0</v>
      </c>
      <c r="FZ14" s="29">
        <v>0</v>
      </c>
      <c r="GA14" s="30">
        <v>0</v>
      </c>
      <c r="GB14" s="30">
        <v>0</v>
      </c>
      <c r="GC14" s="29">
        <v>0</v>
      </c>
      <c r="GD14" s="41">
        <v>0</v>
      </c>
      <c r="GE14" s="29">
        <v>0</v>
      </c>
      <c r="GF14" s="29">
        <v>0</v>
      </c>
      <c r="GG14" s="29">
        <v>0</v>
      </c>
      <c r="GH14" s="29">
        <v>0</v>
      </c>
      <c r="GI14" s="29">
        <v>0</v>
      </c>
      <c r="GJ14" s="29">
        <v>0</v>
      </c>
      <c r="GK14" s="29">
        <v>0</v>
      </c>
      <c r="GL14" s="29">
        <v>0</v>
      </c>
      <c r="GM14" s="29">
        <v>0</v>
      </c>
      <c r="GN14" s="29">
        <v>0</v>
      </c>
      <c r="GO14" s="29">
        <v>0</v>
      </c>
      <c r="GP14" s="29">
        <v>0</v>
      </c>
      <c r="GQ14" s="29">
        <v>0</v>
      </c>
      <c r="GR14" s="18">
        <v>1</v>
      </c>
      <c r="GS14" s="41">
        <v>2</v>
      </c>
      <c r="GT14" s="41" t="str">
        <f t="shared" si="3"/>
        <v>PURO</v>
      </c>
      <c r="GU14" s="41">
        <v>818</v>
      </c>
      <c r="GV14" s="41">
        <v>42</v>
      </c>
      <c r="GW14" s="41">
        <v>0</v>
      </c>
      <c r="GX14" s="41">
        <v>22.26</v>
      </c>
      <c r="GY14" s="41"/>
      <c r="GZ14" s="41">
        <v>0</v>
      </c>
      <c r="HA14" s="41">
        <v>0</v>
      </c>
      <c r="HB14" s="42">
        <v>0</v>
      </c>
      <c r="HC14" s="42">
        <v>0</v>
      </c>
      <c r="HD14" s="41">
        <v>0</v>
      </c>
      <c r="HE14" s="41">
        <v>0</v>
      </c>
      <c r="HF14" s="41">
        <v>0</v>
      </c>
      <c r="HG14" s="41">
        <v>0</v>
      </c>
      <c r="HH14" s="41">
        <v>0</v>
      </c>
      <c r="HI14" s="41">
        <v>0</v>
      </c>
      <c r="HJ14" s="41">
        <v>0</v>
      </c>
      <c r="HK14" s="41">
        <v>0</v>
      </c>
      <c r="HL14" s="41">
        <v>0</v>
      </c>
      <c r="HM14" s="41">
        <v>0</v>
      </c>
      <c r="HN14" s="41">
        <v>0</v>
      </c>
      <c r="HO14" s="41">
        <v>0</v>
      </c>
      <c r="HP14" s="41">
        <v>0</v>
      </c>
      <c r="HQ14" s="41">
        <v>0</v>
      </c>
      <c r="HR14" s="41">
        <v>0</v>
      </c>
      <c r="HS14" s="24">
        <v>1</v>
      </c>
      <c r="HT14" s="41">
        <v>3</v>
      </c>
      <c r="HU14" s="41" t="str">
        <f t="shared" si="4"/>
        <v>PUDS</v>
      </c>
      <c r="HV14" s="41">
        <v>818</v>
      </c>
      <c r="HW14" s="41">
        <v>42</v>
      </c>
      <c r="HX14" s="41">
        <v>0</v>
      </c>
      <c r="HY14" s="41">
        <v>10.6</v>
      </c>
      <c r="HZ14" s="42"/>
      <c r="IA14" s="41">
        <v>0</v>
      </c>
      <c r="IB14" s="41">
        <v>0</v>
      </c>
      <c r="IC14" s="42">
        <v>0</v>
      </c>
      <c r="ID14" s="42">
        <v>0</v>
      </c>
      <c r="IE14" s="41">
        <v>0</v>
      </c>
      <c r="IF14" s="43">
        <v>0</v>
      </c>
      <c r="IG14" s="41">
        <v>0</v>
      </c>
      <c r="IH14" s="41">
        <v>0</v>
      </c>
      <c r="II14" s="41">
        <v>0</v>
      </c>
      <c r="IJ14" s="41">
        <v>0</v>
      </c>
      <c r="IK14" s="41">
        <v>0</v>
      </c>
      <c r="IL14" s="41">
        <v>0</v>
      </c>
      <c r="IM14" s="41">
        <v>0</v>
      </c>
      <c r="IN14" s="41">
        <v>0</v>
      </c>
      <c r="IO14" s="41">
        <v>0</v>
      </c>
      <c r="IP14" s="41">
        <v>0</v>
      </c>
      <c r="IQ14" s="41">
        <v>0</v>
      </c>
      <c r="IR14" s="41">
        <v>0</v>
      </c>
      <c r="IS14" s="41">
        <v>0</v>
      </c>
      <c r="IT14" s="17">
        <v>1</v>
      </c>
      <c r="IU14" s="41">
        <v>4</v>
      </c>
      <c r="IV14" s="41">
        <f t="shared" si="5"/>
        <v>0</v>
      </c>
      <c r="IW14" s="41">
        <v>818</v>
      </c>
      <c r="IX14" s="41">
        <v>42</v>
      </c>
      <c r="IY14" s="41">
        <v>0</v>
      </c>
      <c r="IZ14" s="41"/>
      <c r="JA14" s="42"/>
      <c r="JB14" s="41">
        <v>0</v>
      </c>
      <c r="JC14" s="41">
        <v>0</v>
      </c>
      <c r="JD14" s="42">
        <v>0</v>
      </c>
      <c r="JE14" s="42">
        <v>0</v>
      </c>
      <c r="JF14" s="41">
        <v>0</v>
      </c>
      <c r="JG14" s="41">
        <v>0</v>
      </c>
      <c r="JH14" s="41">
        <v>0</v>
      </c>
      <c r="JI14" s="41">
        <v>0</v>
      </c>
      <c r="JJ14" s="41">
        <v>0</v>
      </c>
      <c r="JK14" s="41">
        <v>0</v>
      </c>
      <c r="JL14" s="41">
        <v>0</v>
      </c>
      <c r="JM14" s="41">
        <v>0</v>
      </c>
      <c r="JN14" s="41">
        <v>0</v>
      </c>
      <c r="JO14" s="41">
        <v>0</v>
      </c>
      <c r="JP14" s="41">
        <v>0</v>
      </c>
      <c r="JQ14" s="41">
        <v>0</v>
      </c>
      <c r="JR14" s="41">
        <v>0</v>
      </c>
      <c r="JS14" s="41">
        <v>0</v>
      </c>
      <c r="JT14" s="41">
        <v>0</v>
      </c>
    </row>
    <row r="15" spans="1:281" ht="15.75">
      <c r="A15" s="25">
        <v>9</v>
      </c>
      <c r="B15" s="25">
        <v>20190301</v>
      </c>
      <c r="C15" s="25"/>
      <c r="D15" s="25" t="s">
        <v>132</v>
      </c>
      <c r="E15" s="25" t="s">
        <v>132</v>
      </c>
      <c r="F15" s="25" t="s">
        <v>133</v>
      </c>
      <c r="G15" s="25"/>
      <c r="H15" s="25">
        <v>100000009</v>
      </c>
      <c r="I15" s="25" t="s">
        <v>134</v>
      </c>
      <c r="J15" s="25" t="s">
        <v>135</v>
      </c>
      <c r="K15" s="25" t="s">
        <v>132</v>
      </c>
      <c r="L15" s="25">
        <v>4</v>
      </c>
      <c r="M15" s="25">
        <v>1</v>
      </c>
      <c r="N15" s="25">
        <v>1</v>
      </c>
      <c r="O15" s="45" t="s">
        <v>136</v>
      </c>
      <c r="P15" s="25">
        <v>100</v>
      </c>
      <c r="Q15" s="25">
        <v>20180301</v>
      </c>
      <c r="R15" s="25">
        <v>20180301</v>
      </c>
      <c r="S15" s="25" t="s">
        <v>137</v>
      </c>
      <c r="T15" s="25" t="s">
        <v>142</v>
      </c>
      <c r="U15" s="25">
        <v>20190301</v>
      </c>
      <c r="V15" s="25">
        <v>6</v>
      </c>
      <c r="W15" s="25">
        <v>6</v>
      </c>
      <c r="X15" s="25" t="s">
        <v>139</v>
      </c>
      <c r="Y15" s="25">
        <v>0</v>
      </c>
      <c r="Z15" s="25" t="s">
        <v>140</v>
      </c>
      <c r="AA15" s="25">
        <v>818</v>
      </c>
      <c r="AB15" s="41">
        <v>0</v>
      </c>
      <c r="AC15" s="41">
        <v>12</v>
      </c>
      <c r="AD15" s="41">
        <v>20180201</v>
      </c>
      <c r="AE15" s="41">
        <v>0</v>
      </c>
      <c r="AF15" s="26">
        <v>50000</v>
      </c>
      <c r="AG15" s="41">
        <v>107</v>
      </c>
      <c r="AH15" s="26">
        <v>39</v>
      </c>
      <c r="AI15" s="26">
        <v>0</v>
      </c>
      <c r="AJ15" s="26">
        <v>0</v>
      </c>
      <c r="AK15" s="26">
        <v>0</v>
      </c>
      <c r="AL15" s="26">
        <v>0</v>
      </c>
      <c r="AM15" s="26">
        <v>0</v>
      </c>
      <c r="AN15" s="26">
        <v>0</v>
      </c>
      <c r="AO15" s="26">
        <v>0</v>
      </c>
      <c r="AP15" s="26">
        <v>0</v>
      </c>
      <c r="AQ15" s="26">
        <v>0</v>
      </c>
      <c r="AR15" s="26">
        <v>0</v>
      </c>
      <c r="AS15" s="26">
        <v>0</v>
      </c>
      <c r="AT15" s="26">
        <v>0</v>
      </c>
      <c r="AU15" s="26">
        <v>0</v>
      </c>
      <c r="AV15" s="26">
        <v>0</v>
      </c>
      <c r="AW15" s="26">
        <v>0</v>
      </c>
      <c r="AX15" s="26">
        <v>0</v>
      </c>
      <c r="AY15" s="46">
        <v>1</v>
      </c>
      <c r="AZ15" s="25">
        <v>2</v>
      </c>
      <c r="BA15" s="41" t="s">
        <v>203</v>
      </c>
      <c r="BB15" s="41">
        <v>100</v>
      </c>
      <c r="BC15" s="41">
        <v>20180301</v>
      </c>
      <c r="BD15" s="41">
        <v>20180301</v>
      </c>
      <c r="BE15" s="41" t="s">
        <v>198</v>
      </c>
      <c r="BF15" s="41" t="s">
        <v>149</v>
      </c>
      <c r="BG15" s="41">
        <v>20180301</v>
      </c>
      <c r="BH15" s="41">
        <v>0</v>
      </c>
      <c r="BI15" s="41">
        <v>0</v>
      </c>
      <c r="BJ15" s="41"/>
      <c r="BK15" s="41">
        <v>0</v>
      </c>
      <c r="BL15" s="41" t="s">
        <v>140</v>
      </c>
      <c r="BM15" s="41">
        <v>818</v>
      </c>
      <c r="BN15" s="41">
        <v>0</v>
      </c>
      <c r="BO15" s="41">
        <v>12</v>
      </c>
      <c r="BP15" s="41">
        <v>20180201</v>
      </c>
      <c r="BQ15" s="41">
        <v>0</v>
      </c>
      <c r="BR15" s="41">
        <v>0</v>
      </c>
      <c r="BS15" s="41">
        <v>22</v>
      </c>
      <c r="BT15" s="25">
        <v>39</v>
      </c>
      <c r="BU15" s="25">
        <v>0</v>
      </c>
      <c r="BV15" s="25">
        <v>0</v>
      </c>
      <c r="BW15" s="25">
        <v>0</v>
      </c>
      <c r="BX15" s="25">
        <v>0</v>
      </c>
      <c r="BY15" s="25">
        <v>0</v>
      </c>
      <c r="BZ15" s="25">
        <v>0</v>
      </c>
      <c r="CA15" s="25">
        <v>0</v>
      </c>
      <c r="CB15" s="25">
        <v>0</v>
      </c>
      <c r="CC15" s="25">
        <v>0</v>
      </c>
      <c r="CD15" s="25">
        <v>0</v>
      </c>
      <c r="CE15" s="25">
        <v>0</v>
      </c>
      <c r="CF15" s="25">
        <v>0</v>
      </c>
      <c r="CG15" s="25">
        <v>0</v>
      </c>
      <c r="CH15" s="25">
        <v>0</v>
      </c>
      <c r="CI15" s="25">
        <v>0</v>
      </c>
      <c r="CJ15" s="25">
        <v>0</v>
      </c>
      <c r="CK15" s="22">
        <v>1</v>
      </c>
      <c r="CL15" s="25">
        <v>3</v>
      </c>
      <c r="CM15" s="41" t="s">
        <v>151</v>
      </c>
      <c r="CN15" s="41">
        <v>100</v>
      </c>
      <c r="CO15" s="41">
        <v>20180301</v>
      </c>
      <c r="CP15" s="41">
        <v>20180301</v>
      </c>
      <c r="CQ15" s="41" t="s">
        <v>198</v>
      </c>
      <c r="CR15" s="41" t="s">
        <v>200</v>
      </c>
      <c r="CS15" s="41">
        <v>20180301</v>
      </c>
      <c r="CT15" s="41">
        <v>0</v>
      </c>
      <c r="CU15" s="41">
        <v>0</v>
      </c>
      <c r="CV15" s="41"/>
      <c r="CW15" s="41">
        <v>0</v>
      </c>
      <c r="CX15" s="41" t="s">
        <v>140</v>
      </c>
      <c r="CY15" s="41">
        <v>818</v>
      </c>
      <c r="CZ15" s="41">
        <v>0</v>
      </c>
      <c r="DA15" s="41">
        <v>12</v>
      </c>
      <c r="DB15" s="41">
        <v>20180201</v>
      </c>
      <c r="DC15" s="41">
        <v>0</v>
      </c>
      <c r="DD15" s="41">
        <v>0</v>
      </c>
      <c r="DE15" s="41">
        <v>10</v>
      </c>
      <c r="DF15" s="25">
        <v>39</v>
      </c>
      <c r="DG15" s="25">
        <v>0</v>
      </c>
      <c r="DH15" s="25">
        <v>0</v>
      </c>
      <c r="DI15" s="25">
        <v>0</v>
      </c>
      <c r="DJ15" s="25">
        <v>0</v>
      </c>
      <c r="DK15" s="25">
        <v>0</v>
      </c>
      <c r="DL15" s="25">
        <v>0</v>
      </c>
      <c r="DM15" s="25">
        <v>0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0</v>
      </c>
      <c r="DV15" s="25">
        <v>0</v>
      </c>
      <c r="DW15" s="23">
        <v>1</v>
      </c>
      <c r="DX15" s="25">
        <v>4</v>
      </c>
      <c r="DY15" s="41"/>
      <c r="DZ15" s="41">
        <v>100</v>
      </c>
      <c r="EA15" s="41">
        <v>20180301</v>
      </c>
      <c r="EB15" s="41">
        <v>20180301</v>
      </c>
      <c r="EC15" s="41" t="s">
        <v>198</v>
      </c>
      <c r="ED15" s="41" t="s">
        <v>201</v>
      </c>
      <c r="EE15" s="41">
        <v>20180301</v>
      </c>
      <c r="EF15" s="41">
        <v>0</v>
      </c>
      <c r="EG15" s="41">
        <v>0</v>
      </c>
      <c r="EH15" s="41"/>
      <c r="EI15" s="41">
        <v>0</v>
      </c>
      <c r="EJ15" s="41" t="s">
        <v>140</v>
      </c>
      <c r="EK15" s="41">
        <v>818</v>
      </c>
      <c r="EL15" s="41">
        <v>0</v>
      </c>
      <c r="EM15" s="41">
        <v>12</v>
      </c>
      <c r="EN15" s="41">
        <v>20180201</v>
      </c>
      <c r="EO15" s="41">
        <v>0</v>
      </c>
      <c r="EP15" s="41">
        <v>0</v>
      </c>
      <c r="EQ15" s="41"/>
      <c r="ER15" s="25"/>
      <c r="ES15" s="25">
        <v>0</v>
      </c>
      <c r="ET15" s="25">
        <v>0</v>
      </c>
      <c r="EU15" s="25">
        <v>0</v>
      </c>
      <c r="EV15" s="25">
        <v>0</v>
      </c>
      <c r="EW15" s="25">
        <v>0</v>
      </c>
      <c r="EX15" s="25">
        <v>0</v>
      </c>
      <c r="EY15" s="25">
        <v>0</v>
      </c>
      <c r="EZ15" s="25">
        <v>0</v>
      </c>
      <c r="FA15" s="25">
        <v>0</v>
      </c>
      <c r="FB15" s="25">
        <v>0</v>
      </c>
      <c r="FC15" s="25">
        <v>0</v>
      </c>
      <c r="FD15" s="25">
        <v>0</v>
      </c>
      <c r="FE15" s="25">
        <v>0</v>
      </c>
      <c r="FF15" s="25">
        <v>0</v>
      </c>
      <c r="FG15" s="25">
        <v>0</v>
      </c>
      <c r="FH15" s="25">
        <v>0</v>
      </c>
      <c r="FI15" s="25">
        <v>1</v>
      </c>
      <c r="FJ15" s="25">
        <v>1</v>
      </c>
      <c r="FK15" s="25">
        <v>1</v>
      </c>
      <c r="FL15" s="25">
        <v>39</v>
      </c>
      <c r="FM15" s="25" t="s">
        <v>137</v>
      </c>
      <c r="FN15" s="25">
        <v>19550101</v>
      </c>
      <c r="FP15" s="28">
        <v>4</v>
      </c>
      <c r="FQ15" s="47">
        <v>1</v>
      </c>
      <c r="FR15" s="41">
        <v>1</v>
      </c>
      <c r="FS15" s="41" t="str">
        <f t="shared" si="0"/>
        <v>MFMM</v>
      </c>
      <c r="FT15" s="41">
        <f t="shared" si="1"/>
        <v>818</v>
      </c>
      <c r="FU15" s="41">
        <f t="shared" si="2"/>
        <v>39</v>
      </c>
      <c r="FV15" s="41">
        <v>53000</v>
      </c>
      <c r="FW15" s="41">
        <v>113.42</v>
      </c>
      <c r="FX15" s="41"/>
      <c r="FY15" s="29">
        <v>0</v>
      </c>
      <c r="FZ15" s="29">
        <v>0</v>
      </c>
      <c r="GA15" s="30">
        <v>0</v>
      </c>
      <c r="GB15" s="30">
        <v>0</v>
      </c>
      <c r="GC15" s="29">
        <v>0</v>
      </c>
      <c r="GD15" s="41">
        <v>0</v>
      </c>
      <c r="GE15" s="29">
        <v>0</v>
      </c>
      <c r="GF15" s="29">
        <v>0</v>
      </c>
      <c r="GG15" s="29">
        <v>0</v>
      </c>
      <c r="GH15" s="29">
        <v>0</v>
      </c>
      <c r="GI15" s="29">
        <v>0</v>
      </c>
      <c r="GJ15" s="29">
        <v>0</v>
      </c>
      <c r="GK15" s="29">
        <v>0</v>
      </c>
      <c r="GL15" s="29">
        <v>0</v>
      </c>
      <c r="GM15" s="29">
        <v>0</v>
      </c>
      <c r="GN15" s="29">
        <v>0</v>
      </c>
      <c r="GO15" s="29">
        <v>0</v>
      </c>
      <c r="GP15" s="29">
        <v>0</v>
      </c>
      <c r="GQ15" s="29">
        <v>0</v>
      </c>
      <c r="GR15" s="18">
        <v>1</v>
      </c>
      <c r="GS15" s="41">
        <v>2</v>
      </c>
      <c r="GT15" s="41" t="str">
        <f t="shared" si="3"/>
        <v>PURO</v>
      </c>
      <c r="GU15" s="41">
        <v>818</v>
      </c>
      <c r="GV15" s="41">
        <v>43</v>
      </c>
      <c r="GW15" s="41">
        <v>0</v>
      </c>
      <c r="GX15" s="41">
        <v>23.32</v>
      </c>
      <c r="GY15" s="41"/>
      <c r="GZ15" s="41">
        <v>0</v>
      </c>
      <c r="HA15" s="41">
        <v>0</v>
      </c>
      <c r="HB15" s="42">
        <v>0</v>
      </c>
      <c r="HC15" s="42">
        <v>0</v>
      </c>
      <c r="HD15" s="41">
        <v>0</v>
      </c>
      <c r="HE15" s="41">
        <v>0</v>
      </c>
      <c r="HF15" s="41">
        <v>0</v>
      </c>
      <c r="HG15" s="41">
        <v>0</v>
      </c>
      <c r="HH15" s="41">
        <v>0</v>
      </c>
      <c r="HI15" s="41">
        <v>0</v>
      </c>
      <c r="HJ15" s="41">
        <v>0</v>
      </c>
      <c r="HK15" s="41">
        <v>0</v>
      </c>
      <c r="HL15" s="41">
        <v>0</v>
      </c>
      <c r="HM15" s="41">
        <v>0</v>
      </c>
      <c r="HN15" s="41">
        <v>0</v>
      </c>
      <c r="HO15" s="41">
        <v>0</v>
      </c>
      <c r="HP15" s="41">
        <v>0</v>
      </c>
      <c r="HQ15" s="41">
        <v>0</v>
      </c>
      <c r="HR15" s="41">
        <v>0</v>
      </c>
      <c r="HS15" s="24">
        <v>1</v>
      </c>
      <c r="HT15" s="41">
        <v>3</v>
      </c>
      <c r="HU15" s="41" t="str">
        <f t="shared" si="4"/>
        <v>PUDS</v>
      </c>
      <c r="HV15" s="41">
        <v>818</v>
      </c>
      <c r="HW15" s="41">
        <v>43</v>
      </c>
      <c r="HX15" s="41">
        <v>0</v>
      </c>
      <c r="HY15" s="41">
        <v>10.6</v>
      </c>
      <c r="HZ15" s="42"/>
      <c r="IA15" s="41">
        <v>0</v>
      </c>
      <c r="IB15" s="41">
        <v>0</v>
      </c>
      <c r="IC15" s="42">
        <v>0</v>
      </c>
      <c r="ID15" s="42">
        <v>0</v>
      </c>
      <c r="IE15" s="41">
        <v>0</v>
      </c>
      <c r="IF15" s="43">
        <v>0</v>
      </c>
      <c r="IG15" s="41">
        <v>0</v>
      </c>
      <c r="IH15" s="41">
        <v>0</v>
      </c>
      <c r="II15" s="41">
        <v>0</v>
      </c>
      <c r="IJ15" s="41">
        <v>0</v>
      </c>
      <c r="IK15" s="41">
        <v>0</v>
      </c>
      <c r="IL15" s="41">
        <v>0</v>
      </c>
      <c r="IM15" s="41">
        <v>0</v>
      </c>
      <c r="IN15" s="41">
        <v>0</v>
      </c>
      <c r="IO15" s="41">
        <v>0</v>
      </c>
      <c r="IP15" s="41">
        <v>0</v>
      </c>
      <c r="IQ15" s="41">
        <v>0</v>
      </c>
      <c r="IR15" s="41">
        <v>0</v>
      </c>
      <c r="IS15" s="41">
        <v>0</v>
      </c>
      <c r="IT15" s="17">
        <v>1</v>
      </c>
      <c r="IU15" s="41">
        <v>4</v>
      </c>
      <c r="IV15" s="41">
        <f t="shared" si="5"/>
        <v>0</v>
      </c>
      <c r="IW15" s="41">
        <v>818</v>
      </c>
      <c r="IX15" s="41">
        <v>43</v>
      </c>
      <c r="IY15" s="41">
        <v>0</v>
      </c>
      <c r="IZ15" s="41"/>
      <c r="JA15" s="42"/>
      <c r="JB15" s="41">
        <v>0</v>
      </c>
      <c r="JC15" s="41">
        <v>0</v>
      </c>
      <c r="JD15" s="42">
        <v>0</v>
      </c>
      <c r="JE15" s="42">
        <v>0</v>
      </c>
      <c r="JF15" s="41">
        <v>0</v>
      </c>
      <c r="JG15" s="41">
        <v>0</v>
      </c>
      <c r="JH15" s="41">
        <v>0</v>
      </c>
      <c r="JI15" s="41">
        <v>0</v>
      </c>
      <c r="JJ15" s="41">
        <v>0</v>
      </c>
      <c r="JK15" s="41">
        <v>0</v>
      </c>
      <c r="JL15" s="41">
        <v>0</v>
      </c>
      <c r="JM15" s="41">
        <v>0</v>
      </c>
      <c r="JN15" s="41">
        <v>0</v>
      </c>
      <c r="JO15" s="41">
        <v>0</v>
      </c>
      <c r="JP15" s="41">
        <v>0</v>
      </c>
      <c r="JQ15" s="41">
        <v>0</v>
      </c>
      <c r="JR15" s="41">
        <v>0</v>
      </c>
      <c r="JS15" s="41">
        <v>0</v>
      </c>
      <c r="JT15" s="41">
        <v>0</v>
      </c>
    </row>
    <row r="16" spans="1:281" ht="15.75">
      <c r="A16" s="25">
        <v>10</v>
      </c>
      <c r="B16" s="25">
        <v>20190301</v>
      </c>
      <c r="C16" s="25"/>
      <c r="D16" s="25" t="s">
        <v>132</v>
      </c>
      <c r="E16" s="25" t="s">
        <v>132</v>
      </c>
      <c r="F16" s="25" t="s">
        <v>133</v>
      </c>
      <c r="G16" s="25"/>
      <c r="H16" s="25">
        <v>100000010</v>
      </c>
      <c r="I16" s="25" t="s">
        <v>134</v>
      </c>
      <c r="J16" s="25" t="s">
        <v>135</v>
      </c>
      <c r="K16" s="25" t="s">
        <v>132</v>
      </c>
      <c r="L16" s="25">
        <v>4</v>
      </c>
      <c r="M16" s="25">
        <v>1</v>
      </c>
      <c r="N16" s="25">
        <v>1</v>
      </c>
      <c r="O16" s="45" t="s">
        <v>136</v>
      </c>
      <c r="P16" s="25">
        <v>100</v>
      </c>
      <c r="Q16" s="25">
        <v>20180301</v>
      </c>
      <c r="R16" s="25">
        <v>20180301</v>
      </c>
      <c r="S16" s="25" t="s">
        <v>137</v>
      </c>
      <c r="T16" s="25" t="s">
        <v>142</v>
      </c>
      <c r="U16" s="25">
        <v>20190301</v>
      </c>
      <c r="V16" s="25">
        <v>6</v>
      </c>
      <c r="W16" s="25">
        <v>6</v>
      </c>
      <c r="X16" s="25" t="s">
        <v>139</v>
      </c>
      <c r="Y16" s="25">
        <v>0</v>
      </c>
      <c r="Z16" s="25" t="s">
        <v>140</v>
      </c>
      <c r="AA16" s="25">
        <v>818</v>
      </c>
      <c r="AB16" s="41">
        <v>0</v>
      </c>
      <c r="AC16" s="41">
        <v>12</v>
      </c>
      <c r="AD16" s="41">
        <v>20180201</v>
      </c>
      <c r="AE16" s="41">
        <v>0</v>
      </c>
      <c r="AF16" s="26">
        <v>55000</v>
      </c>
      <c r="AG16" s="41">
        <v>115</v>
      </c>
      <c r="AH16" s="26">
        <v>38</v>
      </c>
      <c r="AI16" s="26">
        <v>0</v>
      </c>
      <c r="AJ16" s="26">
        <v>0</v>
      </c>
      <c r="AK16" s="26">
        <v>0</v>
      </c>
      <c r="AL16" s="26">
        <v>0</v>
      </c>
      <c r="AM16" s="26">
        <v>0</v>
      </c>
      <c r="AN16" s="26">
        <v>0</v>
      </c>
      <c r="AO16" s="26">
        <v>0</v>
      </c>
      <c r="AP16" s="26">
        <v>0</v>
      </c>
      <c r="AQ16" s="26">
        <v>0</v>
      </c>
      <c r="AR16" s="26">
        <v>0</v>
      </c>
      <c r="AS16" s="26">
        <v>0</v>
      </c>
      <c r="AT16" s="26">
        <v>0</v>
      </c>
      <c r="AU16" s="26">
        <v>0</v>
      </c>
      <c r="AV16" s="26">
        <v>0</v>
      </c>
      <c r="AW16" s="26">
        <v>0</v>
      </c>
      <c r="AX16" s="26">
        <v>0</v>
      </c>
      <c r="AY16" s="46">
        <v>1</v>
      </c>
      <c r="AZ16" s="25">
        <v>2</v>
      </c>
      <c r="BA16" s="41" t="s">
        <v>203</v>
      </c>
      <c r="BB16" s="41">
        <v>100</v>
      </c>
      <c r="BC16" s="41">
        <v>20180301</v>
      </c>
      <c r="BD16" s="41">
        <v>20180301</v>
      </c>
      <c r="BE16" s="41" t="s">
        <v>198</v>
      </c>
      <c r="BF16" s="41" t="s">
        <v>149</v>
      </c>
      <c r="BG16" s="41">
        <v>20180301</v>
      </c>
      <c r="BH16" s="41">
        <v>0</v>
      </c>
      <c r="BI16" s="41">
        <v>0</v>
      </c>
      <c r="BJ16" s="41"/>
      <c r="BK16" s="41">
        <v>0</v>
      </c>
      <c r="BL16" s="41" t="s">
        <v>140</v>
      </c>
      <c r="BM16" s="41">
        <v>818</v>
      </c>
      <c r="BN16" s="41">
        <v>0</v>
      </c>
      <c r="BO16" s="41">
        <v>12</v>
      </c>
      <c r="BP16" s="41">
        <v>20180201</v>
      </c>
      <c r="BQ16" s="41">
        <v>0</v>
      </c>
      <c r="BR16" s="41">
        <v>0</v>
      </c>
      <c r="BS16" s="41">
        <v>23</v>
      </c>
      <c r="BT16" s="25">
        <v>38</v>
      </c>
      <c r="BU16" s="25">
        <v>0</v>
      </c>
      <c r="BV16" s="25">
        <v>0</v>
      </c>
      <c r="BW16" s="25">
        <v>0</v>
      </c>
      <c r="BX16" s="25">
        <v>0</v>
      </c>
      <c r="BY16" s="25">
        <v>0</v>
      </c>
      <c r="BZ16" s="25">
        <v>0</v>
      </c>
      <c r="CA16" s="25">
        <v>0</v>
      </c>
      <c r="CB16" s="25">
        <v>0</v>
      </c>
      <c r="CC16" s="25">
        <v>0</v>
      </c>
      <c r="CD16" s="25">
        <v>0</v>
      </c>
      <c r="CE16" s="25">
        <v>0</v>
      </c>
      <c r="CF16" s="25">
        <v>0</v>
      </c>
      <c r="CG16" s="25">
        <v>0</v>
      </c>
      <c r="CH16" s="25">
        <v>0</v>
      </c>
      <c r="CI16" s="25">
        <v>0</v>
      </c>
      <c r="CJ16" s="25">
        <v>0</v>
      </c>
      <c r="CK16" s="22">
        <v>1</v>
      </c>
      <c r="CL16" s="25">
        <v>3</v>
      </c>
      <c r="CM16" s="41" t="s">
        <v>151</v>
      </c>
      <c r="CN16" s="41">
        <v>100</v>
      </c>
      <c r="CO16" s="41">
        <v>20180301</v>
      </c>
      <c r="CP16" s="41">
        <v>20180301</v>
      </c>
      <c r="CQ16" s="41" t="s">
        <v>198</v>
      </c>
      <c r="CR16" s="41" t="s">
        <v>200</v>
      </c>
      <c r="CS16" s="41">
        <v>20180301</v>
      </c>
      <c r="CT16" s="41">
        <v>0</v>
      </c>
      <c r="CU16" s="41">
        <v>0</v>
      </c>
      <c r="CV16" s="41"/>
      <c r="CW16" s="41">
        <v>0</v>
      </c>
      <c r="CX16" s="41" t="s">
        <v>140</v>
      </c>
      <c r="CY16" s="41">
        <v>818</v>
      </c>
      <c r="CZ16" s="41">
        <v>0</v>
      </c>
      <c r="DA16" s="41">
        <v>12</v>
      </c>
      <c r="DB16" s="41">
        <v>20180201</v>
      </c>
      <c r="DC16" s="41">
        <v>0</v>
      </c>
      <c r="DD16" s="41">
        <v>0</v>
      </c>
      <c r="DE16" s="41">
        <v>11</v>
      </c>
      <c r="DF16" s="25">
        <v>38</v>
      </c>
      <c r="DG16" s="25">
        <v>0</v>
      </c>
      <c r="DH16" s="25">
        <v>0</v>
      </c>
      <c r="DI16" s="25">
        <v>0</v>
      </c>
      <c r="DJ16" s="25">
        <v>0</v>
      </c>
      <c r="DK16" s="25">
        <v>0</v>
      </c>
      <c r="DL16" s="25">
        <v>0</v>
      </c>
      <c r="DM16" s="25">
        <v>0</v>
      </c>
      <c r="DN16" s="25">
        <v>0</v>
      </c>
      <c r="DO16" s="25">
        <v>0</v>
      </c>
      <c r="DP16" s="25">
        <v>0</v>
      </c>
      <c r="DQ16" s="25">
        <v>0</v>
      </c>
      <c r="DR16" s="25">
        <v>0</v>
      </c>
      <c r="DS16" s="25">
        <v>0</v>
      </c>
      <c r="DT16" s="25">
        <v>0</v>
      </c>
      <c r="DU16" s="25">
        <v>0</v>
      </c>
      <c r="DV16" s="25">
        <v>0</v>
      </c>
      <c r="DW16" s="23">
        <v>1</v>
      </c>
      <c r="DX16" s="25">
        <v>4</v>
      </c>
      <c r="DY16" s="41"/>
      <c r="DZ16" s="41">
        <v>100</v>
      </c>
      <c r="EA16" s="41">
        <v>20180301</v>
      </c>
      <c r="EB16" s="41">
        <v>20180301</v>
      </c>
      <c r="EC16" s="41" t="s">
        <v>198</v>
      </c>
      <c r="ED16" s="41" t="s">
        <v>201</v>
      </c>
      <c r="EE16" s="41">
        <v>20180301</v>
      </c>
      <c r="EF16" s="41">
        <v>0</v>
      </c>
      <c r="EG16" s="41">
        <v>0</v>
      </c>
      <c r="EH16" s="41"/>
      <c r="EI16" s="41">
        <v>0</v>
      </c>
      <c r="EJ16" s="41" t="s">
        <v>140</v>
      </c>
      <c r="EK16" s="41">
        <v>818</v>
      </c>
      <c r="EL16" s="41">
        <v>0</v>
      </c>
      <c r="EM16" s="41">
        <v>12</v>
      </c>
      <c r="EN16" s="41">
        <v>20180201</v>
      </c>
      <c r="EO16" s="41">
        <v>0</v>
      </c>
      <c r="EP16" s="41">
        <v>0</v>
      </c>
      <c r="EQ16" s="41"/>
      <c r="ER16" s="25"/>
      <c r="ES16" s="25">
        <v>0</v>
      </c>
      <c r="ET16" s="25">
        <v>0</v>
      </c>
      <c r="EU16" s="25">
        <v>0</v>
      </c>
      <c r="EV16" s="25">
        <v>0</v>
      </c>
      <c r="EW16" s="25">
        <v>0</v>
      </c>
      <c r="EX16" s="25">
        <v>0</v>
      </c>
      <c r="EY16" s="25">
        <v>0</v>
      </c>
      <c r="EZ16" s="25">
        <v>0</v>
      </c>
      <c r="FA16" s="25">
        <v>0</v>
      </c>
      <c r="FB16" s="25">
        <v>0</v>
      </c>
      <c r="FC16" s="25">
        <v>0</v>
      </c>
      <c r="FD16" s="25">
        <v>0</v>
      </c>
      <c r="FE16" s="25">
        <v>0</v>
      </c>
      <c r="FF16" s="25">
        <v>0</v>
      </c>
      <c r="FG16" s="25">
        <v>0</v>
      </c>
      <c r="FH16" s="25">
        <v>0</v>
      </c>
      <c r="FI16" s="25">
        <v>1</v>
      </c>
      <c r="FJ16" s="25">
        <v>1</v>
      </c>
      <c r="FK16" s="25">
        <v>1</v>
      </c>
      <c r="FL16" s="25">
        <v>38</v>
      </c>
      <c r="FM16" s="25" t="s">
        <v>137</v>
      </c>
      <c r="FN16" s="25">
        <v>19560101</v>
      </c>
      <c r="FP16" s="28">
        <v>4</v>
      </c>
      <c r="FQ16" s="47">
        <v>1</v>
      </c>
      <c r="FR16" s="41">
        <v>1</v>
      </c>
      <c r="FS16" s="41" t="str">
        <f t="shared" si="0"/>
        <v>MFMM</v>
      </c>
      <c r="FT16" s="41">
        <f t="shared" si="1"/>
        <v>818</v>
      </c>
      <c r="FU16" s="41">
        <f t="shared" si="2"/>
        <v>38</v>
      </c>
      <c r="FV16" s="41">
        <v>58300</v>
      </c>
      <c r="FW16" s="41">
        <v>121.9</v>
      </c>
      <c r="FX16" s="41"/>
      <c r="FY16" s="29">
        <v>0</v>
      </c>
      <c r="FZ16" s="29">
        <v>0</v>
      </c>
      <c r="GA16" s="30">
        <v>0</v>
      </c>
      <c r="GB16" s="30">
        <v>0</v>
      </c>
      <c r="GC16" s="29">
        <v>0</v>
      </c>
      <c r="GD16" s="41">
        <v>0</v>
      </c>
      <c r="GE16" s="29">
        <v>0</v>
      </c>
      <c r="GF16" s="29">
        <v>0</v>
      </c>
      <c r="GG16" s="29">
        <v>0</v>
      </c>
      <c r="GH16" s="29">
        <v>0</v>
      </c>
      <c r="GI16" s="29">
        <v>0</v>
      </c>
      <c r="GJ16" s="29">
        <v>0</v>
      </c>
      <c r="GK16" s="29">
        <v>0</v>
      </c>
      <c r="GL16" s="29">
        <v>0</v>
      </c>
      <c r="GM16" s="29">
        <v>0</v>
      </c>
      <c r="GN16" s="29">
        <v>0</v>
      </c>
      <c r="GO16" s="29">
        <v>0</v>
      </c>
      <c r="GP16" s="29">
        <v>0</v>
      </c>
      <c r="GQ16" s="29">
        <v>0</v>
      </c>
      <c r="GR16" s="18">
        <v>1</v>
      </c>
      <c r="GS16" s="41">
        <v>2</v>
      </c>
      <c r="GT16" s="41" t="str">
        <f t="shared" si="3"/>
        <v>PURO</v>
      </c>
      <c r="GU16" s="41">
        <v>818</v>
      </c>
      <c r="GV16" s="41">
        <v>60</v>
      </c>
      <c r="GW16" s="41">
        <v>0</v>
      </c>
      <c r="GX16" s="41">
        <v>24.38</v>
      </c>
      <c r="GY16" s="41"/>
      <c r="GZ16" s="41">
        <v>0</v>
      </c>
      <c r="HA16" s="41">
        <v>0</v>
      </c>
      <c r="HB16" s="42">
        <v>0</v>
      </c>
      <c r="HC16" s="42">
        <v>0</v>
      </c>
      <c r="HD16" s="41">
        <v>0</v>
      </c>
      <c r="HE16" s="41">
        <v>0</v>
      </c>
      <c r="HF16" s="41">
        <v>0</v>
      </c>
      <c r="HG16" s="41">
        <v>0</v>
      </c>
      <c r="HH16" s="41">
        <v>0</v>
      </c>
      <c r="HI16" s="41">
        <v>0</v>
      </c>
      <c r="HJ16" s="41">
        <v>0</v>
      </c>
      <c r="HK16" s="41">
        <v>0</v>
      </c>
      <c r="HL16" s="41">
        <v>0</v>
      </c>
      <c r="HM16" s="41">
        <v>0</v>
      </c>
      <c r="HN16" s="41">
        <v>0</v>
      </c>
      <c r="HO16" s="41">
        <v>0</v>
      </c>
      <c r="HP16" s="41">
        <v>0</v>
      </c>
      <c r="HQ16" s="41">
        <v>0</v>
      </c>
      <c r="HR16" s="41">
        <v>0</v>
      </c>
      <c r="HS16" s="24">
        <v>1</v>
      </c>
      <c r="HT16" s="41">
        <v>3</v>
      </c>
      <c r="HU16" s="41" t="str">
        <f t="shared" si="4"/>
        <v>PUDS</v>
      </c>
      <c r="HV16" s="41">
        <v>818</v>
      </c>
      <c r="HW16" s="41">
        <v>60</v>
      </c>
      <c r="HX16" s="41">
        <v>0</v>
      </c>
      <c r="HY16" s="41">
        <v>11.66</v>
      </c>
      <c r="HZ16" s="42"/>
      <c r="IA16" s="41">
        <v>0</v>
      </c>
      <c r="IB16" s="41">
        <v>0</v>
      </c>
      <c r="IC16" s="42">
        <v>0</v>
      </c>
      <c r="ID16" s="42">
        <v>0</v>
      </c>
      <c r="IE16" s="41">
        <v>0</v>
      </c>
      <c r="IF16" s="43">
        <v>0</v>
      </c>
      <c r="IG16" s="41">
        <v>0</v>
      </c>
      <c r="IH16" s="41">
        <v>0</v>
      </c>
      <c r="II16" s="41">
        <v>0</v>
      </c>
      <c r="IJ16" s="41">
        <v>0</v>
      </c>
      <c r="IK16" s="41">
        <v>0</v>
      </c>
      <c r="IL16" s="41">
        <v>0</v>
      </c>
      <c r="IM16" s="41">
        <v>0</v>
      </c>
      <c r="IN16" s="41">
        <v>0</v>
      </c>
      <c r="IO16" s="41">
        <v>0</v>
      </c>
      <c r="IP16" s="41">
        <v>0</v>
      </c>
      <c r="IQ16" s="41">
        <v>0</v>
      </c>
      <c r="IR16" s="41">
        <v>0</v>
      </c>
      <c r="IS16" s="41">
        <v>0</v>
      </c>
      <c r="IT16" s="17">
        <v>1</v>
      </c>
      <c r="IU16" s="41">
        <v>4</v>
      </c>
      <c r="IV16" s="41">
        <f t="shared" si="5"/>
        <v>0</v>
      </c>
      <c r="IW16" s="41">
        <v>818</v>
      </c>
      <c r="IX16" s="41">
        <v>60</v>
      </c>
      <c r="IY16" s="41">
        <v>0</v>
      </c>
      <c r="IZ16" s="41"/>
      <c r="JA16" s="42"/>
      <c r="JB16" s="41">
        <v>0</v>
      </c>
      <c r="JC16" s="41">
        <v>0</v>
      </c>
      <c r="JD16" s="42">
        <v>0</v>
      </c>
      <c r="JE16" s="42">
        <v>0</v>
      </c>
      <c r="JF16" s="41">
        <v>0</v>
      </c>
      <c r="JG16" s="41">
        <v>0</v>
      </c>
      <c r="JH16" s="41">
        <v>0</v>
      </c>
      <c r="JI16" s="41">
        <v>0</v>
      </c>
      <c r="JJ16" s="41">
        <v>0</v>
      </c>
      <c r="JK16" s="41">
        <v>0</v>
      </c>
      <c r="JL16" s="41">
        <v>0</v>
      </c>
      <c r="JM16" s="41">
        <v>0</v>
      </c>
      <c r="JN16" s="41">
        <v>0</v>
      </c>
      <c r="JO16" s="41">
        <v>0</v>
      </c>
      <c r="JP16" s="41">
        <v>0</v>
      </c>
      <c r="JQ16" s="41">
        <v>0</v>
      </c>
      <c r="JR16" s="41">
        <v>0</v>
      </c>
      <c r="JS16" s="41">
        <v>0</v>
      </c>
      <c r="JT16" s="41">
        <v>0</v>
      </c>
    </row>
    <row r="17" spans="1:281" ht="15.75">
      <c r="A17" s="25">
        <v>11</v>
      </c>
      <c r="B17" s="25">
        <v>20190301</v>
      </c>
      <c r="C17" s="25"/>
      <c r="D17" s="25" t="s">
        <v>132</v>
      </c>
      <c r="E17" s="25" t="s">
        <v>132</v>
      </c>
      <c r="F17" s="25" t="s">
        <v>133</v>
      </c>
      <c r="G17" s="25"/>
      <c r="H17" s="25">
        <v>100000011</v>
      </c>
      <c r="I17" s="25" t="s">
        <v>134</v>
      </c>
      <c r="J17" s="25" t="s">
        <v>135</v>
      </c>
      <c r="K17" s="25" t="s">
        <v>132</v>
      </c>
      <c r="L17" s="25">
        <v>4</v>
      </c>
      <c r="M17" s="25">
        <v>1</v>
      </c>
      <c r="N17" s="25">
        <v>1</v>
      </c>
      <c r="O17" s="45" t="s">
        <v>136</v>
      </c>
      <c r="P17" s="25">
        <v>100</v>
      </c>
      <c r="Q17" s="25">
        <v>20180301</v>
      </c>
      <c r="R17" s="25">
        <v>20180301</v>
      </c>
      <c r="S17" s="25" t="s">
        <v>137</v>
      </c>
      <c r="T17" s="25" t="s">
        <v>143</v>
      </c>
      <c r="U17" s="25">
        <v>20190301</v>
      </c>
      <c r="V17" s="25">
        <v>6</v>
      </c>
      <c r="W17" s="25">
        <v>6</v>
      </c>
      <c r="X17" s="25" t="s">
        <v>139</v>
      </c>
      <c r="Y17" s="25">
        <v>0</v>
      </c>
      <c r="Z17" s="25" t="s">
        <v>140</v>
      </c>
      <c r="AA17" s="25">
        <v>818</v>
      </c>
      <c r="AB17" s="41">
        <v>0</v>
      </c>
      <c r="AC17" s="41">
        <v>12</v>
      </c>
      <c r="AD17" s="41">
        <v>20180201</v>
      </c>
      <c r="AE17" s="41">
        <v>0</v>
      </c>
      <c r="AF17" s="26">
        <v>60000</v>
      </c>
      <c r="AG17" s="41">
        <v>124</v>
      </c>
      <c r="AH17" s="26">
        <v>37</v>
      </c>
      <c r="AI17" s="26">
        <v>0</v>
      </c>
      <c r="AJ17" s="26">
        <v>0</v>
      </c>
      <c r="AK17" s="26">
        <v>0</v>
      </c>
      <c r="AL17" s="26">
        <v>0</v>
      </c>
      <c r="AM17" s="26">
        <v>0</v>
      </c>
      <c r="AN17" s="26">
        <v>0</v>
      </c>
      <c r="AO17" s="26">
        <v>0</v>
      </c>
      <c r="AP17" s="26">
        <v>0</v>
      </c>
      <c r="AQ17" s="26">
        <v>0</v>
      </c>
      <c r="AR17" s="26">
        <v>0</v>
      </c>
      <c r="AS17" s="26">
        <v>0</v>
      </c>
      <c r="AT17" s="26">
        <v>0</v>
      </c>
      <c r="AU17" s="26">
        <v>0</v>
      </c>
      <c r="AV17" s="26">
        <v>0</v>
      </c>
      <c r="AW17" s="26">
        <v>0</v>
      </c>
      <c r="AX17" s="26">
        <v>0</v>
      </c>
      <c r="AY17" s="46">
        <v>1</v>
      </c>
      <c r="AZ17" s="25">
        <v>2</v>
      </c>
      <c r="BA17" s="41" t="s">
        <v>203</v>
      </c>
      <c r="BB17" s="41">
        <v>100</v>
      </c>
      <c r="BC17" s="41">
        <v>20180301</v>
      </c>
      <c r="BD17" s="41">
        <v>20180301</v>
      </c>
      <c r="BE17" s="41" t="s">
        <v>198</v>
      </c>
      <c r="BF17" s="41" t="s">
        <v>149</v>
      </c>
      <c r="BG17" s="41">
        <v>20180301</v>
      </c>
      <c r="BH17" s="41">
        <v>0</v>
      </c>
      <c r="BI17" s="41">
        <v>0</v>
      </c>
      <c r="BJ17" s="41"/>
      <c r="BK17" s="41">
        <v>0</v>
      </c>
      <c r="BL17" s="41" t="s">
        <v>140</v>
      </c>
      <c r="BM17" s="41">
        <v>818</v>
      </c>
      <c r="BN17" s="41">
        <v>0</v>
      </c>
      <c r="BO17" s="41">
        <v>12</v>
      </c>
      <c r="BP17" s="41">
        <v>20180201</v>
      </c>
      <c r="BQ17" s="41">
        <v>0</v>
      </c>
      <c r="BR17" s="41">
        <v>0</v>
      </c>
      <c r="BS17" s="41">
        <v>25</v>
      </c>
      <c r="BT17" s="25">
        <v>37</v>
      </c>
      <c r="BU17" s="25">
        <v>0</v>
      </c>
      <c r="BV17" s="25">
        <v>0</v>
      </c>
      <c r="BW17" s="25">
        <v>0</v>
      </c>
      <c r="BX17" s="25">
        <v>0</v>
      </c>
      <c r="BY17" s="25">
        <v>0</v>
      </c>
      <c r="BZ17" s="25">
        <v>0</v>
      </c>
      <c r="CA17" s="25">
        <v>0</v>
      </c>
      <c r="CB17" s="25">
        <v>0</v>
      </c>
      <c r="CC17" s="25">
        <v>0</v>
      </c>
      <c r="CD17" s="25">
        <v>0</v>
      </c>
      <c r="CE17" s="25">
        <v>0</v>
      </c>
      <c r="CF17" s="25">
        <v>0</v>
      </c>
      <c r="CG17" s="25">
        <v>0</v>
      </c>
      <c r="CH17" s="25">
        <v>0</v>
      </c>
      <c r="CI17" s="25">
        <v>0</v>
      </c>
      <c r="CJ17" s="25">
        <v>0</v>
      </c>
      <c r="CK17" s="22">
        <v>1</v>
      </c>
      <c r="CL17" s="25">
        <v>3</v>
      </c>
      <c r="CM17" s="41" t="s">
        <v>151</v>
      </c>
      <c r="CN17" s="41">
        <v>100</v>
      </c>
      <c r="CO17" s="41">
        <v>20180301</v>
      </c>
      <c r="CP17" s="41">
        <v>20180301</v>
      </c>
      <c r="CQ17" s="41" t="s">
        <v>198</v>
      </c>
      <c r="CR17" s="41" t="s">
        <v>200</v>
      </c>
      <c r="CS17" s="41">
        <v>20180301</v>
      </c>
      <c r="CT17" s="41">
        <v>0</v>
      </c>
      <c r="CU17" s="41">
        <v>0</v>
      </c>
      <c r="CV17" s="41"/>
      <c r="CW17" s="41">
        <v>0</v>
      </c>
      <c r="CX17" s="41" t="s">
        <v>140</v>
      </c>
      <c r="CY17" s="41">
        <v>818</v>
      </c>
      <c r="CZ17" s="41">
        <v>0</v>
      </c>
      <c r="DA17" s="41">
        <v>12</v>
      </c>
      <c r="DB17" s="41">
        <v>20180201</v>
      </c>
      <c r="DC17" s="41">
        <v>0</v>
      </c>
      <c r="DD17" s="41">
        <v>0</v>
      </c>
      <c r="DE17" s="41">
        <v>12</v>
      </c>
      <c r="DF17" s="25">
        <v>37</v>
      </c>
      <c r="DG17" s="25">
        <v>0</v>
      </c>
      <c r="DH17" s="25">
        <v>0</v>
      </c>
      <c r="DI17" s="25">
        <v>0</v>
      </c>
      <c r="DJ17" s="25">
        <v>0</v>
      </c>
      <c r="DK17" s="25">
        <v>0</v>
      </c>
      <c r="DL17" s="25">
        <v>0</v>
      </c>
      <c r="DM17" s="25">
        <v>0</v>
      </c>
      <c r="DN17" s="25">
        <v>0</v>
      </c>
      <c r="DO17" s="25">
        <v>0</v>
      </c>
      <c r="DP17" s="25">
        <v>0</v>
      </c>
      <c r="DQ17" s="25">
        <v>0</v>
      </c>
      <c r="DR17" s="25">
        <v>0</v>
      </c>
      <c r="DS17" s="25">
        <v>0</v>
      </c>
      <c r="DT17" s="25">
        <v>0</v>
      </c>
      <c r="DU17" s="25">
        <v>0</v>
      </c>
      <c r="DV17" s="25">
        <v>0</v>
      </c>
      <c r="DW17" s="23">
        <v>1</v>
      </c>
      <c r="DX17" s="25">
        <v>4</v>
      </c>
      <c r="DY17" s="41"/>
      <c r="DZ17" s="41">
        <v>100</v>
      </c>
      <c r="EA17" s="41">
        <v>20180301</v>
      </c>
      <c r="EB17" s="41">
        <v>20180301</v>
      </c>
      <c r="EC17" s="41" t="s">
        <v>198</v>
      </c>
      <c r="ED17" s="41" t="s">
        <v>201</v>
      </c>
      <c r="EE17" s="41">
        <v>20180301</v>
      </c>
      <c r="EF17" s="41">
        <v>0</v>
      </c>
      <c r="EG17" s="41">
        <v>0</v>
      </c>
      <c r="EH17" s="41"/>
      <c r="EI17" s="41">
        <v>0</v>
      </c>
      <c r="EJ17" s="41" t="s">
        <v>140</v>
      </c>
      <c r="EK17" s="41">
        <v>818</v>
      </c>
      <c r="EL17" s="41">
        <v>0</v>
      </c>
      <c r="EM17" s="41">
        <v>12</v>
      </c>
      <c r="EN17" s="41">
        <v>20180201</v>
      </c>
      <c r="EO17" s="41">
        <v>0</v>
      </c>
      <c r="EP17" s="41">
        <v>0</v>
      </c>
      <c r="EQ17" s="41"/>
      <c r="ER17" s="25"/>
      <c r="ES17" s="25">
        <v>0</v>
      </c>
      <c r="ET17" s="25">
        <v>0</v>
      </c>
      <c r="EU17" s="25">
        <v>0</v>
      </c>
      <c r="EV17" s="25">
        <v>0</v>
      </c>
      <c r="EW17" s="25">
        <v>0</v>
      </c>
      <c r="EX17" s="25">
        <v>0</v>
      </c>
      <c r="EY17" s="25">
        <v>0</v>
      </c>
      <c r="EZ17" s="25">
        <v>0</v>
      </c>
      <c r="FA17" s="25">
        <v>0</v>
      </c>
      <c r="FB17" s="25">
        <v>0</v>
      </c>
      <c r="FC17" s="25">
        <v>0</v>
      </c>
      <c r="FD17" s="25">
        <v>0</v>
      </c>
      <c r="FE17" s="25">
        <v>0</v>
      </c>
      <c r="FF17" s="25">
        <v>0</v>
      </c>
      <c r="FG17" s="25">
        <v>0</v>
      </c>
      <c r="FH17" s="25">
        <v>0</v>
      </c>
      <c r="FI17" s="25">
        <v>1</v>
      </c>
      <c r="FJ17" s="25">
        <v>1</v>
      </c>
      <c r="FK17" s="25">
        <v>1</v>
      </c>
      <c r="FL17" s="25">
        <v>37</v>
      </c>
      <c r="FM17" s="25" t="s">
        <v>137</v>
      </c>
      <c r="FN17" s="25">
        <v>19540101</v>
      </c>
      <c r="FP17" s="28">
        <v>4</v>
      </c>
      <c r="FQ17" s="47">
        <v>1</v>
      </c>
      <c r="FR17" s="41">
        <v>1</v>
      </c>
      <c r="FS17" s="41" t="str">
        <f t="shared" si="0"/>
        <v>MFMM</v>
      </c>
      <c r="FT17" s="41">
        <f t="shared" si="1"/>
        <v>818</v>
      </c>
      <c r="FU17" s="41">
        <f t="shared" si="2"/>
        <v>37</v>
      </c>
      <c r="FV17" s="41">
        <v>63600</v>
      </c>
      <c r="FW17" s="41">
        <v>131.44</v>
      </c>
      <c r="FX17" s="41"/>
      <c r="FY17" s="29">
        <v>0</v>
      </c>
      <c r="FZ17" s="29">
        <v>0</v>
      </c>
      <c r="GA17" s="30">
        <v>0</v>
      </c>
      <c r="GB17" s="30">
        <v>0</v>
      </c>
      <c r="GC17" s="29">
        <v>0</v>
      </c>
      <c r="GD17" s="41">
        <v>0</v>
      </c>
      <c r="GE17" s="29">
        <v>0</v>
      </c>
      <c r="GF17" s="29">
        <v>0</v>
      </c>
      <c r="GG17" s="29">
        <v>0</v>
      </c>
      <c r="GH17" s="29">
        <v>0</v>
      </c>
      <c r="GI17" s="29">
        <v>0</v>
      </c>
      <c r="GJ17" s="29">
        <v>0</v>
      </c>
      <c r="GK17" s="29">
        <v>0</v>
      </c>
      <c r="GL17" s="29">
        <v>0</v>
      </c>
      <c r="GM17" s="29">
        <v>0</v>
      </c>
      <c r="GN17" s="29">
        <v>0</v>
      </c>
      <c r="GO17" s="29">
        <v>0</v>
      </c>
      <c r="GP17" s="29">
        <v>0</v>
      </c>
      <c r="GQ17" s="29">
        <v>0</v>
      </c>
      <c r="GR17" s="18">
        <v>1</v>
      </c>
      <c r="GS17" s="41">
        <v>2</v>
      </c>
      <c r="GT17" s="41" t="str">
        <f t="shared" si="3"/>
        <v>PURO</v>
      </c>
      <c r="GU17" s="41">
        <v>818</v>
      </c>
      <c r="GV17" s="41">
        <v>45</v>
      </c>
      <c r="GW17" s="41">
        <v>0</v>
      </c>
      <c r="GX17" s="41">
        <v>26.5</v>
      </c>
      <c r="GY17" s="41"/>
      <c r="GZ17" s="41">
        <v>0</v>
      </c>
      <c r="HA17" s="41">
        <v>0</v>
      </c>
      <c r="HB17" s="42">
        <v>0</v>
      </c>
      <c r="HC17" s="42">
        <v>0</v>
      </c>
      <c r="HD17" s="41">
        <v>0</v>
      </c>
      <c r="HE17" s="41">
        <v>0</v>
      </c>
      <c r="HF17" s="41">
        <v>0</v>
      </c>
      <c r="HG17" s="41">
        <v>0</v>
      </c>
      <c r="HH17" s="41">
        <v>0</v>
      </c>
      <c r="HI17" s="41">
        <v>0</v>
      </c>
      <c r="HJ17" s="41">
        <v>0</v>
      </c>
      <c r="HK17" s="41">
        <v>0</v>
      </c>
      <c r="HL17" s="41">
        <v>0</v>
      </c>
      <c r="HM17" s="41">
        <v>0</v>
      </c>
      <c r="HN17" s="41">
        <v>0</v>
      </c>
      <c r="HO17" s="41">
        <v>0</v>
      </c>
      <c r="HP17" s="41">
        <v>0</v>
      </c>
      <c r="HQ17" s="41">
        <v>0</v>
      </c>
      <c r="HR17" s="41">
        <v>0</v>
      </c>
      <c r="HS17" s="24">
        <v>1</v>
      </c>
      <c r="HT17" s="41">
        <v>3</v>
      </c>
      <c r="HU17" s="41" t="str">
        <f t="shared" si="4"/>
        <v>PUDS</v>
      </c>
      <c r="HV17" s="41">
        <v>818</v>
      </c>
      <c r="HW17" s="41">
        <v>45</v>
      </c>
      <c r="HX17" s="41">
        <v>0</v>
      </c>
      <c r="HY17" s="41">
        <v>12.72</v>
      </c>
      <c r="HZ17" s="42"/>
      <c r="IA17" s="41">
        <v>0</v>
      </c>
      <c r="IB17" s="41">
        <v>0</v>
      </c>
      <c r="IC17" s="42">
        <v>0</v>
      </c>
      <c r="ID17" s="42">
        <v>0</v>
      </c>
      <c r="IE17" s="41">
        <v>0</v>
      </c>
      <c r="IF17" s="43">
        <v>0</v>
      </c>
      <c r="IG17" s="41">
        <v>0</v>
      </c>
      <c r="IH17" s="41">
        <v>0</v>
      </c>
      <c r="II17" s="41">
        <v>0</v>
      </c>
      <c r="IJ17" s="41">
        <v>0</v>
      </c>
      <c r="IK17" s="41">
        <v>0</v>
      </c>
      <c r="IL17" s="41">
        <v>0</v>
      </c>
      <c r="IM17" s="41">
        <v>0</v>
      </c>
      <c r="IN17" s="41">
        <v>0</v>
      </c>
      <c r="IO17" s="41">
        <v>0</v>
      </c>
      <c r="IP17" s="41">
        <v>0</v>
      </c>
      <c r="IQ17" s="41">
        <v>0</v>
      </c>
      <c r="IR17" s="41">
        <v>0</v>
      </c>
      <c r="IS17" s="41">
        <v>0</v>
      </c>
      <c r="IT17" s="17">
        <v>1</v>
      </c>
      <c r="IU17" s="41">
        <v>4</v>
      </c>
      <c r="IV17" s="41">
        <f t="shared" si="5"/>
        <v>0</v>
      </c>
      <c r="IW17" s="41">
        <v>818</v>
      </c>
      <c r="IX17" s="41">
        <v>45</v>
      </c>
      <c r="IY17" s="41">
        <v>0</v>
      </c>
      <c r="IZ17" s="41"/>
      <c r="JA17" s="42"/>
      <c r="JB17" s="41">
        <v>0</v>
      </c>
      <c r="JC17" s="41">
        <v>0</v>
      </c>
      <c r="JD17" s="42">
        <v>0</v>
      </c>
      <c r="JE17" s="42">
        <v>0</v>
      </c>
      <c r="JF17" s="41">
        <v>0</v>
      </c>
      <c r="JG17" s="41">
        <v>0</v>
      </c>
      <c r="JH17" s="41">
        <v>0</v>
      </c>
      <c r="JI17" s="41">
        <v>0</v>
      </c>
      <c r="JJ17" s="41">
        <v>0</v>
      </c>
      <c r="JK17" s="41">
        <v>0</v>
      </c>
      <c r="JL17" s="41">
        <v>0</v>
      </c>
      <c r="JM17" s="41">
        <v>0</v>
      </c>
      <c r="JN17" s="41">
        <v>0</v>
      </c>
      <c r="JO17" s="41">
        <v>0</v>
      </c>
      <c r="JP17" s="41">
        <v>0</v>
      </c>
      <c r="JQ17" s="41">
        <v>0</v>
      </c>
      <c r="JR17" s="41">
        <v>0</v>
      </c>
      <c r="JS17" s="41">
        <v>0</v>
      </c>
      <c r="JT17" s="41">
        <v>0</v>
      </c>
      <c r="JU17"/>
    </row>
    <row r="18" spans="1:281" ht="15.75">
      <c r="A18" s="25">
        <v>12</v>
      </c>
      <c r="B18" s="25">
        <v>20190301</v>
      </c>
      <c r="C18" s="25"/>
      <c r="D18" s="25" t="s">
        <v>132</v>
      </c>
      <c r="E18" s="25" t="s">
        <v>132</v>
      </c>
      <c r="F18" s="25" t="s">
        <v>133</v>
      </c>
      <c r="G18" s="25"/>
      <c r="H18" s="25">
        <v>100000012</v>
      </c>
      <c r="I18" s="25" t="s">
        <v>134</v>
      </c>
      <c r="J18" s="25" t="s">
        <v>135</v>
      </c>
      <c r="K18" s="25" t="s">
        <v>132</v>
      </c>
      <c r="L18" s="25">
        <v>4</v>
      </c>
      <c r="M18" s="25">
        <v>1</v>
      </c>
      <c r="N18" s="25">
        <v>1</v>
      </c>
      <c r="O18" s="45" t="s">
        <v>136</v>
      </c>
      <c r="P18" s="25">
        <v>100</v>
      </c>
      <c r="Q18" s="25">
        <v>20180301</v>
      </c>
      <c r="R18" s="25">
        <v>20180301</v>
      </c>
      <c r="S18" s="25" t="s">
        <v>137</v>
      </c>
      <c r="T18" s="25" t="s">
        <v>143</v>
      </c>
      <c r="U18" s="25">
        <v>20190301</v>
      </c>
      <c r="V18" s="25">
        <v>6</v>
      </c>
      <c r="W18" s="25">
        <v>6</v>
      </c>
      <c r="X18" s="25" t="s">
        <v>139</v>
      </c>
      <c r="Y18" s="25">
        <v>0</v>
      </c>
      <c r="Z18" s="25" t="s">
        <v>140</v>
      </c>
      <c r="AA18" s="25">
        <v>818</v>
      </c>
      <c r="AB18" s="41">
        <v>0</v>
      </c>
      <c r="AC18" s="41">
        <v>12</v>
      </c>
      <c r="AD18" s="41">
        <v>20180201</v>
      </c>
      <c r="AE18" s="41">
        <v>0</v>
      </c>
      <c r="AF18" s="26">
        <v>5000</v>
      </c>
      <c r="AG18" s="41">
        <v>32</v>
      </c>
      <c r="AH18" s="26">
        <v>30</v>
      </c>
      <c r="AI18" s="26">
        <v>0</v>
      </c>
      <c r="AJ18" s="26">
        <v>0</v>
      </c>
      <c r="AK18" s="26">
        <v>0</v>
      </c>
      <c r="AL18" s="26">
        <v>0</v>
      </c>
      <c r="AM18" s="26">
        <v>0</v>
      </c>
      <c r="AN18" s="26">
        <v>0</v>
      </c>
      <c r="AO18" s="26">
        <v>0</v>
      </c>
      <c r="AP18" s="26">
        <v>0</v>
      </c>
      <c r="AQ18" s="26">
        <v>0</v>
      </c>
      <c r="AR18" s="26">
        <v>0</v>
      </c>
      <c r="AS18" s="26">
        <v>0</v>
      </c>
      <c r="AT18" s="26">
        <v>0</v>
      </c>
      <c r="AU18" s="26">
        <v>0</v>
      </c>
      <c r="AV18" s="26">
        <v>0</v>
      </c>
      <c r="AW18" s="26">
        <v>0</v>
      </c>
      <c r="AX18" s="26">
        <v>0</v>
      </c>
      <c r="AY18" s="46">
        <v>1</v>
      </c>
      <c r="AZ18" s="25">
        <v>2</v>
      </c>
      <c r="BA18" s="41" t="s">
        <v>203</v>
      </c>
      <c r="BB18" s="41">
        <v>100</v>
      </c>
      <c r="BC18" s="41">
        <v>20180301</v>
      </c>
      <c r="BD18" s="41">
        <v>20180301</v>
      </c>
      <c r="BE18" s="41" t="s">
        <v>198</v>
      </c>
      <c r="BF18" s="41" t="s">
        <v>149</v>
      </c>
      <c r="BG18" s="41">
        <v>20180301</v>
      </c>
      <c r="BH18" s="41">
        <v>0</v>
      </c>
      <c r="BI18" s="41">
        <v>0</v>
      </c>
      <c r="BJ18" s="41"/>
      <c r="BK18" s="41">
        <v>0</v>
      </c>
      <c r="BL18" s="41" t="s">
        <v>140</v>
      </c>
      <c r="BM18" s="41">
        <v>818</v>
      </c>
      <c r="BN18" s="41">
        <v>0</v>
      </c>
      <c r="BO18" s="41">
        <v>12</v>
      </c>
      <c r="BP18" s="41">
        <v>20180201</v>
      </c>
      <c r="BQ18" s="41">
        <v>0</v>
      </c>
      <c r="BR18" s="41">
        <v>0</v>
      </c>
      <c r="BS18" s="41">
        <v>5</v>
      </c>
      <c r="BT18" s="25">
        <v>30</v>
      </c>
      <c r="BU18" s="25">
        <v>0</v>
      </c>
      <c r="BV18" s="25">
        <v>0</v>
      </c>
      <c r="BW18" s="25">
        <v>0</v>
      </c>
      <c r="BX18" s="25">
        <v>0</v>
      </c>
      <c r="BY18" s="25">
        <v>0</v>
      </c>
      <c r="BZ18" s="25">
        <v>0</v>
      </c>
      <c r="CA18" s="25">
        <v>0</v>
      </c>
      <c r="CB18" s="25">
        <v>0</v>
      </c>
      <c r="CC18" s="25">
        <v>0</v>
      </c>
      <c r="CD18" s="25">
        <v>0</v>
      </c>
      <c r="CE18" s="25">
        <v>0</v>
      </c>
      <c r="CF18" s="25">
        <v>0</v>
      </c>
      <c r="CG18" s="25">
        <v>0</v>
      </c>
      <c r="CH18" s="25">
        <v>0</v>
      </c>
      <c r="CI18" s="25">
        <v>0</v>
      </c>
      <c r="CJ18" s="25">
        <v>0</v>
      </c>
      <c r="CK18" s="22">
        <v>1</v>
      </c>
      <c r="CL18" s="25">
        <v>3</v>
      </c>
      <c r="CM18" s="41" t="s">
        <v>151</v>
      </c>
      <c r="CN18" s="41">
        <v>100</v>
      </c>
      <c r="CO18" s="41">
        <v>20180301</v>
      </c>
      <c r="CP18" s="41">
        <v>20180301</v>
      </c>
      <c r="CQ18" s="41" t="s">
        <v>198</v>
      </c>
      <c r="CR18" s="41" t="s">
        <v>200</v>
      </c>
      <c r="CS18" s="41">
        <v>20180301</v>
      </c>
      <c r="CT18" s="41">
        <v>0</v>
      </c>
      <c r="CU18" s="41">
        <v>0</v>
      </c>
      <c r="CV18" s="41"/>
      <c r="CW18" s="41">
        <v>0</v>
      </c>
      <c r="CX18" s="41" t="s">
        <v>140</v>
      </c>
      <c r="CY18" s="41">
        <v>818</v>
      </c>
      <c r="CZ18" s="41">
        <v>0</v>
      </c>
      <c r="DA18" s="41">
        <v>12</v>
      </c>
      <c r="DB18" s="41">
        <v>20180201</v>
      </c>
      <c r="DC18" s="41">
        <v>0</v>
      </c>
      <c r="DD18" s="41">
        <v>0</v>
      </c>
      <c r="DE18" s="41">
        <v>4</v>
      </c>
      <c r="DF18" s="25">
        <v>30</v>
      </c>
      <c r="DG18" s="25">
        <v>0</v>
      </c>
      <c r="DH18" s="25">
        <v>0</v>
      </c>
      <c r="DI18" s="25">
        <v>0</v>
      </c>
      <c r="DJ18" s="25">
        <v>0</v>
      </c>
      <c r="DK18" s="25">
        <v>0</v>
      </c>
      <c r="DL18" s="25">
        <v>0</v>
      </c>
      <c r="DM18" s="25">
        <v>0</v>
      </c>
      <c r="DN18" s="25">
        <v>0</v>
      </c>
      <c r="DO18" s="25">
        <v>0</v>
      </c>
      <c r="DP18" s="25">
        <v>0</v>
      </c>
      <c r="DQ18" s="25">
        <v>0</v>
      </c>
      <c r="DR18" s="25">
        <v>0</v>
      </c>
      <c r="DS18" s="25">
        <v>0</v>
      </c>
      <c r="DT18" s="25">
        <v>0</v>
      </c>
      <c r="DU18" s="25">
        <v>0</v>
      </c>
      <c r="DV18" s="25">
        <v>0</v>
      </c>
      <c r="DW18" s="23">
        <v>1</v>
      </c>
      <c r="DX18" s="25">
        <v>4</v>
      </c>
      <c r="DY18" s="41"/>
      <c r="DZ18" s="41">
        <v>100</v>
      </c>
      <c r="EA18" s="41">
        <v>20180301</v>
      </c>
      <c r="EB18" s="41">
        <v>20180301</v>
      </c>
      <c r="EC18" s="41" t="s">
        <v>198</v>
      </c>
      <c r="ED18" s="41" t="s">
        <v>201</v>
      </c>
      <c r="EE18" s="41">
        <v>20180301</v>
      </c>
      <c r="EF18" s="41">
        <v>0</v>
      </c>
      <c r="EG18" s="41">
        <v>0</v>
      </c>
      <c r="EH18" s="41"/>
      <c r="EI18" s="41">
        <v>0</v>
      </c>
      <c r="EJ18" s="41" t="s">
        <v>140</v>
      </c>
      <c r="EK18" s="41">
        <v>818</v>
      </c>
      <c r="EL18" s="41">
        <v>0</v>
      </c>
      <c r="EM18" s="41">
        <v>12</v>
      </c>
      <c r="EN18" s="41">
        <v>20180201</v>
      </c>
      <c r="EO18" s="41">
        <v>0</v>
      </c>
      <c r="EP18" s="41">
        <v>0</v>
      </c>
      <c r="EQ18" s="41"/>
      <c r="ER18" s="25"/>
      <c r="ES18" s="25">
        <v>0</v>
      </c>
      <c r="ET18" s="25">
        <v>0</v>
      </c>
      <c r="EU18" s="25">
        <v>0</v>
      </c>
      <c r="EV18" s="25">
        <v>0</v>
      </c>
      <c r="EW18" s="25">
        <v>0</v>
      </c>
      <c r="EX18" s="25">
        <v>0</v>
      </c>
      <c r="EY18" s="25">
        <v>0</v>
      </c>
      <c r="EZ18" s="25">
        <v>0</v>
      </c>
      <c r="FA18" s="25">
        <v>0</v>
      </c>
      <c r="FB18" s="25">
        <v>0</v>
      </c>
      <c r="FC18" s="25">
        <v>0</v>
      </c>
      <c r="FD18" s="25">
        <v>0</v>
      </c>
      <c r="FE18" s="25">
        <v>0</v>
      </c>
      <c r="FF18" s="25">
        <v>0</v>
      </c>
      <c r="FG18" s="25">
        <v>0</v>
      </c>
      <c r="FH18" s="25">
        <v>0</v>
      </c>
      <c r="FI18" s="25">
        <v>1</v>
      </c>
      <c r="FJ18" s="25">
        <v>1</v>
      </c>
      <c r="FK18" s="25">
        <v>1</v>
      </c>
      <c r="FL18" s="25">
        <v>30</v>
      </c>
      <c r="FM18" s="25" t="s">
        <v>137</v>
      </c>
      <c r="FN18" s="25">
        <v>19550101</v>
      </c>
      <c r="FP18" s="28">
        <v>4</v>
      </c>
      <c r="FQ18" s="47">
        <v>1</v>
      </c>
      <c r="FR18" s="41">
        <v>1</v>
      </c>
      <c r="FS18" s="41" t="str">
        <f t="shared" si="0"/>
        <v>MFMM</v>
      </c>
      <c r="FT18" s="41">
        <f t="shared" si="1"/>
        <v>818</v>
      </c>
      <c r="FU18" s="41">
        <f t="shared" si="2"/>
        <v>30</v>
      </c>
      <c r="FV18" s="41">
        <v>5300</v>
      </c>
      <c r="FW18" s="41">
        <v>33.92</v>
      </c>
      <c r="FX18" s="41"/>
      <c r="FY18" s="29">
        <v>0</v>
      </c>
      <c r="FZ18" s="29">
        <v>0</v>
      </c>
      <c r="GA18" s="30">
        <v>0</v>
      </c>
      <c r="GB18" s="30">
        <v>0</v>
      </c>
      <c r="GC18" s="29">
        <v>0</v>
      </c>
      <c r="GD18" s="41">
        <v>0</v>
      </c>
      <c r="GE18" s="29">
        <v>0</v>
      </c>
      <c r="GF18" s="29">
        <v>0</v>
      </c>
      <c r="GG18" s="29">
        <v>0</v>
      </c>
      <c r="GH18" s="29">
        <v>0</v>
      </c>
      <c r="GI18" s="29">
        <v>0</v>
      </c>
      <c r="GJ18" s="29">
        <v>0</v>
      </c>
      <c r="GK18" s="29">
        <v>0</v>
      </c>
      <c r="GL18" s="29">
        <v>0</v>
      </c>
      <c r="GM18" s="29">
        <v>0</v>
      </c>
      <c r="GN18" s="29">
        <v>0</v>
      </c>
      <c r="GO18" s="29">
        <v>0</v>
      </c>
      <c r="GP18" s="29">
        <v>0</v>
      </c>
      <c r="GQ18" s="29">
        <v>0</v>
      </c>
      <c r="GR18" s="18">
        <v>1</v>
      </c>
      <c r="GS18" s="41">
        <v>2</v>
      </c>
      <c r="GT18" s="41" t="str">
        <f t="shared" si="3"/>
        <v>PURO</v>
      </c>
      <c r="GU18" s="41">
        <v>818</v>
      </c>
      <c r="GV18" s="41">
        <v>46</v>
      </c>
      <c r="GW18" s="41">
        <v>0</v>
      </c>
      <c r="GX18" s="41">
        <v>5.3</v>
      </c>
      <c r="GY18" s="41"/>
      <c r="GZ18" s="41">
        <v>0</v>
      </c>
      <c r="HA18" s="41">
        <v>0</v>
      </c>
      <c r="HB18" s="42">
        <v>0</v>
      </c>
      <c r="HC18" s="42">
        <v>0</v>
      </c>
      <c r="HD18" s="41">
        <v>0</v>
      </c>
      <c r="HE18" s="41">
        <v>0</v>
      </c>
      <c r="HF18" s="41">
        <v>0</v>
      </c>
      <c r="HG18" s="41">
        <v>0</v>
      </c>
      <c r="HH18" s="41">
        <v>0</v>
      </c>
      <c r="HI18" s="41">
        <v>0</v>
      </c>
      <c r="HJ18" s="41">
        <v>0</v>
      </c>
      <c r="HK18" s="41">
        <v>0</v>
      </c>
      <c r="HL18" s="41">
        <v>0</v>
      </c>
      <c r="HM18" s="41">
        <v>0</v>
      </c>
      <c r="HN18" s="41">
        <v>0</v>
      </c>
      <c r="HO18" s="41">
        <v>0</v>
      </c>
      <c r="HP18" s="41">
        <v>0</v>
      </c>
      <c r="HQ18" s="41">
        <v>0</v>
      </c>
      <c r="HR18" s="41">
        <v>0</v>
      </c>
      <c r="HS18" s="24">
        <v>1</v>
      </c>
      <c r="HT18" s="41">
        <v>3</v>
      </c>
      <c r="HU18" s="41" t="str">
        <f t="shared" si="4"/>
        <v>PUDS</v>
      </c>
      <c r="HV18" s="41">
        <v>818</v>
      </c>
      <c r="HW18" s="41">
        <v>46</v>
      </c>
      <c r="HX18" s="41">
        <v>0</v>
      </c>
      <c r="HY18" s="41">
        <v>4.24</v>
      </c>
      <c r="HZ18" s="42"/>
      <c r="IA18" s="41">
        <v>0</v>
      </c>
      <c r="IB18" s="41">
        <v>0</v>
      </c>
      <c r="IC18" s="42">
        <v>0</v>
      </c>
      <c r="ID18" s="42">
        <v>0</v>
      </c>
      <c r="IE18" s="41">
        <v>0</v>
      </c>
      <c r="IF18" s="43">
        <v>0</v>
      </c>
      <c r="IG18" s="41">
        <v>0</v>
      </c>
      <c r="IH18" s="41">
        <v>0</v>
      </c>
      <c r="II18" s="41">
        <v>0</v>
      </c>
      <c r="IJ18" s="41">
        <v>0</v>
      </c>
      <c r="IK18" s="41">
        <v>0</v>
      </c>
      <c r="IL18" s="41">
        <v>0</v>
      </c>
      <c r="IM18" s="41">
        <v>0</v>
      </c>
      <c r="IN18" s="41">
        <v>0</v>
      </c>
      <c r="IO18" s="41">
        <v>0</v>
      </c>
      <c r="IP18" s="41">
        <v>0</v>
      </c>
      <c r="IQ18" s="41">
        <v>0</v>
      </c>
      <c r="IR18" s="41">
        <v>0</v>
      </c>
      <c r="IS18" s="41">
        <v>0</v>
      </c>
      <c r="IT18" s="17">
        <v>1</v>
      </c>
      <c r="IU18" s="41">
        <v>4</v>
      </c>
      <c r="IV18" s="41">
        <f t="shared" si="5"/>
        <v>0</v>
      </c>
      <c r="IW18" s="41">
        <v>818</v>
      </c>
      <c r="IX18" s="41">
        <v>46</v>
      </c>
      <c r="IY18" s="41">
        <v>0</v>
      </c>
      <c r="IZ18" s="41"/>
      <c r="JA18" s="42"/>
      <c r="JB18" s="41">
        <v>0</v>
      </c>
      <c r="JC18" s="41">
        <v>0</v>
      </c>
      <c r="JD18" s="42">
        <v>0</v>
      </c>
      <c r="JE18" s="42">
        <v>0</v>
      </c>
      <c r="JF18" s="41">
        <v>0</v>
      </c>
      <c r="JG18" s="41">
        <v>0</v>
      </c>
      <c r="JH18" s="41">
        <v>0</v>
      </c>
      <c r="JI18" s="41">
        <v>0</v>
      </c>
      <c r="JJ18" s="41">
        <v>0</v>
      </c>
      <c r="JK18" s="41">
        <v>0</v>
      </c>
      <c r="JL18" s="41">
        <v>0</v>
      </c>
      <c r="JM18" s="41">
        <v>0</v>
      </c>
      <c r="JN18" s="41">
        <v>0</v>
      </c>
      <c r="JO18" s="41">
        <v>0</v>
      </c>
      <c r="JP18" s="41">
        <v>0</v>
      </c>
      <c r="JQ18" s="41">
        <v>0</v>
      </c>
      <c r="JR18" s="41">
        <v>0</v>
      </c>
      <c r="JS18" s="41">
        <v>0</v>
      </c>
      <c r="JT18" s="41">
        <v>0</v>
      </c>
      <c r="JU18"/>
    </row>
    <row r="19" spans="1:281" ht="15.75">
      <c r="A19" s="25">
        <v>13</v>
      </c>
      <c r="B19" s="25">
        <v>20190301</v>
      </c>
      <c r="C19" s="25"/>
      <c r="D19" s="25" t="s">
        <v>132</v>
      </c>
      <c r="E19" s="25" t="s">
        <v>132</v>
      </c>
      <c r="F19" s="25" t="s">
        <v>133</v>
      </c>
      <c r="G19" s="25"/>
      <c r="H19" s="25">
        <v>100000013</v>
      </c>
      <c r="I19" s="25" t="s">
        <v>134</v>
      </c>
      <c r="J19" s="25" t="s">
        <v>135</v>
      </c>
      <c r="K19" s="25" t="s">
        <v>132</v>
      </c>
      <c r="L19" s="25">
        <v>4</v>
      </c>
      <c r="M19" s="25">
        <v>1</v>
      </c>
      <c r="N19" s="25">
        <v>1</v>
      </c>
      <c r="O19" s="45" t="s">
        <v>136</v>
      </c>
      <c r="P19" s="25">
        <v>100</v>
      </c>
      <c r="Q19" s="25">
        <v>20180301</v>
      </c>
      <c r="R19" s="25">
        <v>20180301</v>
      </c>
      <c r="S19" s="25" t="s">
        <v>137</v>
      </c>
      <c r="T19" s="25" t="s">
        <v>143</v>
      </c>
      <c r="U19" s="25">
        <v>20190301</v>
      </c>
      <c r="V19" s="25">
        <v>6</v>
      </c>
      <c r="W19" s="25">
        <v>6</v>
      </c>
      <c r="X19" s="25" t="s">
        <v>139</v>
      </c>
      <c r="Y19" s="25">
        <v>0</v>
      </c>
      <c r="Z19" s="25" t="s">
        <v>140</v>
      </c>
      <c r="AA19" s="25">
        <v>818</v>
      </c>
      <c r="AB19" s="41">
        <v>0</v>
      </c>
      <c r="AC19" s="41">
        <v>12</v>
      </c>
      <c r="AD19" s="41">
        <v>20180201</v>
      </c>
      <c r="AE19" s="41">
        <v>0</v>
      </c>
      <c r="AF19" s="26">
        <v>10000</v>
      </c>
      <c r="AG19" s="41">
        <v>36</v>
      </c>
      <c r="AH19" s="26">
        <v>31</v>
      </c>
      <c r="AI19" s="26">
        <v>0</v>
      </c>
      <c r="AJ19" s="26">
        <v>0</v>
      </c>
      <c r="AK19" s="26">
        <v>0</v>
      </c>
      <c r="AL19" s="26">
        <v>0</v>
      </c>
      <c r="AM19" s="26">
        <v>0</v>
      </c>
      <c r="AN19" s="26">
        <v>0</v>
      </c>
      <c r="AO19" s="26">
        <v>0</v>
      </c>
      <c r="AP19" s="26">
        <v>0</v>
      </c>
      <c r="AQ19" s="26">
        <v>0</v>
      </c>
      <c r="AR19" s="26">
        <v>0</v>
      </c>
      <c r="AS19" s="26">
        <v>0</v>
      </c>
      <c r="AT19" s="26">
        <v>0</v>
      </c>
      <c r="AU19" s="26">
        <v>0</v>
      </c>
      <c r="AV19" s="26">
        <v>0</v>
      </c>
      <c r="AW19" s="26">
        <v>0</v>
      </c>
      <c r="AX19" s="26">
        <v>0</v>
      </c>
      <c r="AY19" s="46">
        <v>1</v>
      </c>
      <c r="AZ19" s="25">
        <v>2</v>
      </c>
      <c r="BA19" s="41" t="s">
        <v>203</v>
      </c>
      <c r="BB19" s="41">
        <v>100</v>
      </c>
      <c r="BC19" s="41">
        <v>20180301</v>
      </c>
      <c r="BD19" s="41">
        <v>20180301</v>
      </c>
      <c r="BE19" s="41" t="s">
        <v>198</v>
      </c>
      <c r="BF19" s="41" t="s">
        <v>149</v>
      </c>
      <c r="BG19" s="41">
        <v>20180301</v>
      </c>
      <c r="BH19" s="41">
        <v>0</v>
      </c>
      <c r="BI19" s="41">
        <v>0</v>
      </c>
      <c r="BJ19" s="41"/>
      <c r="BK19" s="41">
        <v>0</v>
      </c>
      <c r="BL19" s="41" t="s">
        <v>140</v>
      </c>
      <c r="BM19" s="41">
        <v>818</v>
      </c>
      <c r="BN19" s="41">
        <v>0</v>
      </c>
      <c r="BO19" s="41">
        <v>12</v>
      </c>
      <c r="BP19" s="41">
        <v>20180201</v>
      </c>
      <c r="BQ19" s="41">
        <v>0</v>
      </c>
      <c r="BR19" s="41">
        <v>0</v>
      </c>
      <c r="BS19" s="41">
        <v>5</v>
      </c>
      <c r="BT19" s="25">
        <v>31</v>
      </c>
      <c r="BU19" s="25">
        <v>0</v>
      </c>
      <c r="BV19" s="25">
        <v>0</v>
      </c>
      <c r="BW19" s="25">
        <v>0</v>
      </c>
      <c r="BX19" s="25">
        <v>0</v>
      </c>
      <c r="BY19" s="25">
        <v>0</v>
      </c>
      <c r="BZ19" s="25">
        <v>0</v>
      </c>
      <c r="CA19" s="25">
        <v>0</v>
      </c>
      <c r="CB19" s="25">
        <v>0</v>
      </c>
      <c r="CC19" s="25">
        <v>0</v>
      </c>
      <c r="CD19" s="25">
        <v>0</v>
      </c>
      <c r="CE19" s="25">
        <v>0</v>
      </c>
      <c r="CF19" s="25">
        <v>0</v>
      </c>
      <c r="CG19" s="25">
        <v>0</v>
      </c>
      <c r="CH19" s="25">
        <v>0</v>
      </c>
      <c r="CI19" s="25">
        <v>0</v>
      </c>
      <c r="CJ19" s="25">
        <v>0</v>
      </c>
      <c r="CK19" s="22">
        <v>1</v>
      </c>
      <c r="CL19" s="25">
        <v>3</v>
      </c>
      <c r="CM19" s="41" t="s">
        <v>151</v>
      </c>
      <c r="CN19" s="41">
        <v>100</v>
      </c>
      <c r="CO19" s="41">
        <v>20180301</v>
      </c>
      <c r="CP19" s="41">
        <v>20180301</v>
      </c>
      <c r="CQ19" s="41" t="s">
        <v>198</v>
      </c>
      <c r="CR19" s="41" t="s">
        <v>200</v>
      </c>
      <c r="CS19" s="41">
        <v>20180301</v>
      </c>
      <c r="CT19" s="41">
        <v>0</v>
      </c>
      <c r="CU19" s="41">
        <v>0</v>
      </c>
      <c r="CV19" s="41"/>
      <c r="CW19" s="41">
        <v>0</v>
      </c>
      <c r="CX19" s="41" t="s">
        <v>140</v>
      </c>
      <c r="CY19" s="41">
        <v>818</v>
      </c>
      <c r="CZ19" s="41">
        <v>0</v>
      </c>
      <c r="DA19" s="41">
        <v>12</v>
      </c>
      <c r="DB19" s="41">
        <v>20180201</v>
      </c>
      <c r="DC19" s="41">
        <v>0</v>
      </c>
      <c r="DD19" s="41">
        <v>0</v>
      </c>
      <c r="DE19" s="41">
        <v>5</v>
      </c>
      <c r="DF19" s="25">
        <v>31</v>
      </c>
      <c r="DG19" s="25">
        <v>0</v>
      </c>
      <c r="DH19" s="25">
        <v>0</v>
      </c>
      <c r="DI19" s="25">
        <v>0</v>
      </c>
      <c r="DJ19" s="25">
        <v>0</v>
      </c>
      <c r="DK19" s="25">
        <v>0</v>
      </c>
      <c r="DL19" s="25">
        <v>0</v>
      </c>
      <c r="DM19" s="25">
        <v>0</v>
      </c>
      <c r="DN19" s="25">
        <v>0</v>
      </c>
      <c r="DO19" s="25">
        <v>0</v>
      </c>
      <c r="DP19" s="25">
        <v>0</v>
      </c>
      <c r="DQ19" s="25">
        <v>0</v>
      </c>
      <c r="DR19" s="25">
        <v>0</v>
      </c>
      <c r="DS19" s="25">
        <v>0</v>
      </c>
      <c r="DT19" s="25">
        <v>0</v>
      </c>
      <c r="DU19" s="25">
        <v>0</v>
      </c>
      <c r="DV19" s="25">
        <v>0</v>
      </c>
      <c r="DW19" s="23">
        <v>1</v>
      </c>
      <c r="DX19" s="25">
        <v>4</v>
      </c>
      <c r="DY19" s="41"/>
      <c r="DZ19" s="41">
        <v>100</v>
      </c>
      <c r="EA19" s="41">
        <v>20180301</v>
      </c>
      <c r="EB19" s="41">
        <v>20180301</v>
      </c>
      <c r="EC19" s="41" t="s">
        <v>198</v>
      </c>
      <c r="ED19" s="41" t="s">
        <v>201</v>
      </c>
      <c r="EE19" s="41">
        <v>20180301</v>
      </c>
      <c r="EF19" s="41">
        <v>0</v>
      </c>
      <c r="EG19" s="41">
        <v>0</v>
      </c>
      <c r="EH19" s="41"/>
      <c r="EI19" s="41">
        <v>0</v>
      </c>
      <c r="EJ19" s="41" t="s">
        <v>140</v>
      </c>
      <c r="EK19" s="41">
        <v>818</v>
      </c>
      <c r="EL19" s="41">
        <v>0</v>
      </c>
      <c r="EM19" s="41">
        <v>12</v>
      </c>
      <c r="EN19" s="41">
        <v>20180201</v>
      </c>
      <c r="EO19" s="41">
        <v>0</v>
      </c>
      <c r="EP19" s="41">
        <v>0</v>
      </c>
      <c r="EQ19" s="41"/>
      <c r="ER19" s="25"/>
      <c r="ES19" s="25">
        <v>0</v>
      </c>
      <c r="ET19" s="25">
        <v>0</v>
      </c>
      <c r="EU19" s="25">
        <v>0</v>
      </c>
      <c r="EV19" s="25">
        <v>0</v>
      </c>
      <c r="EW19" s="25">
        <v>0</v>
      </c>
      <c r="EX19" s="25">
        <v>0</v>
      </c>
      <c r="EY19" s="25">
        <v>0</v>
      </c>
      <c r="EZ19" s="25">
        <v>0</v>
      </c>
      <c r="FA19" s="25">
        <v>0</v>
      </c>
      <c r="FB19" s="25">
        <v>0</v>
      </c>
      <c r="FC19" s="25">
        <v>0</v>
      </c>
      <c r="FD19" s="25">
        <v>0</v>
      </c>
      <c r="FE19" s="25">
        <v>0</v>
      </c>
      <c r="FF19" s="25">
        <v>0</v>
      </c>
      <c r="FG19" s="25">
        <v>0</v>
      </c>
      <c r="FH19" s="25">
        <v>0</v>
      </c>
      <c r="FI19" s="25">
        <v>1</v>
      </c>
      <c r="FJ19" s="25">
        <v>1</v>
      </c>
      <c r="FK19" s="25">
        <v>1</v>
      </c>
      <c r="FL19" s="25">
        <v>31</v>
      </c>
      <c r="FM19" s="25" t="s">
        <v>137</v>
      </c>
      <c r="FN19" s="25">
        <v>19530101</v>
      </c>
      <c r="FP19" s="28">
        <v>4</v>
      </c>
      <c r="FQ19" s="47">
        <v>1</v>
      </c>
      <c r="FR19" s="41">
        <v>1</v>
      </c>
      <c r="FS19" s="41" t="str">
        <f t="shared" si="0"/>
        <v>MFMM</v>
      </c>
      <c r="FT19" s="41">
        <f t="shared" si="1"/>
        <v>818</v>
      </c>
      <c r="FU19" s="41">
        <f t="shared" si="2"/>
        <v>31</v>
      </c>
      <c r="FV19" s="41">
        <v>10600</v>
      </c>
      <c r="FW19" s="41">
        <v>38.159999999999997</v>
      </c>
      <c r="FX19" s="41"/>
      <c r="FY19" s="29">
        <v>0</v>
      </c>
      <c r="FZ19" s="29">
        <v>0</v>
      </c>
      <c r="GA19" s="30">
        <v>0</v>
      </c>
      <c r="GB19" s="30">
        <v>0</v>
      </c>
      <c r="GC19" s="29">
        <v>0</v>
      </c>
      <c r="GD19" s="41">
        <v>0</v>
      </c>
      <c r="GE19" s="29">
        <v>0</v>
      </c>
      <c r="GF19" s="29">
        <v>0</v>
      </c>
      <c r="GG19" s="29">
        <v>0</v>
      </c>
      <c r="GH19" s="29">
        <v>0</v>
      </c>
      <c r="GI19" s="29">
        <v>0</v>
      </c>
      <c r="GJ19" s="29">
        <v>0</v>
      </c>
      <c r="GK19" s="29">
        <v>0</v>
      </c>
      <c r="GL19" s="29">
        <v>0</v>
      </c>
      <c r="GM19" s="29">
        <v>0</v>
      </c>
      <c r="GN19" s="29">
        <v>0</v>
      </c>
      <c r="GO19" s="29">
        <v>0</v>
      </c>
      <c r="GP19" s="29">
        <v>0</v>
      </c>
      <c r="GQ19" s="29">
        <v>0</v>
      </c>
      <c r="GR19" s="18">
        <v>1</v>
      </c>
      <c r="GS19" s="41">
        <v>2</v>
      </c>
      <c r="GT19" s="41" t="str">
        <f t="shared" si="3"/>
        <v>PURO</v>
      </c>
      <c r="GU19" s="41">
        <v>818</v>
      </c>
      <c r="GV19" s="41">
        <v>47</v>
      </c>
      <c r="GW19" s="41">
        <v>0</v>
      </c>
      <c r="GX19" s="41">
        <v>5.3</v>
      </c>
      <c r="GY19" s="41"/>
      <c r="GZ19" s="41">
        <v>0</v>
      </c>
      <c r="HA19" s="41">
        <v>0</v>
      </c>
      <c r="HB19" s="42">
        <v>0</v>
      </c>
      <c r="HC19" s="42">
        <v>0</v>
      </c>
      <c r="HD19" s="41">
        <v>0</v>
      </c>
      <c r="HE19" s="41">
        <v>0</v>
      </c>
      <c r="HF19" s="41">
        <v>0</v>
      </c>
      <c r="HG19" s="41">
        <v>0</v>
      </c>
      <c r="HH19" s="41">
        <v>0</v>
      </c>
      <c r="HI19" s="41">
        <v>0</v>
      </c>
      <c r="HJ19" s="41">
        <v>0</v>
      </c>
      <c r="HK19" s="41">
        <v>0</v>
      </c>
      <c r="HL19" s="41">
        <v>0</v>
      </c>
      <c r="HM19" s="41">
        <v>0</v>
      </c>
      <c r="HN19" s="41">
        <v>0</v>
      </c>
      <c r="HO19" s="41">
        <v>0</v>
      </c>
      <c r="HP19" s="41">
        <v>0</v>
      </c>
      <c r="HQ19" s="41">
        <v>0</v>
      </c>
      <c r="HR19" s="41">
        <v>0</v>
      </c>
      <c r="HS19" s="24">
        <v>1</v>
      </c>
      <c r="HT19" s="41">
        <v>3</v>
      </c>
      <c r="HU19" s="41" t="str">
        <f t="shared" si="4"/>
        <v>PUDS</v>
      </c>
      <c r="HV19" s="41">
        <v>818</v>
      </c>
      <c r="HW19" s="41">
        <v>47</v>
      </c>
      <c r="HX19" s="41">
        <v>0</v>
      </c>
      <c r="HY19" s="41">
        <v>5.3</v>
      </c>
      <c r="HZ19" s="42"/>
      <c r="IA19" s="41">
        <v>0</v>
      </c>
      <c r="IB19" s="41">
        <v>0</v>
      </c>
      <c r="IC19" s="42">
        <v>0</v>
      </c>
      <c r="ID19" s="42">
        <v>0</v>
      </c>
      <c r="IE19" s="41">
        <v>0</v>
      </c>
      <c r="IF19" s="43">
        <v>0</v>
      </c>
      <c r="IG19" s="41">
        <v>0</v>
      </c>
      <c r="IH19" s="41">
        <v>0</v>
      </c>
      <c r="II19" s="41">
        <v>0</v>
      </c>
      <c r="IJ19" s="41">
        <v>0</v>
      </c>
      <c r="IK19" s="41">
        <v>0</v>
      </c>
      <c r="IL19" s="41">
        <v>0</v>
      </c>
      <c r="IM19" s="41">
        <v>0</v>
      </c>
      <c r="IN19" s="41">
        <v>0</v>
      </c>
      <c r="IO19" s="41">
        <v>0</v>
      </c>
      <c r="IP19" s="41">
        <v>0</v>
      </c>
      <c r="IQ19" s="41">
        <v>0</v>
      </c>
      <c r="IR19" s="41">
        <v>0</v>
      </c>
      <c r="IS19" s="41">
        <v>0</v>
      </c>
      <c r="IT19" s="17">
        <v>1</v>
      </c>
      <c r="IU19" s="41">
        <v>4</v>
      </c>
      <c r="IV19" s="41">
        <f t="shared" si="5"/>
        <v>0</v>
      </c>
      <c r="IW19" s="41">
        <v>818</v>
      </c>
      <c r="IX19" s="41">
        <v>47</v>
      </c>
      <c r="IY19" s="41">
        <v>0</v>
      </c>
      <c r="IZ19" s="41"/>
      <c r="JA19" s="42"/>
      <c r="JB19" s="41">
        <v>0</v>
      </c>
      <c r="JC19" s="41">
        <v>0</v>
      </c>
      <c r="JD19" s="42">
        <v>0</v>
      </c>
      <c r="JE19" s="42">
        <v>0</v>
      </c>
      <c r="JF19" s="41">
        <v>0</v>
      </c>
      <c r="JG19" s="41">
        <v>0</v>
      </c>
      <c r="JH19" s="41">
        <v>0</v>
      </c>
      <c r="JI19" s="41">
        <v>0</v>
      </c>
      <c r="JJ19" s="41">
        <v>0</v>
      </c>
      <c r="JK19" s="41">
        <v>0</v>
      </c>
      <c r="JL19" s="41">
        <v>0</v>
      </c>
      <c r="JM19" s="41">
        <v>0</v>
      </c>
      <c r="JN19" s="41">
        <v>0</v>
      </c>
      <c r="JO19" s="41">
        <v>0</v>
      </c>
      <c r="JP19" s="41">
        <v>0</v>
      </c>
      <c r="JQ19" s="41">
        <v>0</v>
      </c>
      <c r="JR19" s="41">
        <v>0</v>
      </c>
      <c r="JS19" s="41">
        <v>0</v>
      </c>
      <c r="JT19" s="41">
        <v>0</v>
      </c>
      <c r="JU19"/>
    </row>
    <row r="20" spans="1:281" ht="15.75">
      <c r="A20" s="25">
        <v>14</v>
      </c>
      <c r="B20" s="25">
        <v>20190301</v>
      </c>
      <c r="C20" s="25"/>
      <c r="D20" s="25" t="s">
        <v>132</v>
      </c>
      <c r="E20" s="25" t="s">
        <v>132</v>
      </c>
      <c r="F20" s="25" t="s">
        <v>133</v>
      </c>
      <c r="G20" s="25"/>
      <c r="H20" s="25">
        <v>100000014</v>
      </c>
      <c r="I20" s="25" t="s">
        <v>134</v>
      </c>
      <c r="J20" s="25" t="s">
        <v>135</v>
      </c>
      <c r="K20" s="25" t="s">
        <v>132</v>
      </c>
      <c r="L20" s="25">
        <v>4</v>
      </c>
      <c r="M20" s="25">
        <v>1</v>
      </c>
      <c r="N20" s="25">
        <v>1</v>
      </c>
      <c r="O20" s="45" t="s">
        <v>136</v>
      </c>
      <c r="P20" s="25">
        <v>100</v>
      </c>
      <c r="Q20" s="25">
        <v>20180301</v>
      </c>
      <c r="R20" s="25">
        <v>20180301</v>
      </c>
      <c r="S20" s="25" t="s">
        <v>137</v>
      </c>
      <c r="T20" s="25" t="s">
        <v>143</v>
      </c>
      <c r="U20" s="25">
        <v>20190301</v>
      </c>
      <c r="V20" s="25">
        <v>6</v>
      </c>
      <c r="W20" s="25">
        <v>6</v>
      </c>
      <c r="X20" s="25" t="s">
        <v>139</v>
      </c>
      <c r="Y20" s="25">
        <v>0</v>
      </c>
      <c r="Z20" s="25" t="s">
        <v>140</v>
      </c>
      <c r="AA20" s="25">
        <v>818</v>
      </c>
      <c r="AB20" s="41">
        <v>0</v>
      </c>
      <c r="AC20" s="41">
        <v>12</v>
      </c>
      <c r="AD20" s="41">
        <v>20180201</v>
      </c>
      <c r="AE20" s="41">
        <v>0</v>
      </c>
      <c r="AF20" s="26">
        <v>15000</v>
      </c>
      <c r="AG20" s="41">
        <v>41</v>
      </c>
      <c r="AH20" s="26">
        <v>32</v>
      </c>
      <c r="AI20" s="26">
        <v>0</v>
      </c>
      <c r="AJ20" s="26">
        <v>0</v>
      </c>
      <c r="AK20" s="26">
        <v>0</v>
      </c>
      <c r="AL20" s="26">
        <v>0</v>
      </c>
      <c r="AM20" s="26">
        <v>0</v>
      </c>
      <c r="AN20" s="26">
        <v>0</v>
      </c>
      <c r="AO20" s="26">
        <v>0</v>
      </c>
      <c r="AP20" s="26">
        <v>0</v>
      </c>
      <c r="AQ20" s="26">
        <v>0</v>
      </c>
      <c r="AR20" s="26">
        <v>0</v>
      </c>
      <c r="AS20" s="26">
        <v>0</v>
      </c>
      <c r="AT20" s="26">
        <v>0</v>
      </c>
      <c r="AU20" s="26">
        <v>0</v>
      </c>
      <c r="AV20" s="26">
        <v>0</v>
      </c>
      <c r="AW20" s="26">
        <v>0</v>
      </c>
      <c r="AX20" s="26">
        <v>0</v>
      </c>
      <c r="AY20" s="46">
        <v>1</v>
      </c>
      <c r="AZ20" s="25">
        <v>2</v>
      </c>
      <c r="BA20" s="41" t="s">
        <v>203</v>
      </c>
      <c r="BB20" s="41">
        <v>100</v>
      </c>
      <c r="BC20" s="41">
        <v>20180301</v>
      </c>
      <c r="BD20" s="41">
        <v>20180301</v>
      </c>
      <c r="BE20" s="41" t="s">
        <v>198</v>
      </c>
      <c r="BF20" s="41" t="s">
        <v>149</v>
      </c>
      <c r="BG20" s="41">
        <v>20180301</v>
      </c>
      <c r="BH20" s="41">
        <v>0</v>
      </c>
      <c r="BI20" s="41">
        <v>0</v>
      </c>
      <c r="BJ20" s="41"/>
      <c r="BK20" s="41">
        <v>0</v>
      </c>
      <c r="BL20" s="41" t="s">
        <v>140</v>
      </c>
      <c r="BM20" s="41">
        <v>818</v>
      </c>
      <c r="BN20" s="41">
        <v>0</v>
      </c>
      <c r="BO20" s="41">
        <v>12</v>
      </c>
      <c r="BP20" s="41">
        <v>20180201</v>
      </c>
      <c r="BQ20" s="41">
        <v>0</v>
      </c>
      <c r="BR20" s="41">
        <v>0</v>
      </c>
      <c r="BS20" s="41">
        <v>5</v>
      </c>
      <c r="BT20" s="25">
        <v>32</v>
      </c>
      <c r="BU20" s="25">
        <v>0</v>
      </c>
      <c r="BV20" s="25">
        <v>0</v>
      </c>
      <c r="BW20" s="25">
        <v>0</v>
      </c>
      <c r="BX20" s="25">
        <v>0</v>
      </c>
      <c r="BY20" s="25">
        <v>0</v>
      </c>
      <c r="BZ20" s="25">
        <v>0</v>
      </c>
      <c r="CA20" s="25">
        <v>0</v>
      </c>
      <c r="CB20" s="25">
        <v>0</v>
      </c>
      <c r="CC20" s="25">
        <v>0</v>
      </c>
      <c r="CD20" s="25">
        <v>0</v>
      </c>
      <c r="CE20" s="25">
        <v>0</v>
      </c>
      <c r="CF20" s="25">
        <v>0</v>
      </c>
      <c r="CG20" s="25">
        <v>0</v>
      </c>
      <c r="CH20" s="25">
        <v>0</v>
      </c>
      <c r="CI20" s="25">
        <v>0</v>
      </c>
      <c r="CJ20" s="25">
        <v>0</v>
      </c>
      <c r="CK20" s="22">
        <v>1</v>
      </c>
      <c r="CL20" s="25">
        <v>3</v>
      </c>
      <c r="CM20" s="41" t="s">
        <v>151</v>
      </c>
      <c r="CN20" s="41">
        <v>100</v>
      </c>
      <c r="CO20" s="41">
        <v>20180301</v>
      </c>
      <c r="CP20" s="41">
        <v>20180301</v>
      </c>
      <c r="CQ20" s="41" t="s">
        <v>198</v>
      </c>
      <c r="CR20" s="41" t="s">
        <v>200</v>
      </c>
      <c r="CS20" s="41">
        <v>20180301</v>
      </c>
      <c r="CT20" s="41">
        <v>0</v>
      </c>
      <c r="CU20" s="41">
        <v>0</v>
      </c>
      <c r="CV20" s="41"/>
      <c r="CW20" s="41">
        <v>0</v>
      </c>
      <c r="CX20" s="41" t="s">
        <v>140</v>
      </c>
      <c r="CY20" s="41">
        <v>818</v>
      </c>
      <c r="CZ20" s="41">
        <v>0</v>
      </c>
      <c r="DA20" s="41">
        <v>12</v>
      </c>
      <c r="DB20" s="41">
        <v>20180201</v>
      </c>
      <c r="DC20" s="41">
        <v>0</v>
      </c>
      <c r="DD20" s="41">
        <v>0</v>
      </c>
      <c r="DE20" s="41">
        <v>5</v>
      </c>
      <c r="DF20" s="25">
        <v>32</v>
      </c>
      <c r="DG20" s="25">
        <v>0</v>
      </c>
      <c r="DH20" s="25">
        <v>0</v>
      </c>
      <c r="DI20" s="25">
        <v>0</v>
      </c>
      <c r="DJ20" s="25">
        <v>0</v>
      </c>
      <c r="DK20" s="25">
        <v>0</v>
      </c>
      <c r="DL20" s="25">
        <v>0</v>
      </c>
      <c r="DM20" s="25">
        <v>0</v>
      </c>
      <c r="DN20" s="25">
        <v>0</v>
      </c>
      <c r="DO20" s="25">
        <v>0</v>
      </c>
      <c r="DP20" s="25">
        <v>0</v>
      </c>
      <c r="DQ20" s="25">
        <v>0</v>
      </c>
      <c r="DR20" s="25">
        <v>0</v>
      </c>
      <c r="DS20" s="25">
        <v>0</v>
      </c>
      <c r="DT20" s="25">
        <v>0</v>
      </c>
      <c r="DU20" s="25">
        <v>0</v>
      </c>
      <c r="DV20" s="25">
        <v>0</v>
      </c>
      <c r="DW20" s="23">
        <v>1</v>
      </c>
      <c r="DX20" s="25">
        <v>4</v>
      </c>
      <c r="DY20" s="41"/>
      <c r="DZ20" s="41">
        <v>100</v>
      </c>
      <c r="EA20" s="41">
        <v>20180301</v>
      </c>
      <c r="EB20" s="41">
        <v>20180301</v>
      </c>
      <c r="EC20" s="41" t="s">
        <v>198</v>
      </c>
      <c r="ED20" s="41" t="s">
        <v>201</v>
      </c>
      <c r="EE20" s="41">
        <v>20180301</v>
      </c>
      <c r="EF20" s="41">
        <v>0</v>
      </c>
      <c r="EG20" s="41">
        <v>0</v>
      </c>
      <c r="EH20" s="41"/>
      <c r="EI20" s="41">
        <v>0</v>
      </c>
      <c r="EJ20" s="41" t="s">
        <v>140</v>
      </c>
      <c r="EK20" s="41">
        <v>818</v>
      </c>
      <c r="EL20" s="41">
        <v>0</v>
      </c>
      <c r="EM20" s="41">
        <v>12</v>
      </c>
      <c r="EN20" s="41">
        <v>20180201</v>
      </c>
      <c r="EO20" s="41">
        <v>0</v>
      </c>
      <c r="EP20" s="41">
        <v>0</v>
      </c>
      <c r="EQ20" s="41"/>
      <c r="ER20" s="25"/>
      <c r="ES20" s="25">
        <v>0</v>
      </c>
      <c r="ET20" s="25">
        <v>0</v>
      </c>
      <c r="EU20" s="25">
        <v>0</v>
      </c>
      <c r="EV20" s="25">
        <v>0</v>
      </c>
      <c r="EW20" s="25">
        <v>0</v>
      </c>
      <c r="EX20" s="25">
        <v>0</v>
      </c>
      <c r="EY20" s="25">
        <v>0</v>
      </c>
      <c r="EZ20" s="25">
        <v>0</v>
      </c>
      <c r="FA20" s="25">
        <v>0</v>
      </c>
      <c r="FB20" s="25">
        <v>0</v>
      </c>
      <c r="FC20" s="25">
        <v>0</v>
      </c>
      <c r="FD20" s="25">
        <v>0</v>
      </c>
      <c r="FE20" s="25">
        <v>0</v>
      </c>
      <c r="FF20" s="25">
        <v>0</v>
      </c>
      <c r="FG20" s="25">
        <v>0</v>
      </c>
      <c r="FH20" s="25">
        <v>0</v>
      </c>
      <c r="FI20" s="25">
        <v>1</v>
      </c>
      <c r="FJ20" s="25">
        <v>1</v>
      </c>
      <c r="FK20" s="25">
        <v>1</v>
      </c>
      <c r="FL20" s="25">
        <v>32</v>
      </c>
      <c r="FM20" s="25" t="s">
        <v>137</v>
      </c>
      <c r="FN20" s="25">
        <v>19540101</v>
      </c>
      <c r="FP20" s="28">
        <v>4</v>
      </c>
      <c r="FQ20" s="47">
        <v>1</v>
      </c>
      <c r="FR20" s="41">
        <v>1</v>
      </c>
      <c r="FS20" s="41" t="str">
        <f t="shared" si="0"/>
        <v>MFMM</v>
      </c>
      <c r="FT20" s="41">
        <f t="shared" si="1"/>
        <v>818</v>
      </c>
      <c r="FU20" s="41">
        <f t="shared" si="2"/>
        <v>32</v>
      </c>
      <c r="FV20" s="41">
        <v>15900</v>
      </c>
      <c r="FW20" s="41">
        <v>43.46</v>
      </c>
      <c r="FX20" s="41"/>
      <c r="FY20" s="29">
        <v>0</v>
      </c>
      <c r="FZ20" s="29">
        <v>0</v>
      </c>
      <c r="GA20" s="30">
        <v>0</v>
      </c>
      <c r="GB20" s="30">
        <v>0</v>
      </c>
      <c r="GC20" s="29">
        <v>0</v>
      </c>
      <c r="GD20" s="41">
        <v>0</v>
      </c>
      <c r="GE20" s="29">
        <v>0</v>
      </c>
      <c r="GF20" s="29">
        <v>0</v>
      </c>
      <c r="GG20" s="29">
        <v>0</v>
      </c>
      <c r="GH20" s="29">
        <v>0</v>
      </c>
      <c r="GI20" s="29">
        <v>0</v>
      </c>
      <c r="GJ20" s="29">
        <v>0</v>
      </c>
      <c r="GK20" s="29">
        <v>0</v>
      </c>
      <c r="GL20" s="29">
        <v>0</v>
      </c>
      <c r="GM20" s="29">
        <v>0</v>
      </c>
      <c r="GN20" s="29">
        <v>0</v>
      </c>
      <c r="GO20" s="29">
        <v>0</v>
      </c>
      <c r="GP20" s="29">
        <v>0</v>
      </c>
      <c r="GQ20" s="29">
        <v>0</v>
      </c>
      <c r="GR20" s="18">
        <v>1</v>
      </c>
      <c r="GS20" s="41">
        <v>2</v>
      </c>
      <c r="GT20" s="41" t="str">
        <f t="shared" si="3"/>
        <v>PURO</v>
      </c>
      <c r="GU20" s="41">
        <v>818</v>
      </c>
      <c r="GV20" s="41">
        <v>48</v>
      </c>
      <c r="GW20" s="41">
        <v>0</v>
      </c>
      <c r="GX20" s="41">
        <v>5.3</v>
      </c>
      <c r="GY20" s="41"/>
      <c r="GZ20" s="41">
        <v>0</v>
      </c>
      <c r="HA20" s="41">
        <v>0</v>
      </c>
      <c r="HB20" s="42">
        <v>0</v>
      </c>
      <c r="HC20" s="42">
        <v>0</v>
      </c>
      <c r="HD20" s="41">
        <v>0</v>
      </c>
      <c r="HE20" s="41">
        <v>0</v>
      </c>
      <c r="HF20" s="41">
        <v>0</v>
      </c>
      <c r="HG20" s="41">
        <v>0</v>
      </c>
      <c r="HH20" s="41">
        <v>0</v>
      </c>
      <c r="HI20" s="41">
        <v>0</v>
      </c>
      <c r="HJ20" s="41">
        <v>0</v>
      </c>
      <c r="HK20" s="41">
        <v>0</v>
      </c>
      <c r="HL20" s="41">
        <v>0</v>
      </c>
      <c r="HM20" s="41">
        <v>0</v>
      </c>
      <c r="HN20" s="41">
        <v>0</v>
      </c>
      <c r="HO20" s="41">
        <v>0</v>
      </c>
      <c r="HP20" s="41">
        <v>0</v>
      </c>
      <c r="HQ20" s="41">
        <v>0</v>
      </c>
      <c r="HR20" s="41">
        <v>0</v>
      </c>
      <c r="HS20" s="24">
        <v>1</v>
      </c>
      <c r="HT20" s="41">
        <v>3</v>
      </c>
      <c r="HU20" s="41" t="str">
        <f t="shared" si="4"/>
        <v>PUDS</v>
      </c>
      <c r="HV20" s="41">
        <v>818</v>
      </c>
      <c r="HW20" s="41">
        <v>48</v>
      </c>
      <c r="HX20" s="41">
        <v>0</v>
      </c>
      <c r="HY20" s="41">
        <v>5.3</v>
      </c>
      <c r="HZ20" s="42"/>
      <c r="IA20" s="41">
        <v>0</v>
      </c>
      <c r="IB20" s="41">
        <v>0</v>
      </c>
      <c r="IC20" s="42">
        <v>0</v>
      </c>
      <c r="ID20" s="42">
        <v>0</v>
      </c>
      <c r="IE20" s="41">
        <v>0</v>
      </c>
      <c r="IF20" s="43">
        <v>0</v>
      </c>
      <c r="IG20" s="41">
        <v>0</v>
      </c>
      <c r="IH20" s="41">
        <v>0</v>
      </c>
      <c r="II20" s="41">
        <v>0</v>
      </c>
      <c r="IJ20" s="41">
        <v>0</v>
      </c>
      <c r="IK20" s="41">
        <v>0</v>
      </c>
      <c r="IL20" s="41">
        <v>0</v>
      </c>
      <c r="IM20" s="41">
        <v>0</v>
      </c>
      <c r="IN20" s="41">
        <v>0</v>
      </c>
      <c r="IO20" s="41">
        <v>0</v>
      </c>
      <c r="IP20" s="41">
        <v>0</v>
      </c>
      <c r="IQ20" s="41">
        <v>0</v>
      </c>
      <c r="IR20" s="41">
        <v>0</v>
      </c>
      <c r="IS20" s="41">
        <v>0</v>
      </c>
      <c r="IT20" s="17">
        <v>1</v>
      </c>
      <c r="IU20" s="41">
        <v>4</v>
      </c>
      <c r="IV20" s="41">
        <f t="shared" si="5"/>
        <v>0</v>
      </c>
      <c r="IW20" s="41">
        <v>818</v>
      </c>
      <c r="IX20" s="41">
        <v>48</v>
      </c>
      <c r="IY20" s="41">
        <v>0</v>
      </c>
      <c r="IZ20" s="41"/>
      <c r="JA20" s="42"/>
      <c r="JB20" s="41">
        <v>0</v>
      </c>
      <c r="JC20" s="41">
        <v>0</v>
      </c>
      <c r="JD20" s="42">
        <v>0</v>
      </c>
      <c r="JE20" s="42">
        <v>0</v>
      </c>
      <c r="JF20" s="41">
        <v>0</v>
      </c>
      <c r="JG20" s="41">
        <v>0</v>
      </c>
      <c r="JH20" s="41">
        <v>0</v>
      </c>
      <c r="JI20" s="41">
        <v>0</v>
      </c>
      <c r="JJ20" s="41">
        <v>0</v>
      </c>
      <c r="JK20" s="41">
        <v>0</v>
      </c>
      <c r="JL20" s="41">
        <v>0</v>
      </c>
      <c r="JM20" s="41">
        <v>0</v>
      </c>
      <c r="JN20" s="41">
        <v>0</v>
      </c>
      <c r="JO20" s="41">
        <v>0</v>
      </c>
      <c r="JP20" s="41">
        <v>0</v>
      </c>
      <c r="JQ20" s="41">
        <v>0</v>
      </c>
      <c r="JR20" s="41">
        <v>0</v>
      </c>
      <c r="JS20" s="41">
        <v>0</v>
      </c>
      <c r="JT20" s="41">
        <v>0</v>
      </c>
      <c r="JU20"/>
    </row>
    <row r="21" spans="1:281" ht="15.75">
      <c r="A21" s="25">
        <v>15</v>
      </c>
      <c r="B21" s="25">
        <v>20190301</v>
      </c>
      <c r="C21" s="25"/>
      <c r="D21" s="25" t="s">
        <v>132</v>
      </c>
      <c r="E21" s="25" t="s">
        <v>132</v>
      </c>
      <c r="F21" s="25" t="s">
        <v>133</v>
      </c>
      <c r="G21" s="25"/>
      <c r="H21" s="25">
        <v>100000015</v>
      </c>
      <c r="I21" s="25" t="s">
        <v>134</v>
      </c>
      <c r="J21" s="25" t="s">
        <v>135</v>
      </c>
      <c r="K21" s="25" t="s">
        <v>132</v>
      </c>
      <c r="L21" s="25">
        <v>4</v>
      </c>
      <c r="M21" s="25">
        <v>1</v>
      </c>
      <c r="N21" s="25">
        <v>1</v>
      </c>
      <c r="O21" s="45" t="s">
        <v>136</v>
      </c>
      <c r="P21" s="25">
        <v>100</v>
      </c>
      <c r="Q21" s="25">
        <v>20180301</v>
      </c>
      <c r="R21" s="25">
        <v>20180301</v>
      </c>
      <c r="S21" s="25" t="s">
        <v>137</v>
      </c>
      <c r="T21" s="25" t="s">
        <v>143</v>
      </c>
      <c r="U21" s="25">
        <v>20190301</v>
      </c>
      <c r="V21" s="25">
        <v>6</v>
      </c>
      <c r="W21" s="25">
        <v>6</v>
      </c>
      <c r="X21" s="25" t="s">
        <v>139</v>
      </c>
      <c r="Y21" s="25">
        <v>0</v>
      </c>
      <c r="Z21" s="25" t="s">
        <v>140</v>
      </c>
      <c r="AA21" s="25">
        <v>818</v>
      </c>
      <c r="AB21" s="41">
        <v>0</v>
      </c>
      <c r="AC21" s="41">
        <v>12</v>
      </c>
      <c r="AD21" s="41">
        <v>20180201</v>
      </c>
      <c r="AE21" s="41">
        <v>0</v>
      </c>
      <c r="AF21" s="26">
        <v>20000</v>
      </c>
      <c r="AG21" s="41">
        <v>45</v>
      </c>
      <c r="AH21" s="26">
        <v>22</v>
      </c>
      <c r="AI21" s="26">
        <v>0</v>
      </c>
      <c r="AJ21" s="26">
        <v>0</v>
      </c>
      <c r="AK21" s="26">
        <v>0</v>
      </c>
      <c r="AL21" s="26">
        <v>0</v>
      </c>
      <c r="AM21" s="26">
        <v>0</v>
      </c>
      <c r="AN21" s="26">
        <v>0</v>
      </c>
      <c r="AO21" s="26">
        <v>0</v>
      </c>
      <c r="AP21" s="26">
        <v>0</v>
      </c>
      <c r="AQ21" s="26">
        <v>0</v>
      </c>
      <c r="AR21" s="26">
        <v>0</v>
      </c>
      <c r="AS21" s="26">
        <v>0</v>
      </c>
      <c r="AT21" s="26">
        <v>0</v>
      </c>
      <c r="AU21" s="26">
        <v>0</v>
      </c>
      <c r="AV21" s="26">
        <v>0</v>
      </c>
      <c r="AW21" s="26">
        <v>0</v>
      </c>
      <c r="AX21" s="26">
        <v>0</v>
      </c>
      <c r="AY21" s="46">
        <v>1</v>
      </c>
      <c r="AZ21" s="25">
        <v>2</v>
      </c>
      <c r="BA21" s="41" t="s">
        <v>203</v>
      </c>
      <c r="BB21" s="41">
        <v>100</v>
      </c>
      <c r="BC21" s="41">
        <v>20180301</v>
      </c>
      <c r="BD21" s="41">
        <v>20180301</v>
      </c>
      <c r="BE21" s="41" t="s">
        <v>198</v>
      </c>
      <c r="BF21" s="41" t="s">
        <v>149</v>
      </c>
      <c r="BG21" s="41">
        <v>20180301</v>
      </c>
      <c r="BH21" s="41">
        <v>0</v>
      </c>
      <c r="BI21" s="41">
        <v>0</v>
      </c>
      <c r="BJ21" s="41"/>
      <c r="BK21" s="41">
        <v>0</v>
      </c>
      <c r="BL21" s="41" t="s">
        <v>140</v>
      </c>
      <c r="BM21" s="41">
        <v>818</v>
      </c>
      <c r="BN21" s="41">
        <v>0</v>
      </c>
      <c r="BO21" s="41">
        <v>12</v>
      </c>
      <c r="BP21" s="41">
        <v>20180201</v>
      </c>
      <c r="BQ21" s="41">
        <v>0</v>
      </c>
      <c r="BR21" s="41">
        <v>0</v>
      </c>
      <c r="BS21" s="41">
        <v>6</v>
      </c>
      <c r="BT21" s="25">
        <v>22</v>
      </c>
      <c r="BU21" s="25">
        <v>0</v>
      </c>
      <c r="BV21" s="25">
        <v>0</v>
      </c>
      <c r="BW21" s="25">
        <v>0</v>
      </c>
      <c r="BX21" s="25">
        <v>0</v>
      </c>
      <c r="BY21" s="25">
        <v>0</v>
      </c>
      <c r="BZ21" s="25">
        <v>0</v>
      </c>
      <c r="CA21" s="25">
        <v>0</v>
      </c>
      <c r="CB21" s="25">
        <v>0</v>
      </c>
      <c r="CC21" s="25">
        <v>0</v>
      </c>
      <c r="CD21" s="25">
        <v>0</v>
      </c>
      <c r="CE21" s="25">
        <v>0</v>
      </c>
      <c r="CF21" s="25">
        <v>0</v>
      </c>
      <c r="CG21" s="25">
        <v>0</v>
      </c>
      <c r="CH21" s="25">
        <v>0</v>
      </c>
      <c r="CI21" s="25">
        <v>0</v>
      </c>
      <c r="CJ21" s="25">
        <v>0</v>
      </c>
      <c r="CK21" s="22">
        <v>1</v>
      </c>
      <c r="CL21" s="25">
        <v>3</v>
      </c>
      <c r="CM21" s="41" t="s">
        <v>151</v>
      </c>
      <c r="CN21" s="41">
        <v>100</v>
      </c>
      <c r="CO21" s="41">
        <v>20180301</v>
      </c>
      <c r="CP21" s="41">
        <v>20180301</v>
      </c>
      <c r="CQ21" s="41" t="s">
        <v>198</v>
      </c>
      <c r="CR21" s="41" t="s">
        <v>200</v>
      </c>
      <c r="CS21" s="41">
        <v>20180301</v>
      </c>
      <c r="CT21" s="41">
        <v>0</v>
      </c>
      <c r="CU21" s="41">
        <v>0</v>
      </c>
      <c r="CV21" s="41"/>
      <c r="CW21" s="41">
        <v>0</v>
      </c>
      <c r="CX21" s="41" t="s">
        <v>140</v>
      </c>
      <c r="CY21" s="41">
        <v>818</v>
      </c>
      <c r="CZ21" s="41">
        <v>0</v>
      </c>
      <c r="DA21" s="41">
        <v>12</v>
      </c>
      <c r="DB21" s="41">
        <v>20180201</v>
      </c>
      <c r="DC21" s="41">
        <v>0</v>
      </c>
      <c r="DD21" s="41">
        <v>0</v>
      </c>
      <c r="DE21" s="41">
        <v>5</v>
      </c>
      <c r="DF21" s="25">
        <v>22</v>
      </c>
      <c r="DG21" s="25">
        <v>0</v>
      </c>
      <c r="DH21" s="25">
        <v>0</v>
      </c>
      <c r="DI21" s="25">
        <v>0</v>
      </c>
      <c r="DJ21" s="25">
        <v>0</v>
      </c>
      <c r="DK21" s="25">
        <v>0</v>
      </c>
      <c r="DL21" s="25">
        <v>0</v>
      </c>
      <c r="DM21" s="25">
        <v>0</v>
      </c>
      <c r="DN21" s="25">
        <v>0</v>
      </c>
      <c r="DO21" s="25">
        <v>0</v>
      </c>
      <c r="DP21" s="25">
        <v>0</v>
      </c>
      <c r="DQ21" s="25">
        <v>0</v>
      </c>
      <c r="DR21" s="25">
        <v>0</v>
      </c>
      <c r="DS21" s="25">
        <v>0</v>
      </c>
      <c r="DT21" s="25">
        <v>0</v>
      </c>
      <c r="DU21" s="25">
        <v>0</v>
      </c>
      <c r="DV21" s="25">
        <v>0</v>
      </c>
      <c r="DW21" s="23">
        <v>1</v>
      </c>
      <c r="DX21" s="25">
        <v>4</v>
      </c>
      <c r="DY21" s="41"/>
      <c r="DZ21" s="41">
        <v>100</v>
      </c>
      <c r="EA21" s="41">
        <v>20180301</v>
      </c>
      <c r="EB21" s="41">
        <v>20180301</v>
      </c>
      <c r="EC21" s="41" t="s">
        <v>198</v>
      </c>
      <c r="ED21" s="41" t="s">
        <v>201</v>
      </c>
      <c r="EE21" s="41">
        <v>20180301</v>
      </c>
      <c r="EF21" s="41">
        <v>0</v>
      </c>
      <c r="EG21" s="41">
        <v>0</v>
      </c>
      <c r="EH21" s="41"/>
      <c r="EI21" s="41">
        <v>0</v>
      </c>
      <c r="EJ21" s="41" t="s">
        <v>140</v>
      </c>
      <c r="EK21" s="41">
        <v>818</v>
      </c>
      <c r="EL21" s="41">
        <v>0</v>
      </c>
      <c r="EM21" s="41">
        <v>12</v>
      </c>
      <c r="EN21" s="41">
        <v>20180201</v>
      </c>
      <c r="EO21" s="41">
        <v>0</v>
      </c>
      <c r="EP21" s="41">
        <v>0</v>
      </c>
      <c r="EQ21" s="41"/>
      <c r="ER21" s="25"/>
      <c r="ES21" s="25">
        <v>0</v>
      </c>
      <c r="ET21" s="25">
        <v>0</v>
      </c>
      <c r="EU21" s="25">
        <v>0</v>
      </c>
      <c r="EV21" s="25">
        <v>0</v>
      </c>
      <c r="EW21" s="25">
        <v>0</v>
      </c>
      <c r="EX21" s="25">
        <v>0</v>
      </c>
      <c r="EY21" s="25">
        <v>0</v>
      </c>
      <c r="EZ21" s="25">
        <v>0</v>
      </c>
      <c r="FA21" s="25">
        <v>0</v>
      </c>
      <c r="FB21" s="25">
        <v>0</v>
      </c>
      <c r="FC21" s="25">
        <v>0</v>
      </c>
      <c r="FD21" s="25">
        <v>0</v>
      </c>
      <c r="FE21" s="25">
        <v>0</v>
      </c>
      <c r="FF21" s="25">
        <v>0</v>
      </c>
      <c r="FG21" s="25">
        <v>0</v>
      </c>
      <c r="FH21" s="25">
        <v>0</v>
      </c>
      <c r="FI21" s="25">
        <v>1</v>
      </c>
      <c r="FJ21" s="25">
        <v>1</v>
      </c>
      <c r="FK21" s="25">
        <v>1</v>
      </c>
      <c r="FL21" s="25">
        <v>22</v>
      </c>
      <c r="FM21" s="25" t="s">
        <v>137</v>
      </c>
      <c r="FN21" s="25">
        <v>19520101</v>
      </c>
      <c r="FP21" s="28">
        <v>4</v>
      </c>
      <c r="FQ21" s="47">
        <v>1</v>
      </c>
      <c r="FR21" s="41">
        <v>1</v>
      </c>
      <c r="FS21" s="41" t="str">
        <f t="shared" si="0"/>
        <v>MFMM</v>
      </c>
      <c r="FT21" s="41">
        <f t="shared" si="1"/>
        <v>818</v>
      </c>
      <c r="FU21" s="41">
        <f t="shared" si="2"/>
        <v>22</v>
      </c>
      <c r="FV21" s="41">
        <v>21200</v>
      </c>
      <c r="FW21" s="41">
        <v>47.7</v>
      </c>
      <c r="FX21" s="41"/>
      <c r="FY21" s="29">
        <v>0</v>
      </c>
      <c r="FZ21" s="29">
        <v>0</v>
      </c>
      <c r="GA21" s="30">
        <v>0</v>
      </c>
      <c r="GB21" s="30">
        <v>0</v>
      </c>
      <c r="GC21" s="29">
        <v>0</v>
      </c>
      <c r="GD21" s="41">
        <v>0</v>
      </c>
      <c r="GE21" s="29">
        <v>0</v>
      </c>
      <c r="GF21" s="29">
        <v>0</v>
      </c>
      <c r="GG21" s="29">
        <v>0</v>
      </c>
      <c r="GH21" s="29">
        <v>0</v>
      </c>
      <c r="GI21" s="29">
        <v>0</v>
      </c>
      <c r="GJ21" s="29">
        <v>0</v>
      </c>
      <c r="GK21" s="29">
        <v>0</v>
      </c>
      <c r="GL21" s="29">
        <v>0</v>
      </c>
      <c r="GM21" s="29">
        <v>0</v>
      </c>
      <c r="GN21" s="29">
        <v>0</v>
      </c>
      <c r="GO21" s="29">
        <v>0</v>
      </c>
      <c r="GP21" s="29">
        <v>0</v>
      </c>
      <c r="GQ21" s="29">
        <v>0</v>
      </c>
      <c r="GR21" s="18">
        <v>1</v>
      </c>
      <c r="GS21" s="41">
        <v>2</v>
      </c>
      <c r="GT21" s="41" t="str">
        <f t="shared" si="3"/>
        <v>PURO</v>
      </c>
      <c r="GU21" s="41">
        <v>818</v>
      </c>
      <c r="GV21" s="41">
        <v>49</v>
      </c>
      <c r="GW21" s="41">
        <v>0</v>
      </c>
      <c r="GX21" s="41">
        <v>6.36</v>
      </c>
      <c r="GY21" s="41"/>
      <c r="GZ21" s="41">
        <v>0</v>
      </c>
      <c r="HA21" s="41">
        <v>0</v>
      </c>
      <c r="HB21" s="42">
        <v>0</v>
      </c>
      <c r="HC21" s="42">
        <v>0</v>
      </c>
      <c r="HD21" s="41">
        <v>0</v>
      </c>
      <c r="HE21" s="41">
        <v>0</v>
      </c>
      <c r="HF21" s="41">
        <v>0</v>
      </c>
      <c r="HG21" s="41">
        <v>0</v>
      </c>
      <c r="HH21" s="41">
        <v>0</v>
      </c>
      <c r="HI21" s="41">
        <v>0</v>
      </c>
      <c r="HJ21" s="41">
        <v>0</v>
      </c>
      <c r="HK21" s="41">
        <v>0</v>
      </c>
      <c r="HL21" s="41">
        <v>0</v>
      </c>
      <c r="HM21" s="41">
        <v>0</v>
      </c>
      <c r="HN21" s="41">
        <v>0</v>
      </c>
      <c r="HO21" s="41">
        <v>0</v>
      </c>
      <c r="HP21" s="41">
        <v>0</v>
      </c>
      <c r="HQ21" s="41">
        <v>0</v>
      </c>
      <c r="HR21" s="41">
        <v>0</v>
      </c>
      <c r="HS21" s="24">
        <v>1</v>
      </c>
      <c r="HT21" s="41">
        <v>3</v>
      </c>
      <c r="HU21" s="41" t="str">
        <f t="shared" si="4"/>
        <v>PUDS</v>
      </c>
      <c r="HV21" s="41">
        <v>818</v>
      </c>
      <c r="HW21" s="41">
        <v>49</v>
      </c>
      <c r="HX21" s="41">
        <v>0</v>
      </c>
      <c r="HY21" s="41">
        <v>5.3</v>
      </c>
      <c r="HZ21" s="42"/>
      <c r="IA21" s="41">
        <v>0</v>
      </c>
      <c r="IB21" s="41">
        <v>0</v>
      </c>
      <c r="IC21" s="42">
        <v>0</v>
      </c>
      <c r="ID21" s="42">
        <v>0</v>
      </c>
      <c r="IE21" s="41">
        <v>0</v>
      </c>
      <c r="IF21" s="43">
        <v>0</v>
      </c>
      <c r="IG21" s="41">
        <v>0</v>
      </c>
      <c r="IH21" s="41">
        <v>0</v>
      </c>
      <c r="II21" s="41">
        <v>0</v>
      </c>
      <c r="IJ21" s="41">
        <v>0</v>
      </c>
      <c r="IK21" s="41">
        <v>0</v>
      </c>
      <c r="IL21" s="41">
        <v>0</v>
      </c>
      <c r="IM21" s="41">
        <v>0</v>
      </c>
      <c r="IN21" s="41">
        <v>0</v>
      </c>
      <c r="IO21" s="41">
        <v>0</v>
      </c>
      <c r="IP21" s="41">
        <v>0</v>
      </c>
      <c r="IQ21" s="41">
        <v>0</v>
      </c>
      <c r="IR21" s="41">
        <v>0</v>
      </c>
      <c r="IS21" s="41">
        <v>0</v>
      </c>
      <c r="IT21" s="17">
        <v>1</v>
      </c>
      <c r="IU21" s="41">
        <v>4</v>
      </c>
      <c r="IV21" s="41">
        <f t="shared" si="5"/>
        <v>0</v>
      </c>
      <c r="IW21" s="41">
        <v>818</v>
      </c>
      <c r="IX21" s="41">
        <v>49</v>
      </c>
      <c r="IY21" s="41">
        <v>0</v>
      </c>
      <c r="IZ21" s="41"/>
      <c r="JA21" s="42"/>
      <c r="JB21" s="41">
        <v>0</v>
      </c>
      <c r="JC21" s="41">
        <v>0</v>
      </c>
      <c r="JD21" s="42">
        <v>0</v>
      </c>
      <c r="JE21" s="42">
        <v>0</v>
      </c>
      <c r="JF21" s="41">
        <v>0</v>
      </c>
      <c r="JG21" s="41">
        <v>0</v>
      </c>
      <c r="JH21" s="41">
        <v>0</v>
      </c>
      <c r="JI21" s="41">
        <v>0</v>
      </c>
      <c r="JJ21" s="41">
        <v>0</v>
      </c>
      <c r="JK21" s="41">
        <v>0</v>
      </c>
      <c r="JL21" s="41">
        <v>0</v>
      </c>
      <c r="JM21" s="41">
        <v>0</v>
      </c>
      <c r="JN21" s="41">
        <v>0</v>
      </c>
      <c r="JO21" s="41">
        <v>0</v>
      </c>
      <c r="JP21" s="41">
        <v>0</v>
      </c>
      <c r="JQ21" s="41">
        <v>0</v>
      </c>
      <c r="JR21" s="41">
        <v>0</v>
      </c>
      <c r="JS21" s="41">
        <v>0</v>
      </c>
      <c r="JT21" s="41">
        <v>0</v>
      </c>
      <c r="JU21"/>
    </row>
    <row r="22" spans="1:281" ht="15.75">
      <c r="A22" s="25">
        <v>16</v>
      </c>
      <c r="B22" s="25">
        <v>20190301</v>
      </c>
      <c r="C22" s="25"/>
      <c r="D22" s="25" t="s">
        <v>132</v>
      </c>
      <c r="E22" s="25" t="s">
        <v>132</v>
      </c>
      <c r="F22" s="25" t="s">
        <v>133</v>
      </c>
      <c r="G22" s="25"/>
      <c r="H22" s="25">
        <v>100000016</v>
      </c>
      <c r="I22" s="25" t="s">
        <v>134</v>
      </c>
      <c r="J22" s="25" t="s">
        <v>135</v>
      </c>
      <c r="K22" s="25" t="s">
        <v>132</v>
      </c>
      <c r="L22" s="25">
        <v>4</v>
      </c>
      <c r="M22" s="25">
        <v>1</v>
      </c>
      <c r="N22" s="25">
        <v>1</v>
      </c>
      <c r="O22" s="45" t="s">
        <v>136</v>
      </c>
      <c r="P22" s="25">
        <v>100</v>
      </c>
      <c r="Q22" s="25">
        <v>20180301</v>
      </c>
      <c r="R22" s="25">
        <v>20180301</v>
      </c>
      <c r="S22" s="25" t="s">
        <v>137</v>
      </c>
      <c r="T22" s="25" t="s">
        <v>145</v>
      </c>
      <c r="U22" s="25">
        <v>20190301</v>
      </c>
      <c r="V22" s="25">
        <v>6</v>
      </c>
      <c r="W22" s="25">
        <v>6</v>
      </c>
      <c r="X22" s="25" t="s">
        <v>139</v>
      </c>
      <c r="Y22" s="25">
        <v>0</v>
      </c>
      <c r="Z22" s="25" t="s">
        <v>140</v>
      </c>
      <c r="AA22" s="25">
        <v>818</v>
      </c>
      <c r="AB22" s="41">
        <v>0</v>
      </c>
      <c r="AC22" s="41">
        <v>12</v>
      </c>
      <c r="AD22" s="41">
        <v>20180201</v>
      </c>
      <c r="AE22" s="41">
        <v>0</v>
      </c>
      <c r="AF22" s="26">
        <v>25000</v>
      </c>
      <c r="AG22" s="41">
        <v>49</v>
      </c>
      <c r="AH22" s="26">
        <v>23</v>
      </c>
      <c r="AI22" s="26">
        <v>0</v>
      </c>
      <c r="AJ22" s="26">
        <v>0</v>
      </c>
      <c r="AK22" s="26">
        <v>0</v>
      </c>
      <c r="AL22" s="26">
        <v>0</v>
      </c>
      <c r="AM22" s="26">
        <v>0</v>
      </c>
      <c r="AN22" s="26">
        <v>0</v>
      </c>
      <c r="AO22" s="26">
        <v>0</v>
      </c>
      <c r="AP22" s="26">
        <v>0</v>
      </c>
      <c r="AQ22" s="26">
        <v>0</v>
      </c>
      <c r="AR22" s="26">
        <v>0</v>
      </c>
      <c r="AS22" s="26">
        <v>0</v>
      </c>
      <c r="AT22" s="26">
        <v>0</v>
      </c>
      <c r="AU22" s="26">
        <v>0</v>
      </c>
      <c r="AV22" s="26">
        <v>0</v>
      </c>
      <c r="AW22" s="26">
        <v>0</v>
      </c>
      <c r="AX22" s="26">
        <v>0</v>
      </c>
      <c r="AY22" s="46">
        <v>1</v>
      </c>
      <c r="AZ22" s="25">
        <v>2</v>
      </c>
      <c r="BA22" s="41" t="s">
        <v>203</v>
      </c>
      <c r="BB22" s="41">
        <v>100</v>
      </c>
      <c r="BC22" s="41">
        <v>20180301</v>
      </c>
      <c r="BD22" s="41">
        <v>20180301</v>
      </c>
      <c r="BE22" s="41" t="s">
        <v>198</v>
      </c>
      <c r="BF22" s="41" t="s">
        <v>149</v>
      </c>
      <c r="BG22" s="41">
        <v>20180301</v>
      </c>
      <c r="BH22" s="41">
        <v>0</v>
      </c>
      <c r="BI22" s="41">
        <v>0</v>
      </c>
      <c r="BJ22" s="41"/>
      <c r="BK22" s="41">
        <v>0</v>
      </c>
      <c r="BL22" s="41" t="s">
        <v>140</v>
      </c>
      <c r="BM22" s="41">
        <v>818</v>
      </c>
      <c r="BN22" s="41">
        <v>0</v>
      </c>
      <c r="BO22" s="41">
        <v>12</v>
      </c>
      <c r="BP22" s="41">
        <v>20180201</v>
      </c>
      <c r="BQ22" s="41">
        <v>0</v>
      </c>
      <c r="BR22" s="41">
        <v>0</v>
      </c>
      <c r="BS22" s="41">
        <v>6</v>
      </c>
      <c r="BT22" s="25">
        <v>23</v>
      </c>
      <c r="BU22" s="25">
        <v>0</v>
      </c>
      <c r="BV22" s="25">
        <v>0</v>
      </c>
      <c r="BW22" s="25">
        <v>0</v>
      </c>
      <c r="BX22" s="25">
        <v>0</v>
      </c>
      <c r="BY22" s="25">
        <v>0</v>
      </c>
      <c r="BZ22" s="25">
        <v>0</v>
      </c>
      <c r="CA22" s="25">
        <v>0</v>
      </c>
      <c r="CB22" s="25">
        <v>0</v>
      </c>
      <c r="CC22" s="25">
        <v>0</v>
      </c>
      <c r="CD22" s="25">
        <v>0</v>
      </c>
      <c r="CE22" s="25">
        <v>0</v>
      </c>
      <c r="CF22" s="25">
        <v>0</v>
      </c>
      <c r="CG22" s="25">
        <v>0</v>
      </c>
      <c r="CH22" s="25">
        <v>0</v>
      </c>
      <c r="CI22" s="25">
        <v>0</v>
      </c>
      <c r="CJ22" s="25">
        <v>0</v>
      </c>
      <c r="CK22" s="22">
        <v>1</v>
      </c>
      <c r="CL22" s="25">
        <v>3</v>
      </c>
      <c r="CM22" s="41" t="s">
        <v>151</v>
      </c>
      <c r="CN22" s="41">
        <v>100</v>
      </c>
      <c r="CO22" s="41">
        <v>20180301</v>
      </c>
      <c r="CP22" s="41">
        <v>20180301</v>
      </c>
      <c r="CQ22" s="41" t="s">
        <v>198</v>
      </c>
      <c r="CR22" s="41" t="s">
        <v>200</v>
      </c>
      <c r="CS22" s="41">
        <v>20180301</v>
      </c>
      <c r="CT22" s="41">
        <v>0</v>
      </c>
      <c r="CU22" s="41">
        <v>0</v>
      </c>
      <c r="CV22" s="41"/>
      <c r="CW22" s="41">
        <v>0</v>
      </c>
      <c r="CX22" s="41" t="s">
        <v>140</v>
      </c>
      <c r="CY22" s="41">
        <v>818</v>
      </c>
      <c r="CZ22" s="41">
        <v>0</v>
      </c>
      <c r="DA22" s="41">
        <v>12</v>
      </c>
      <c r="DB22" s="41">
        <v>20180201</v>
      </c>
      <c r="DC22" s="41">
        <v>0</v>
      </c>
      <c r="DD22" s="41">
        <v>0</v>
      </c>
      <c r="DE22" s="41">
        <v>5</v>
      </c>
      <c r="DF22" s="25">
        <v>23</v>
      </c>
      <c r="DG22" s="25">
        <v>0</v>
      </c>
      <c r="DH22" s="25">
        <v>0</v>
      </c>
      <c r="DI22" s="25">
        <v>0</v>
      </c>
      <c r="DJ22" s="25">
        <v>0</v>
      </c>
      <c r="DK22" s="25">
        <v>0</v>
      </c>
      <c r="DL22" s="25">
        <v>0</v>
      </c>
      <c r="DM22" s="25">
        <v>0</v>
      </c>
      <c r="DN22" s="25">
        <v>0</v>
      </c>
      <c r="DO22" s="25">
        <v>0</v>
      </c>
      <c r="DP22" s="25">
        <v>0</v>
      </c>
      <c r="DQ22" s="25">
        <v>0</v>
      </c>
      <c r="DR22" s="25">
        <v>0</v>
      </c>
      <c r="DS22" s="25">
        <v>0</v>
      </c>
      <c r="DT22" s="25">
        <v>0</v>
      </c>
      <c r="DU22" s="25">
        <v>0</v>
      </c>
      <c r="DV22" s="25">
        <v>0</v>
      </c>
      <c r="DW22" s="23">
        <v>1</v>
      </c>
      <c r="DX22" s="25">
        <v>4</v>
      </c>
      <c r="DY22" s="41"/>
      <c r="DZ22" s="41">
        <v>100</v>
      </c>
      <c r="EA22" s="41">
        <v>20180301</v>
      </c>
      <c r="EB22" s="41">
        <v>20180301</v>
      </c>
      <c r="EC22" s="41" t="s">
        <v>198</v>
      </c>
      <c r="ED22" s="41" t="s">
        <v>201</v>
      </c>
      <c r="EE22" s="41">
        <v>20180301</v>
      </c>
      <c r="EF22" s="41">
        <v>0</v>
      </c>
      <c r="EG22" s="41">
        <v>0</v>
      </c>
      <c r="EH22" s="41"/>
      <c r="EI22" s="41">
        <v>0</v>
      </c>
      <c r="EJ22" s="41" t="s">
        <v>140</v>
      </c>
      <c r="EK22" s="41">
        <v>818</v>
      </c>
      <c r="EL22" s="41">
        <v>0</v>
      </c>
      <c r="EM22" s="41">
        <v>12</v>
      </c>
      <c r="EN22" s="41">
        <v>20180201</v>
      </c>
      <c r="EO22" s="41">
        <v>0</v>
      </c>
      <c r="EP22" s="41">
        <v>0</v>
      </c>
      <c r="EQ22" s="41"/>
      <c r="ER22" s="25"/>
      <c r="ES22" s="25">
        <v>0</v>
      </c>
      <c r="ET22" s="25">
        <v>0</v>
      </c>
      <c r="EU22" s="25">
        <v>0</v>
      </c>
      <c r="EV22" s="25">
        <v>0</v>
      </c>
      <c r="EW22" s="25">
        <v>0</v>
      </c>
      <c r="EX22" s="25">
        <v>0</v>
      </c>
      <c r="EY22" s="25">
        <v>0</v>
      </c>
      <c r="EZ22" s="25">
        <v>0</v>
      </c>
      <c r="FA22" s="25">
        <v>0</v>
      </c>
      <c r="FB22" s="25">
        <v>0</v>
      </c>
      <c r="FC22" s="25">
        <v>0</v>
      </c>
      <c r="FD22" s="25">
        <v>0</v>
      </c>
      <c r="FE22" s="25">
        <v>0</v>
      </c>
      <c r="FF22" s="25">
        <v>0</v>
      </c>
      <c r="FG22" s="25">
        <v>0</v>
      </c>
      <c r="FH22" s="25">
        <v>0</v>
      </c>
      <c r="FI22" s="25">
        <v>1</v>
      </c>
      <c r="FJ22" s="25">
        <v>1</v>
      </c>
      <c r="FK22" s="25">
        <v>1</v>
      </c>
      <c r="FL22" s="25">
        <v>23</v>
      </c>
      <c r="FM22" s="25" t="s">
        <v>137</v>
      </c>
      <c r="FN22" s="25">
        <v>19530101</v>
      </c>
      <c r="FP22" s="28">
        <v>4</v>
      </c>
      <c r="FQ22" s="47">
        <v>1</v>
      </c>
      <c r="FR22" s="41">
        <v>1</v>
      </c>
      <c r="FS22" s="41" t="str">
        <f t="shared" si="0"/>
        <v>MFMM</v>
      </c>
      <c r="FT22" s="41">
        <f t="shared" si="1"/>
        <v>818</v>
      </c>
      <c r="FU22" s="41">
        <f t="shared" si="2"/>
        <v>23</v>
      </c>
      <c r="FV22" s="41">
        <v>26500</v>
      </c>
      <c r="FW22" s="41">
        <v>51.94</v>
      </c>
      <c r="FX22" s="41"/>
      <c r="FY22" s="29">
        <v>0</v>
      </c>
      <c r="FZ22" s="29">
        <v>0</v>
      </c>
      <c r="GA22" s="30">
        <v>0</v>
      </c>
      <c r="GB22" s="30">
        <v>0</v>
      </c>
      <c r="GC22" s="29">
        <v>0</v>
      </c>
      <c r="GD22" s="41">
        <v>0</v>
      </c>
      <c r="GE22" s="29">
        <v>0</v>
      </c>
      <c r="GF22" s="29">
        <v>0</v>
      </c>
      <c r="GG22" s="29">
        <v>0</v>
      </c>
      <c r="GH22" s="29">
        <v>0</v>
      </c>
      <c r="GI22" s="29">
        <v>0</v>
      </c>
      <c r="GJ22" s="29">
        <v>0</v>
      </c>
      <c r="GK22" s="29">
        <v>0</v>
      </c>
      <c r="GL22" s="29">
        <v>0</v>
      </c>
      <c r="GM22" s="29">
        <v>0</v>
      </c>
      <c r="GN22" s="29">
        <v>0</v>
      </c>
      <c r="GO22" s="29">
        <v>0</v>
      </c>
      <c r="GP22" s="29">
        <v>0</v>
      </c>
      <c r="GQ22" s="29">
        <v>0</v>
      </c>
      <c r="GR22" s="18">
        <v>1</v>
      </c>
      <c r="GS22" s="41">
        <v>2</v>
      </c>
      <c r="GT22" s="41" t="str">
        <f t="shared" si="3"/>
        <v>PURO</v>
      </c>
      <c r="GU22" s="41">
        <v>818</v>
      </c>
      <c r="GV22" s="41">
        <v>50</v>
      </c>
      <c r="GW22" s="41">
        <v>0</v>
      </c>
      <c r="GX22" s="41">
        <v>6.36</v>
      </c>
      <c r="GY22" s="41"/>
      <c r="GZ22" s="41">
        <v>0</v>
      </c>
      <c r="HA22" s="41">
        <v>0</v>
      </c>
      <c r="HB22" s="42">
        <v>0</v>
      </c>
      <c r="HC22" s="42">
        <v>0</v>
      </c>
      <c r="HD22" s="41">
        <v>0</v>
      </c>
      <c r="HE22" s="41">
        <v>0</v>
      </c>
      <c r="HF22" s="41">
        <v>0</v>
      </c>
      <c r="HG22" s="41">
        <v>0</v>
      </c>
      <c r="HH22" s="41">
        <v>0</v>
      </c>
      <c r="HI22" s="41">
        <v>0</v>
      </c>
      <c r="HJ22" s="41">
        <v>0</v>
      </c>
      <c r="HK22" s="41">
        <v>0</v>
      </c>
      <c r="HL22" s="41">
        <v>0</v>
      </c>
      <c r="HM22" s="41">
        <v>0</v>
      </c>
      <c r="HN22" s="41">
        <v>0</v>
      </c>
      <c r="HO22" s="41">
        <v>0</v>
      </c>
      <c r="HP22" s="41">
        <v>0</v>
      </c>
      <c r="HQ22" s="41">
        <v>0</v>
      </c>
      <c r="HR22" s="41">
        <v>0</v>
      </c>
      <c r="HS22" s="24">
        <v>1</v>
      </c>
      <c r="HT22" s="41">
        <v>3</v>
      </c>
      <c r="HU22" s="41" t="str">
        <f t="shared" si="4"/>
        <v>PUDS</v>
      </c>
      <c r="HV22" s="41">
        <v>818</v>
      </c>
      <c r="HW22" s="41">
        <v>50</v>
      </c>
      <c r="HX22" s="41">
        <v>0</v>
      </c>
      <c r="HY22" s="41">
        <v>5.3</v>
      </c>
      <c r="HZ22" s="42"/>
      <c r="IA22" s="41">
        <v>0</v>
      </c>
      <c r="IB22" s="41">
        <v>0</v>
      </c>
      <c r="IC22" s="42">
        <v>0</v>
      </c>
      <c r="ID22" s="42">
        <v>0</v>
      </c>
      <c r="IE22" s="41">
        <v>0</v>
      </c>
      <c r="IF22" s="43">
        <v>0</v>
      </c>
      <c r="IG22" s="41">
        <v>0</v>
      </c>
      <c r="IH22" s="41">
        <v>0</v>
      </c>
      <c r="II22" s="41">
        <v>0</v>
      </c>
      <c r="IJ22" s="41">
        <v>0</v>
      </c>
      <c r="IK22" s="41">
        <v>0</v>
      </c>
      <c r="IL22" s="41">
        <v>0</v>
      </c>
      <c r="IM22" s="41">
        <v>0</v>
      </c>
      <c r="IN22" s="41">
        <v>0</v>
      </c>
      <c r="IO22" s="41">
        <v>0</v>
      </c>
      <c r="IP22" s="41">
        <v>0</v>
      </c>
      <c r="IQ22" s="41">
        <v>0</v>
      </c>
      <c r="IR22" s="41">
        <v>0</v>
      </c>
      <c r="IS22" s="41">
        <v>0</v>
      </c>
      <c r="IT22" s="17">
        <v>1</v>
      </c>
      <c r="IU22" s="41">
        <v>4</v>
      </c>
      <c r="IV22" s="41">
        <f t="shared" si="5"/>
        <v>0</v>
      </c>
      <c r="IW22" s="41">
        <v>818</v>
      </c>
      <c r="IX22" s="41">
        <v>50</v>
      </c>
      <c r="IY22" s="41">
        <v>0</v>
      </c>
      <c r="IZ22" s="41"/>
      <c r="JA22" s="42"/>
      <c r="JB22" s="41">
        <v>0</v>
      </c>
      <c r="JC22" s="41">
        <v>0</v>
      </c>
      <c r="JD22" s="42">
        <v>0</v>
      </c>
      <c r="JE22" s="42">
        <v>0</v>
      </c>
      <c r="JF22" s="41">
        <v>0</v>
      </c>
      <c r="JG22" s="41">
        <v>0</v>
      </c>
      <c r="JH22" s="41">
        <v>0</v>
      </c>
      <c r="JI22" s="41">
        <v>0</v>
      </c>
      <c r="JJ22" s="41">
        <v>0</v>
      </c>
      <c r="JK22" s="41">
        <v>0</v>
      </c>
      <c r="JL22" s="41">
        <v>0</v>
      </c>
      <c r="JM22" s="41">
        <v>0</v>
      </c>
      <c r="JN22" s="41">
        <v>0</v>
      </c>
      <c r="JO22" s="41">
        <v>0</v>
      </c>
      <c r="JP22" s="41">
        <v>0</v>
      </c>
      <c r="JQ22" s="41">
        <v>0</v>
      </c>
      <c r="JR22" s="41">
        <v>0</v>
      </c>
      <c r="JS22" s="41">
        <v>0</v>
      </c>
      <c r="JT22" s="41">
        <v>0</v>
      </c>
      <c r="JU22"/>
    </row>
    <row r="23" spans="1:281" ht="15.75">
      <c r="A23" s="25">
        <v>17</v>
      </c>
      <c r="B23" s="25">
        <v>20190301</v>
      </c>
      <c r="C23" s="25"/>
      <c r="D23" s="25" t="s">
        <v>132</v>
      </c>
      <c r="E23" s="25" t="s">
        <v>132</v>
      </c>
      <c r="F23" s="25" t="s">
        <v>133</v>
      </c>
      <c r="G23" s="25"/>
      <c r="H23" s="25">
        <v>100000017</v>
      </c>
      <c r="I23" s="25" t="s">
        <v>134</v>
      </c>
      <c r="J23" s="25" t="s">
        <v>135</v>
      </c>
      <c r="K23" s="25" t="s">
        <v>132</v>
      </c>
      <c r="L23" s="25">
        <v>4</v>
      </c>
      <c r="M23" s="25">
        <v>1</v>
      </c>
      <c r="N23" s="25">
        <v>1</v>
      </c>
      <c r="O23" s="45" t="s">
        <v>136</v>
      </c>
      <c r="P23" s="25">
        <v>100</v>
      </c>
      <c r="Q23" s="25">
        <v>20180301</v>
      </c>
      <c r="R23" s="25">
        <v>20180301</v>
      </c>
      <c r="S23" s="25" t="s">
        <v>137</v>
      </c>
      <c r="T23" s="25" t="s">
        <v>145</v>
      </c>
      <c r="U23" s="25">
        <v>20190301</v>
      </c>
      <c r="V23" s="25">
        <v>6</v>
      </c>
      <c r="W23" s="25">
        <v>6</v>
      </c>
      <c r="X23" s="25" t="s">
        <v>139</v>
      </c>
      <c r="Y23" s="25">
        <v>0</v>
      </c>
      <c r="Z23" s="25" t="s">
        <v>140</v>
      </c>
      <c r="AA23" s="25">
        <v>818</v>
      </c>
      <c r="AB23" s="41">
        <v>0</v>
      </c>
      <c r="AC23" s="41">
        <v>12</v>
      </c>
      <c r="AD23" s="41">
        <v>20180201</v>
      </c>
      <c r="AE23" s="41">
        <v>0</v>
      </c>
      <c r="AF23" s="26">
        <v>30000</v>
      </c>
      <c r="AG23" s="41">
        <v>54</v>
      </c>
      <c r="AH23" s="26">
        <v>19</v>
      </c>
      <c r="AI23" s="26">
        <v>0</v>
      </c>
      <c r="AJ23" s="26">
        <v>0</v>
      </c>
      <c r="AK23" s="26">
        <v>0</v>
      </c>
      <c r="AL23" s="26">
        <v>0</v>
      </c>
      <c r="AM23" s="26">
        <v>0</v>
      </c>
      <c r="AN23" s="26">
        <v>0</v>
      </c>
      <c r="AO23" s="26">
        <v>0</v>
      </c>
      <c r="AP23" s="26">
        <v>0</v>
      </c>
      <c r="AQ23" s="26">
        <v>0</v>
      </c>
      <c r="AR23" s="26">
        <v>0</v>
      </c>
      <c r="AS23" s="26">
        <v>0</v>
      </c>
      <c r="AT23" s="26">
        <v>0</v>
      </c>
      <c r="AU23" s="26">
        <v>0</v>
      </c>
      <c r="AV23" s="26">
        <v>0</v>
      </c>
      <c r="AW23" s="26">
        <v>0</v>
      </c>
      <c r="AX23" s="26">
        <v>0</v>
      </c>
      <c r="AY23" s="46">
        <v>1</v>
      </c>
      <c r="AZ23" s="25">
        <v>2</v>
      </c>
      <c r="BA23" s="41" t="s">
        <v>203</v>
      </c>
      <c r="BB23" s="41">
        <v>100</v>
      </c>
      <c r="BC23" s="41">
        <v>20180301</v>
      </c>
      <c r="BD23" s="41">
        <v>20180301</v>
      </c>
      <c r="BE23" s="41" t="s">
        <v>198</v>
      </c>
      <c r="BF23" s="41" t="s">
        <v>149</v>
      </c>
      <c r="BG23" s="41">
        <v>20180301</v>
      </c>
      <c r="BH23" s="41">
        <v>0</v>
      </c>
      <c r="BI23" s="41">
        <v>0</v>
      </c>
      <c r="BJ23" s="41"/>
      <c r="BK23" s="41">
        <v>0</v>
      </c>
      <c r="BL23" s="41" t="s">
        <v>140</v>
      </c>
      <c r="BM23" s="41">
        <v>818</v>
      </c>
      <c r="BN23" s="41">
        <v>0</v>
      </c>
      <c r="BO23" s="41">
        <v>12</v>
      </c>
      <c r="BP23" s="41">
        <v>20180201</v>
      </c>
      <c r="BQ23" s="41">
        <v>0</v>
      </c>
      <c r="BR23" s="41">
        <v>0</v>
      </c>
      <c r="BS23" s="41">
        <v>6</v>
      </c>
      <c r="BT23" s="25">
        <v>19</v>
      </c>
      <c r="BU23" s="25">
        <v>0</v>
      </c>
      <c r="BV23" s="25">
        <v>0</v>
      </c>
      <c r="BW23" s="25">
        <v>0</v>
      </c>
      <c r="BX23" s="25">
        <v>0</v>
      </c>
      <c r="BY23" s="25">
        <v>0</v>
      </c>
      <c r="BZ23" s="25">
        <v>0</v>
      </c>
      <c r="CA23" s="25">
        <v>0</v>
      </c>
      <c r="CB23" s="25">
        <v>0</v>
      </c>
      <c r="CC23" s="25">
        <v>0</v>
      </c>
      <c r="CD23" s="25">
        <v>0</v>
      </c>
      <c r="CE23" s="25">
        <v>0</v>
      </c>
      <c r="CF23" s="25">
        <v>0</v>
      </c>
      <c r="CG23" s="25">
        <v>0</v>
      </c>
      <c r="CH23" s="25">
        <v>0</v>
      </c>
      <c r="CI23" s="25">
        <v>0</v>
      </c>
      <c r="CJ23" s="25">
        <v>0</v>
      </c>
      <c r="CK23" s="22">
        <v>1</v>
      </c>
      <c r="CL23" s="25">
        <v>3</v>
      </c>
      <c r="CM23" s="41" t="s">
        <v>151</v>
      </c>
      <c r="CN23" s="41">
        <v>100</v>
      </c>
      <c r="CO23" s="41">
        <v>20180301</v>
      </c>
      <c r="CP23" s="41">
        <v>20180301</v>
      </c>
      <c r="CQ23" s="41" t="s">
        <v>198</v>
      </c>
      <c r="CR23" s="41" t="s">
        <v>200</v>
      </c>
      <c r="CS23" s="41">
        <v>20180301</v>
      </c>
      <c r="CT23" s="41">
        <v>0</v>
      </c>
      <c r="CU23" s="41">
        <v>0</v>
      </c>
      <c r="CV23" s="41"/>
      <c r="CW23" s="41">
        <v>0</v>
      </c>
      <c r="CX23" s="41" t="s">
        <v>140</v>
      </c>
      <c r="CY23" s="41">
        <v>818</v>
      </c>
      <c r="CZ23" s="41">
        <v>0</v>
      </c>
      <c r="DA23" s="41">
        <v>12</v>
      </c>
      <c r="DB23" s="41">
        <v>20180201</v>
      </c>
      <c r="DC23" s="41">
        <v>0</v>
      </c>
      <c r="DD23" s="41">
        <v>0</v>
      </c>
      <c r="DE23" s="41">
        <v>5</v>
      </c>
      <c r="DF23" s="25">
        <v>19</v>
      </c>
      <c r="DG23" s="25">
        <v>0</v>
      </c>
      <c r="DH23" s="25">
        <v>0</v>
      </c>
      <c r="DI23" s="25">
        <v>0</v>
      </c>
      <c r="DJ23" s="25">
        <v>0</v>
      </c>
      <c r="DK23" s="25">
        <v>0</v>
      </c>
      <c r="DL23" s="25">
        <v>0</v>
      </c>
      <c r="DM23" s="25">
        <v>0</v>
      </c>
      <c r="DN23" s="25">
        <v>0</v>
      </c>
      <c r="DO23" s="25">
        <v>0</v>
      </c>
      <c r="DP23" s="25">
        <v>0</v>
      </c>
      <c r="DQ23" s="25">
        <v>0</v>
      </c>
      <c r="DR23" s="25">
        <v>0</v>
      </c>
      <c r="DS23" s="25">
        <v>0</v>
      </c>
      <c r="DT23" s="25">
        <v>0</v>
      </c>
      <c r="DU23" s="25">
        <v>0</v>
      </c>
      <c r="DV23" s="25">
        <v>0</v>
      </c>
      <c r="DW23" s="23">
        <v>1</v>
      </c>
      <c r="DX23" s="25">
        <v>4</v>
      </c>
      <c r="DY23" s="41"/>
      <c r="DZ23" s="41">
        <v>100</v>
      </c>
      <c r="EA23" s="41">
        <v>20180301</v>
      </c>
      <c r="EB23" s="41">
        <v>20180301</v>
      </c>
      <c r="EC23" s="41" t="s">
        <v>198</v>
      </c>
      <c r="ED23" s="41" t="s">
        <v>201</v>
      </c>
      <c r="EE23" s="41">
        <v>20180301</v>
      </c>
      <c r="EF23" s="41">
        <v>0</v>
      </c>
      <c r="EG23" s="41">
        <v>0</v>
      </c>
      <c r="EH23" s="41"/>
      <c r="EI23" s="41">
        <v>0</v>
      </c>
      <c r="EJ23" s="41" t="s">
        <v>140</v>
      </c>
      <c r="EK23" s="41">
        <v>818</v>
      </c>
      <c r="EL23" s="41">
        <v>0</v>
      </c>
      <c r="EM23" s="41">
        <v>12</v>
      </c>
      <c r="EN23" s="41">
        <v>20180201</v>
      </c>
      <c r="EO23" s="41">
        <v>0</v>
      </c>
      <c r="EP23" s="41">
        <v>0</v>
      </c>
      <c r="EQ23" s="41"/>
      <c r="ER23" s="25"/>
      <c r="ES23" s="25">
        <v>0</v>
      </c>
      <c r="ET23" s="25">
        <v>0</v>
      </c>
      <c r="EU23" s="25">
        <v>0</v>
      </c>
      <c r="EV23" s="25">
        <v>0</v>
      </c>
      <c r="EW23" s="25">
        <v>0</v>
      </c>
      <c r="EX23" s="25">
        <v>0</v>
      </c>
      <c r="EY23" s="25">
        <v>0</v>
      </c>
      <c r="EZ23" s="25">
        <v>0</v>
      </c>
      <c r="FA23" s="25">
        <v>0</v>
      </c>
      <c r="FB23" s="25">
        <v>0</v>
      </c>
      <c r="FC23" s="25">
        <v>0</v>
      </c>
      <c r="FD23" s="25">
        <v>0</v>
      </c>
      <c r="FE23" s="25">
        <v>0</v>
      </c>
      <c r="FF23" s="25">
        <v>0</v>
      </c>
      <c r="FG23" s="25">
        <v>0</v>
      </c>
      <c r="FH23" s="25">
        <v>0</v>
      </c>
      <c r="FI23" s="25">
        <v>1</v>
      </c>
      <c r="FJ23" s="25">
        <v>1</v>
      </c>
      <c r="FK23" s="25">
        <v>1</v>
      </c>
      <c r="FL23" s="25">
        <v>19</v>
      </c>
      <c r="FM23" s="25" t="s">
        <v>137</v>
      </c>
      <c r="FN23" s="25">
        <v>19510101</v>
      </c>
      <c r="FP23" s="28">
        <v>4</v>
      </c>
      <c r="FQ23" s="47">
        <v>1</v>
      </c>
      <c r="FR23" s="41">
        <v>1</v>
      </c>
      <c r="FS23" s="41" t="str">
        <f t="shared" si="0"/>
        <v>MFMM</v>
      </c>
      <c r="FT23" s="41">
        <f t="shared" si="1"/>
        <v>818</v>
      </c>
      <c r="FU23" s="41">
        <f t="shared" si="2"/>
        <v>19</v>
      </c>
      <c r="FV23" s="41">
        <v>31800</v>
      </c>
      <c r="FW23" s="41">
        <v>57.24</v>
      </c>
      <c r="FX23" s="41"/>
      <c r="FY23" s="29">
        <v>0</v>
      </c>
      <c r="FZ23" s="29">
        <v>0</v>
      </c>
      <c r="GA23" s="30">
        <v>0</v>
      </c>
      <c r="GB23" s="30">
        <v>0</v>
      </c>
      <c r="GC23" s="29">
        <v>0</v>
      </c>
      <c r="GD23" s="41">
        <v>0</v>
      </c>
      <c r="GE23" s="29">
        <v>0</v>
      </c>
      <c r="GF23" s="29">
        <v>0</v>
      </c>
      <c r="GG23" s="29">
        <v>0</v>
      </c>
      <c r="GH23" s="29">
        <v>0</v>
      </c>
      <c r="GI23" s="29">
        <v>0</v>
      </c>
      <c r="GJ23" s="29">
        <v>0</v>
      </c>
      <c r="GK23" s="29">
        <v>0</v>
      </c>
      <c r="GL23" s="29">
        <v>0</v>
      </c>
      <c r="GM23" s="29">
        <v>0</v>
      </c>
      <c r="GN23" s="29">
        <v>0</v>
      </c>
      <c r="GO23" s="29">
        <v>0</v>
      </c>
      <c r="GP23" s="29">
        <v>0</v>
      </c>
      <c r="GQ23" s="29">
        <v>0</v>
      </c>
      <c r="GR23" s="18">
        <v>1</v>
      </c>
      <c r="GS23" s="41">
        <v>2</v>
      </c>
      <c r="GT23" s="41" t="str">
        <f t="shared" si="3"/>
        <v>PURO</v>
      </c>
      <c r="GU23" s="41">
        <v>818</v>
      </c>
      <c r="GV23" s="41">
        <v>51</v>
      </c>
      <c r="GW23" s="41">
        <v>0</v>
      </c>
      <c r="GX23" s="41">
        <v>6.36</v>
      </c>
      <c r="GY23" s="41"/>
      <c r="GZ23" s="41">
        <v>0</v>
      </c>
      <c r="HA23" s="41">
        <v>0</v>
      </c>
      <c r="HB23" s="42">
        <v>0</v>
      </c>
      <c r="HC23" s="42">
        <v>0</v>
      </c>
      <c r="HD23" s="41">
        <v>0</v>
      </c>
      <c r="HE23" s="41">
        <v>0</v>
      </c>
      <c r="HF23" s="41">
        <v>0</v>
      </c>
      <c r="HG23" s="41">
        <v>0</v>
      </c>
      <c r="HH23" s="41">
        <v>0</v>
      </c>
      <c r="HI23" s="41">
        <v>0</v>
      </c>
      <c r="HJ23" s="41">
        <v>0</v>
      </c>
      <c r="HK23" s="41">
        <v>0</v>
      </c>
      <c r="HL23" s="41">
        <v>0</v>
      </c>
      <c r="HM23" s="41">
        <v>0</v>
      </c>
      <c r="HN23" s="41">
        <v>0</v>
      </c>
      <c r="HO23" s="41">
        <v>0</v>
      </c>
      <c r="HP23" s="41">
        <v>0</v>
      </c>
      <c r="HQ23" s="41">
        <v>0</v>
      </c>
      <c r="HR23" s="41">
        <v>0</v>
      </c>
      <c r="HS23" s="24">
        <v>1</v>
      </c>
      <c r="HT23" s="41">
        <v>3</v>
      </c>
      <c r="HU23" s="41" t="str">
        <f t="shared" si="4"/>
        <v>PUDS</v>
      </c>
      <c r="HV23" s="41">
        <v>818</v>
      </c>
      <c r="HW23" s="41">
        <v>51</v>
      </c>
      <c r="HX23" s="41">
        <v>0</v>
      </c>
      <c r="HY23" s="41">
        <v>5.3</v>
      </c>
      <c r="HZ23" s="42"/>
      <c r="IA23" s="41">
        <v>0</v>
      </c>
      <c r="IB23" s="41">
        <v>0</v>
      </c>
      <c r="IC23" s="42">
        <v>0</v>
      </c>
      <c r="ID23" s="42">
        <v>0</v>
      </c>
      <c r="IE23" s="41">
        <v>0</v>
      </c>
      <c r="IF23" s="43">
        <v>0</v>
      </c>
      <c r="IG23" s="41">
        <v>0</v>
      </c>
      <c r="IH23" s="41">
        <v>0</v>
      </c>
      <c r="II23" s="41">
        <v>0</v>
      </c>
      <c r="IJ23" s="41">
        <v>0</v>
      </c>
      <c r="IK23" s="41">
        <v>0</v>
      </c>
      <c r="IL23" s="41">
        <v>0</v>
      </c>
      <c r="IM23" s="41">
        <v>0</v>
      </c>
      <c r="IN23" s="41">
        <v>0</v>
      </c>
      <c r="IO23" s="41">
        <v>0</v>
      </c>
      <c r="IP23" s="41">
        <v>0</v>
      </c>
      <c r="IQ23" s="41">
        <v>0</v>
      </c>
      <c r="IR23" s="41">
        <v>0</v>
      </c>
      <c r="IS23" s="41">
        <v>0</v>
      </c>
      <c r="IT23" s="17">
        <v>1</v>
      </c>
      <c r="IU23" s="41">
        <v>4</v>
      </c>
      <c r="IV23" s="41">
        <f t="shared" si="5"/>
        <v>0</v>
      </c>
      <c r="IW23" s="41">
        <v>818</v>
      </c>
      <c r="IX23" s="41">
        <v>51</v>
      </c>
      <c r="IY23" s="41">
        <v>0</v>
      </c>
      <c r="IZ23" s="41"/>
      <c r="JA23" s="42"/>
      <c r="JB23" s="41">
        <v>0</v>
      </c>
      <c r="JC23" s="41">
        <v>0</v>
      </c>
      <c r="JD23" s="42">
        <v>0</v>
      </c>
      <c r="JE23" s="42">
        <v>0</v>
      </c>
      <c r="JF23" s="41">
        <v>0</v>
      </c>
      <c r="JG23" s="41">
        <v>0</v>
      </c>
      <c r="JH23" s="41">
        <v>0</v>
      </c>
      <c r="JI23" s="41">
        <v>0</v>
      </c>
      <c r="JJ23" s="41">
        <v>0</v>
      </c>
      <c r="JK23" s="41">
        <v>0</v>
      </c>
      <c r="JL23" s="41">
        <v>0</v>
      </c>
      <c r="JM23" s="41">
        <v>0</v>
      </c>
      <c r="JN23" s="41">
        <v>0</v>
      </c>
      <c r="JO23" s="41">
        <v>0</v>
      </c>
      <c r="JP23" s="41">
        <v>0</v>
      </c>
      <c r="JQ23" s="41">
        <v>0</v>
      </c>
      <c r="JR23" s="41">
        <v>0</v>
      </c>
      <c r="JS23" s="41">
        <v>0</v>
      </c>
      <c r="JT23" s="41">
        <v>0</v>
      </c>
      <c r="JU23"/>
    </row>
    <row r="24" spans="1:281" ht="15.75">
      <c r="A24" s="25">
        <v>18</v>
      </c>
      <c r="B24" s="25">
        <v>20190301</v>
      </c>
      <c r="C24" s="25"/>
      <c r="D24" s="25" t="s">
        <v>132</v>
      </c>
      <c r="E24" s="25" t="s">
        <v>132</v>
      </c>
      <c r="F24" s="25" t="s">
        <v>133</v>
      </c>
      <c r="G24" s="25"/>
      <c r="H24" s="25">
        <v>100000018</v>
      </c>
      <c r="I24" s="25" t="s">
        <v>134</v>
      </c>
      <c r="J24" s="25" t="s">
        <v>135</v>
      </c>
      <c r="K24" s="25" t="s">
        <v>132</v>
      </c>
      <c r="L24" s="25">
        <v>4</v>
      </c>
      <c r="M24" s="25">
        <v>1</v>
      </c>
      <c r="N24" s="25">
        <v>1</v>
      </c>
      <c r="O24" s="45" t="s">
        <v>141</v>
      </c>
      <c r="P24" s="25">
        <v>100</v>
      </c>
      <c r="Q24" s="25">
        <v>20180301</v>
      </c>
      <c r="R24" s="25">
        <v>20180301</v>
      </c>
      <c r="S24" s="25" t="s">
        <v>137</v>
      </c>
      <c r="T24" s="25" t="s">
        <v>145</v>
      </c>
      <c r="U24" s="25">
        <v>20190301</v>
      </c>
      <c r="V24" s="25">
        <v>6</v>
      </c>
      <c r="W24" s="25">
        <v>6</v>
      </c>
      <c r="X24" s="25" t="s">
        <v>139</v>
      </c>
      <c r="Y24" s="25">
        <v>0</v>
      </c>
      <c r="Z24" s="25" t="s">
        <v>140</v>
      </c>
      <c r="AA24" s="25">
        <v>818</v>
      </c>
      <c r="AB24" s="41">
        <v>0</v>
      </c>
      <c r="AC24" s="41">
        <v>12</v>
      </c>
      <c r="AD24" s="41">
        <v>20180201</v>
      </c>
      <c r="AE24" s="41">
        <v>0</v>
      </c>
      <c r="AF24" s="26">
        <v>5000</v>
      </c>
      <c r="AG24" s="41">
        <v>40</v>
      </c>
      <c r="AH24" s="26">
        <v>67</v>
      </c>
      <c r="AI24" s="26">
        <v>0</v>
      </c>
      <c r="AJ24" s="26">
        <v>0</v>
      </c>
      <c r="AK24" s="26">
        <v>0</v>
      </c>
      <c r="AL24" s="26">
        <v>0</v>
      </c>
      <c r="AM24" s="26">
        <v>0</v>
      </c>
      <c r="AN24" s="26">
        <v>0</v>
      </c>
      <c r="AO24" s="26">
        <v>0</v>
      </c>
      <c r="AP24" s="26">
        <v>0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46">
        <v>1</v>
      </c>
      <c r="AZ24" s="25">
        <v>2</v>
      </c>
      <c r="BA24" s="41" t="s">
        <v>203</v>
      </c>
      <c r="BB24" s="41">
        <v>100</v>
      </c>
      <c r="BC24" s="41">
        <v>20180301</v>
      </c>
      <c r="BD24" s="41">
        <v>20180301</v>
      </c>
      <c r="BE24" s="41" t="s">
        <v>198</v>
      </c>
      <c r="BF24" s="41" t="s">
        <v>149</v>
      </c>
      <c r="BG24" s="41">
        <v>20180301</v>
      </c>
      <c r="BH24" s="41">
        <v>0</v>
      </c>
      <c r="BI24" s="41">
        <v>0</v>
      </c>
      <c r="BJ24" s="41"/>
      <c r="BK24" s="41">
        <v>0</v>
      </c>
      <c r="BL24" s="41" t="s">
        <v>140</v>
      </c>
      <c r="BM24" s="41">
        <v>818</v>
      </c>
      <c r="BN24" s="41">
        <v>0</v>
      </c>
      <c r="BO24" s="41">
        <v>12</v>
      </c>
      <c r="BP24" s="41">
        <v>20180201</v>
      </c>
      <c r="BQ24" s="41">
        <v>0</v>
      </c>
      <c r="BR24" s="41">
        <v>0</v>
      </c>
      <c r="BS24" s="41">
        <v>21</v>
      </c>
      <c r="BT24" s="25">
        <v>67</v>
      </c>
      <c r="BU24" s="25">
        <v>0</v>
      </c>
      <c r="BV24" s="25">
        <v>0</v>
      </c>
      <c r="BW24" s="25">
        <v>0</v>
      </c>
      <c r="BX24" s="25">
        <v>0</v>
      </c>
      <c r="BY24" s="25">
        <v>0</v>
      </c>
      <c r="BZ24" s="25">
        <v>0</v>
      </c>
      <c r="CA24" s="25">
        <v>0</v>
      </c>
      <c r="CB24" s="25">
        <v>0</v>
      </c>
      <c r="CC24" s="25">
        <v>0</v>
      </c>
      <c r="CD24" s="25">
        <v>0</v>
      </c>
      <c r="CE24" s="25">
        <v>0</v>
      </c>
      <c r="CF24" s="25">
        <v>0</v>
      </c>
      <c r="CG24" s="25">
        <v>0</v>
      </c>
      <c r="CH24" s="25">
        <v>0</v>
      </c>
      <c r="CI24" s="25">
        <v>0</v>
      </c>
      <c r="CJ24" s="25">
        <v>0</v>
      </c>
      <c r="CK24" s="22">
        <v>1</v>
      </c>
      <c r="CL24" s="25">
        <v>3</v>
      </c>
      <c r="CM24" s="41" t="s">
        <v>150</v>
      </c>
      <c r="CN24" s="41">
        <v>100</v>
      </c>
      <c r="CO24" s="41">
        <v>20180301</v>
      </c>
      <c r="CP24" s="41">
        <v>20180301</v>
      </c>
      <c r="CQ24" s="41" t="s">
        <v>198</v>
      </c>
      <c r="CR24" s="41" t="s">
        <v>200</v>
      </c>
      <c r="CS24" s="41">
        <v>20180301</v>
      </c>
      <c r="CT24" s="41">
        <v>0</v>
      </c>
      <c r="CU24" s="41">
        <v>0</v>
      </c>
      <c r="CV24" s="41"/>
      <c r="CW24" s="41">
        <v>0</v>
      </c>
      <c r="CX24" s="41" t="s">
        <v>140</v>
      </c>
      <c r="CY24" s="41">
        <v>818</v>
      </c>
      <c r="CZ24" s="41">
        <v>0</v>
      </c>
      <c r="DA24" s="41">
        <v>12</v>
      </c>
      <c r="DB24" s="41">
        <v>20180201</v>
      </c>
      <c r="DC24" s="41">
        <v>0</v>
      </c>
      <c r="DD24" s="41">
        <v>0</v>
      </c>
      <c r="DE24" s="41">
        <v>14</v>
      </c>
      <c r="DF24" s="25">
        <v>67</v>
      </c>
      <c r="DG24" s="25">
        <v>0</v>
      </c>
      <c r="DH24" s="25">
        <v>0</v>
      </c>
      <c r="DI24" s="25">
        <v>0</v>
      </c>
      <c r="DJ24" s="25">
        <v>0</v>
      </c>
      <c r="DK24" s="25">
        <v>0</v>
      </c>
      <c r="DL24" s="25">
        <v>0</v>
      </c>
      <c r="DM24" s="25">
        <v>0</v>
      </c>
      <c r="DN24" s="25">
        <v>0</v>
      </c>
      <c r="DO24" s="25">
        <v>0</v>
      </c>
      <c r="DP24" s="25">
        <v>0</v>
      </c>
      <c r="DQ24" s="25">
        <v>0</v>
      </c>
      <c r="DR24" s="25">
        <v>0</v>
      </c>
      <c r="DS24" s="25">
        <v>0</v>
      </c>
      <c r="DT24" s="25">
        <v>0</v>
      </c>
      <c r="DU24" s="25">
        <v>0</v>
      </c>
      <c r="DV24" s="25">
        <v>0</v>
      </c>
      <c r="DW24" s="23">
        <v>1</v>
      </c>
      <c r="DX24" s="25">
        <v>4</v>
      </c>
      <c r="DY24" s="41" t="s">
        <v>151</v>
      </c>
      <c r="DZ24" s="41">
        <v>100</v>
      </c>
      <c r="EA24" s="41">
        <v>20180301</v>
      </c>
      <c r="EB24" s="41">
        <v>20180301</v>
      </c>
      <c r="EC24" s="41" t="s">
        <v>198</v>
      </c>
      <c r="ED24" s="41" t="s">
        <v>201</v>
      </c>
      <c r="EE24" s="41">
        <v>20180301</v>
      </c>
      <c r="EF24" s="41">
        <v>0</v>
      </c>
      <c r="EG24" s="41">
        <v>0</v>
      </c>
      <c r="EH24" s="41"/>
      <c r="EI24" s="41">
        <v>0</v>
      </c>
      <c r="EJ24" s="41" t="s">
        <v>140</v>
      </c>
      <c r="EK24" s="41">
        <v>818</v>
      </c>
      <c r="EL24" s="41">
        <v>0</v>
      </c>
      <c r="EM24" s="41">
        <v>12</v>
      </c>
      <c r="EN24" s="41">
        <v>20180201</v>
      </c>
      <c r="EO24" s="41">
        <v>0</v>
      </c>
      <c r="EP24" s="41">
        <v>0</v>
      </c>
      <c r="EQ24" s="41">
        <v>6</v>
      </c>
      <c r="ER24" s="25">
        <v>67</v>
      </c>
      <c r="ES24" s="25">
        <v>0</v>
      </c>
      <c r="ET24" s="25">
        <v>0</v>
      </c>
      <c r="EU24" s="25">
        <v>0</v>
      </c>
      <c r="EV24" s="25">
        <v>0</v>
      </c>
      <c r="EW24" s="25">
        <v>0</v>
      </c>
      <c r="EX24" s="25">
        <v>0</v>
      </c>
      <c r="EY24" s="25">
        <v>0</v>
      </c>
      <c r="EZ24" s="25">
        <v>0</v>
      </c>
      <c r="FA24" s="25">
        <v>0</v>
      </c>
      <c r="FB24" s="25">
        <v>0</v>
      </c>
      <c r="FC24" s="25">
        <v>0</v>
      </c>
      <c r="FD24" s="25">
        <v>0</v>
      </c>
      <c r="FE24" s="25">
        <v>0</v>
      </c>
      <c r="FF24" s="25">
        <v>0</v>
      </c>
      <c r="FG24" s="25">
        <v>0</v>
      </c>
      <c r="FH24" s="25">
        <v>0</v>
      </c>
      <c r="FI24" s="25">
        <v>1</v>
      </c>
      <c r="FJ24" s="25">
        <v>1</v>
      </c>
      <c r="FK24" s="25">
        <v>1</v>
      </c>
      <c r="FL24" s="25">
        <v>67</v>
      </c>
      <c r="FM24" s="25" t="s">
        <v>137</v>
      </c>
      <c r="FN24" s="25">
        <v>19520101</v>
      </c>
      <c r="FP24" s="28">
        <v>4</v>
      </c>
      <c r="FQ24" s="47">
        <v>1</v>
      </c>
      <c r="FR24" s="41">
        <v>1</v>
      </c>
      <c r="FS24" s="41" t="str">
        <f t="shared" si="0"/>
        <v>MFSP</v>
      </c>
      <c r="FT24" s="41">
        <f t="shared" si="1"/>
        <v>818</v>
      </c>
      <c r="FU24" s="41">
        <f t="shared" si="2"/>
        <v>67</v>
      </c>
      <c r="FV24" s="41">
        <v>5300</v>
      </c>
      <c r="FW24" s="41">
        <v>42.4</v>
      </c>
      <c r="FX24" s="41"/>
      <c r="FY24" s="29">
        <v>0</v>
      </c>
      <c r="FZ24" s="29">
        <v>0</v>
      </c>
      <c r="GA24" s="30">
        <v>0</v>
      </c>
      <c r="GB24" s="30">
        <v>0</v>
      </c>
      <c r="GC24" s="29">
        <v>0</v>
      </c>
      <c r="GD24" s="41">
        <v>0</v>
      </c>
      <c r="GE24" s="29">
        <v>0</v>
      </c>
      <c r="GF24" s="29">
        <v>0</v>
      </c>
      <c r="GG24" s="29">
        <v>0</v>
      </c>
      <c r="GH24" s="29">
        <v>0</v>
      </c>
      <c r="GI24" s="29">
        <v>0</v>
      </c>
      <c r="GJ24" s="29">
        <v>0</v>
      </c>
      <c r="GK24" s="29">
        <v>0</v>
      </c>
      <c r="GL24" s="29">
        <v>0</v>
      </c>
      <c r="GM24" s="29">
        <v>0</v>
      </c>
      <c r="GN24" s="29">
        <v>0</v>
      </c>
      <c r="GO24" s="29">
        <v>0</v>
      </c>
      <c r="GP24" s="29">
        <v>0</v>
      </c>
      <c r="GQ24" s="29">
        <v>0</v>
      </c>
      <c r="GR24" s="18">
        <v>1</v>
      </c>
      <c r="GS24" s="41">
        <v>2</v>
      </c>
      <c r="GT24" s="41" t="str">
        <f t="shared" si="3"/>
        <v>PURO</v>
      </c>
      <c r="GU24" s="41">
        <v>818</v>
      </c>
      <c r="GV24" s="41">
        <v>52</v>
      </c>
      <c r="GW24" s="41">
        <v>0</v>
      </c>
      <c r="GX24" s="41">
        <v>22.26</v>
      </c>
      <c r="GY24" s="41"/>
      <c r="GZ24" s="41">
        <v>0</v>
      </c>
      <c r="HA24" s="41">
        <v>0</v>
      </c>
      <c r="HB24" s="42">
        <v>0</v>
      </c>
      <c r="HC24" s="42">
        <v>0</v>
      </c>
      <c r="HD24" s="41">
        <v>0</v>
      </c>
      <c r="HE24" s="41">
        <v>0</v>
      </c>
      <c r="HF24" s="41">
        <v>0</v>
      </c>
      <c r="HG24" s="41">
        <v>0</v>
      </c>
      <c r="HH24" s="41">
        <v>0</v>
      </c>
      <c r="HI24" s="41">
        <v>0</v>
      </c>
      <c r="HJ24" s="41">
        <v>0</v>
      </c>
      <c r="HK24" s="41">
        <v>0</v>
      </c>
      <c r="HL24" s="41">
        <v>0</v>
      </c>
      <c r="HM24" s="41">
        <v>0</v>
      </c>
      <c r="HN24" s="41">
        <v>0</v>
      </c>
      <c r="HO24" s="41">
        <v>0</v>
      </c>
      <c r="HP24" s="41">
        <v>0</v>
      </c>
      <c r="HQ24" s="41">
        <v>0</v>
      </c>
      <c r="HR24" s="41">
        <v>0</v>
      </c>
      <c r="HS24" s="24">
        <v>1</v>
      </c>
      <c r="HT24" s="41">
        <v>3</v>
      </c>
      <c r="HU24" s="41" t="str">
        <f t="shared" si="4"/>
        <v>PUDT</v>
      </c>
      <c r="HV24" s="41">
        <v>818</v>
      </c>
      <c r="HW24" s="41">
        <v>52</v>
      </c>
      <c r="HX24" s="41">
        <v>0</v>
      </c>
      <c r="HY24" s="41">
        <v>14.84</v>
      </c>
      <c r="HZ24" s="42"/>
      <c r="IA24" s="41">
        <v>0</v>
      </c>
      <c r="IB24" s="41">
        <v>0</v>
      </c>
      <c r="IC24" s="42">
        <v>0</v>
      </c>
      <c r="ID24" s="42">
        <v>0</v>
      </c>
      <c r="IE24" s="41">
        <v>0</v>
      </c>
      <c r="IF24" s="43">
        <v>0</v>
      </c>
      <c r="IG24" s="41">
        <v>0</v>
      </c>
      <c r="IH24" s="41">
        <v>0</v>
      </c>
      <c r="II24" s="41">
        <v>0</v>
      </c>
      <c r="IJ24" s="41">
        <v>0</v>
      </c>
      <c r="IK24" s="41">
        <v>0</v>
      </c>
      <c r="IL24" s="41">
        <v>0</v>
      </c>
      <c r="IM24" s="41">
        <v>0</v>
      </c>
      <c r="IN24" s="41">
        <v>0</v>
      </c>
      <c r="IO24" s="41">
        <v>0</v>
      </c>
      <c r="IP24" s="41">
        <v>0</v>
      </c>
      <c r="IQ24" s="41">
        <v>0</v>
      </c>
      <c r="IR24" s="41">
        <v>0</v>
      </c>
      <c r="IS24" s="41">
        <v>0</v>
      </c>
      <c r="IT24" s="17">
        <v>1</v>
      </c>
      <c r="IU24" s="41">
        <v>4</v>
      </c>
      <c r="IV24" s="41" t="str">
        <f t="shared" si="5"/>
        <v>PUDS</v>
      </c>
      <c r="IW24" s="41">
        <v>818</v>
      </c>
      <c r="IX24" s="41">
        <v>52</v>
      </c>
      <c r="IY24" s="41">
        <v>0</v>
      </c>
      <c r="IZ24" s="41">
        <v>6.36</v>
      </c>
      <c r="JA24" s="42"/>
      <c r="JB24" s="41">
        <v>0</v>
      </c>
      <c r="JC24" s="41">
        <v>0</v>
      </c>
      <c r="JD24" s="42">
        <v>0</v>
      </c>
      <c r="JE24" s="42">
        <v>0</v>
      </c>
      <c r="JF24" s="41">
        <v>0</v>
      </c>
      <c r="JG24" s="41">
        <v>0</v>
      </c>
      <c r="JH24" s="41">
        <v>0</v>
      </c>
      <c r="JI24" s="41">
        <v>0</v>
      </c>
      <c r="JJ24" s="41">
        <v>0</v>
      </c>
      <c r="JK24" s="41">
        <v>0</v>
      </c>
      <c r="JL24" s="41">
        <v>0</v>
      </c>
      <c r="JM24" s="41">
        <v>0</v>
      </c>
      <c r="JN24" s="41">
        <v>0</v>
      </c>
      <c r="JO24" s="41">
        <v>0</v>
      </c>
      <c r="JP24" s="41">
        <v>0</v>
      </c>
      <c r="JQ24" s="41">
        <v>0</v>
      </c>
      <c r="JR24" s="41">
        <v>0</v>
      </c>
      <c r="JS24" s="41">
        <v>0</v>
      </c>
      <c r="JT24" s="41">
        <v>0</v>
      </c>
      <c r="JU24"/>
    </row>
    <row r="25" spans="1:281" ht="15.75">
      <c r="A25" s="25">
        <v>19</v>
      </c>
      <c r="B25" s="25">
        <v>20190301</v>
      </c>
      <c r="C25" s="25"/>
      <c r="D25" s="25" t="s">
        <v>132</v>
      </c>
      <c r="E25" s="25" t="s">
        <v>132</v>
      </c>
      <c r="F25" s="25" t="s">
        <v>133</v>
      </c>
      <c r="G25" s="25"/>
      <c r="H25" s="25">
        <v>100000019</v>
      </c>
      <c r="I25" s="25" t="s">
        <v>134</v>
      </c>
      <c r="J25" s="25" t="s">
        <v>135</v>
      </c>
      <c r="K25" s="25" t="s">
        <v>132</v>
      </c>
      <c r="L25" s="25">
        <v>4</v>
      </c>
      <c r="M25" s="25">
        <v>1</v>
      </c>
      <c r="N25" s="25">
        <v>1</v>
      </c>
      <c r="O25" s="45" t="s">
        <v>141</v>
      </c>
      <c r="P25" s="25">
        <v>100</v>
      </c>
      <c r="Q25" s="25">
        <v>20180301</v>
      </c>
      <c r="R25" s="25">
        <v>20180301</v>
      </c>
      <c r="S25" s="25" t="s">
        <v>137</v>
      </c>
      <c r="T25" s="25" t="s">
        <v>145</v>
      </c>
      <c r="U25" s="25">
        <v>20190301</v>
      </c>
      <c r="V25" s="25">
        <v>6</v>
      </c>
      <c r="W25" s="25">
        <v>6</v>
      </c>
      <c r="X25" s="25" t="s">
        <v>139</v>
      </c>
      <c r="Y25" s="25">
        <v>0</v>
      </c>
      <c r="Z25" s="25" t="s">
        <v>140</v>
      </c>
      <c r="AA25" s="25">
        <v>818</v>
      </c>
      <c r="AB25" s="41">
        <v>0</v>
      </c>
      <c r="AC25" s="41">
        <v>12</v>
      </c>
      <c r="AD25" s="41">
        <v>20180201</v>
      </c>
      <c r="AE25" s="41">
        <v>0</v>
      </c>
      <c r="AF25" s="26">
        <v>10000</v>
      </c>
      <c r="AG25" s="41">
        <v>63</v>
      </c>
      <c r="AH25" s="26">
        <v>66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26">
        <v>0</v>
      </c>
      <c r="AP25" s="26">
        <v>0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0</v>
      </c>
      <c r="AW25" s="26">
        <v>0</v>
      </c>
      <c r="AX25" s="26">
        <v>0</v>
      </c>
      <c r="AY25" s="46">
        <v>1</v>
      </c>
      <c r="AZ25" s="25">
        <v>2</v>
      </c>
      <c r="BA25" s="41" t="s">
        <v>203</v>
      </c>
      <c r="BB25" s="41">
        <v>100</v>
      </c>
      <c r="BC25" s="41">
        <v>20180301</v>
      </c>
      <c r="BD25" s="41">
        <v>20180301</v>
      </c>
      <c r="BE25" s="41" t="s">
        <v>198</v>
      </c>
      <c r="BF25" s="41" t="s">
        <v>149</v>
      </c>
      <c r="BG25" s="41">
        <v>20180301</v>
      </c>
      <c r="BH25" s="41">
        <v>0</v>
      </c>
      <c r="BI25" s="41">
        <v>0</v>
      </c>
      <c r="BJ25" s="41"/>
      <c r="BK25" s="41">
        <v>0</v>
      </c>
      <c r="BL25" s="41" t="s">
        <v>140</v>
      </c>
      <c r="BM25" s="41">
        <v>818</v>
      </c>
      <c r="BN25" s="41">
        <v>0</v>
      </c>
      <c r="BO25" s="41">
        <v>12</v>
      </c>
      <c r="BP25" s="41">
        <v>20180201</v>
      </c>
      <c r="BQ25" s="41">
        <v>0</v>
      </c>
      <c r="BR25" s="41">
        <v>0</v>
      </c>
      <c r="BS25" s="41">
        <v>32</v>
      </c>
      <c r="BT25" s="25">
        <v>66</v>
      </c>
      <c r="BU25" s="25">
        <v>0</v>
      </c>
      <c r="BV25" s="25">
        <v>0</v>
      </c>
      <c r="BW25" s="25">
        <v>0</v>
      </c>
      <c r="BX25" s="25">
        <v>0</v>
      </c>
      <c r="BY25" s="25">
        <v>0</v>
      </c>
      <c r="BZ25" s="25">
        <v>0</v>
      </c>
      <c r="CA25" s="25">
        <v>0</v>
      </c>
      <c r="CB25" s="25">
        <v>0</v>
      </c>
      <c r="CC25" s="25">
        <v>0</v>
      </c>
      <c r="CD25" s="25">
        <v>0</v>
      </c>
      <c r="CE25" s="25">
        <v>0</v>
      </c>
      <c r="CF25" s="25">
        <v>0</v>
      </c>
      <c r="CG25" s="25">
        <v>0</v>
      </c>
      <c r="CH25" s="25">
        <v>0</v>
      </c>
      <c r="CI25" s="25">
        <v>0</v>
      </c>
      <c r="CJ25" s="25">
        <v>0</v>
      </c>
      <c r="CK25" s="22">
        <v>1</v>
      </c>
      <c r="CL25" s="25">
        <v>3</v>
      </c>
      <c r="CM25" s="41" t="s">
        <v>150</v>
      </c>
      <c r="CN25" s="41">
        <v>100</v>
      </c>
      <c r="CO25" s="41">
        <v>20180301</v>
      </c>
      <c r="CP25" s="41">
        <v>20180301</v>
      </c>
      <c r="CQ25" s="41" t="s">
        <v>198</v>
      </c>
      <c r="CR25" s="41" t="s">
        <v>200</v>
      </c>
      <c r="CS25" s="41">
        <v>20180301</v>
      </c>
      <c r="CT25" s="41">
        <v>0</v>
      </c>
      <c r="CU25" s="41">
        <v>0</v>
      </c>
      <c r="CV25" s="41"/>
      <c r="CW25" s="41">
        <v>0</v>
      </c>
      <c r="CX25" s="41" t="s">
        <v>140</v>
      </c>
      <c r="CY25" s="41">
        <v>818</v>
      </c>
      <c r="CZ25" s="41">
        <v>0</v>
      </c>
      <c r="DA25" s="41">
        <v>12</v>
      </c>
      <c r="DB25" s="41">
        <v>20180201</v>
      </c>
      <c r="DC25" s="41">
        <v>0</v>
      </c>
      <c r="DD25" s="41">
        <v>0</v>
      </c>
      <c r="DE25" s="41">
        <v>21</v>
      </c>
      <c r="DF25" s="25">
        <v>66</v>
      </c>
      <c r="DG25" s="25">
        <v>0</v>
      </c>
      <c r="DH25" s="25">
        <v>0</v>
      </c>
      <c r="DI25" s="25">
        <v>0</v>
      </c>
      <c r="DJ25" s="25">
        <v>0</v>
      </c>
      <c r="DK25" s="25">
        <v>0</v>
      </c>
      <c r="DL25" s="25">
        <v>0</v>
      </c>
      <c r="DM25" s="25">
        <v>0</v>
      </c>
      <c r="DN25" s="25">
        <v>0</v>
      </c>
      <c r="DO25" s="25">
        <v>0</v>
      </c>
      <c r="DP25" s="25">
        <v>0</v>
      </c>
      <c r="DQ25" s="25">
        <v>0</v>
      </c>
      <c r="DR25" s="25">
        <v>0</v>
      </c>
      <c r="DS25" s="25">
        <v>0</v>
      </c>
      <c r="DT25" s="25">
        <v>0</v>
      </c>
      <c r="DU25" s="25">
        <v>0</v>
      </c>
      <c r="DV25" s="25">
        <v>0</v>
      </c>
      <c r="DW25" s="23">
        <v>1</v>
      </c>
      <c r="DX25" s="25">
        <v>4</v>
      </c>
      <c r="DY25" s="41" t="s">
        <v>151</v>
      </c>
      <c r="DZ25" s="41">
        <v>100</v>
      </c>
      <c r="EA25" s="41">
        <v>20180301</v>
      </c>
      <c r="EB25" s="41">
        <v>20180301</v>
      </c>
      <c r="EC25" s="41" t="s">
        <v>198</v>
      </c>
      <c r="ED25" s="41" t="s">
        <v>201</v>
      </c>
      <c r="EE25" s="41">
        <v>20180301</v>
      </c>
      <c r="EF25" s="41">
        <v>0</v>
      </c>
      <c r="EG25" s="41">
        <v>0</v>
      </c>
      <c r="EH25" s="41"/>
      <c r="EI25" s="41">
        <v>0</v>
      </c>
      <c r="EJ25" s="41" t="s">
        <v>140</v>
      </c>
      <c r="EK25" s="41">
        <v>818</v>
      </c>
      <c r="EL25" s="41">
        <v>0</v>
      </c>
      <c r="EM25" s="41">
        <v>12</v>
      </c>
      <c r="EN25" s="41">
        <v>20180201</v>
      </c>
      <c r="EO25" s="41">
        <v>0</v>
      </c>
      <c r="EP25" s="41">
        <v>0</v>
      </c>
      <c r="EQ25" s="41">
        <v>9</v>
      </c>
      <c r="ER25" s="25">
        <v>66</v>
      </c>
      <c r="ES25" s="25">
        <v>0</v>
      </c>
      <c r="ET25" s="25">
        <v>0</v>
      </c>
      <c r="EU25" s="25">
        <v>0</v>
      </c>
      <c r="EV25" s="25">
        <v>0</v>
      </c>
      <c r="EW25" s="25">
        <v>0</v>
      </c>
      <c r="EX25" s="25">
        <v>0</v>
      </c>
      <c r="EY25" s="25">
        <v>0</v>
      </c>
      <c r="EZ25" s="25">
        <v>0</v>
      </c>
      <c r="FA25" s="25">
        <v>0</v>
      </c>
      <c r="FB25" s="25">
        <v>0</v>
      </c>
      <c r="FC25" s="25">
        <v>0</v>
      </c>
      <c r="FD25" s="25">
        <v>0</v>
      </c>
      <c r="FE25" s="25">
        <v>0</v>
      </c>
      <c r="FF25" s="25">
        <v>0</v>
      </c>
      <c r="FG25" s="25">
        <v>0</v>
      </c>
      <c r="FH25" s="25">
        <v>0</v>
      </c>
      <c r="FI25" s="25">
        <v>1</v>
      </c>
      <c r="FJ25" s="25">
        <v>1</v>
      </c>
      <c r="FK25" s="25">
        <v>1</v>
      </c>
      <c r="FL25" s="25">
        <v>66</v>
      </c>
      <c r="FM25" s="25" t="s">
        <v>137</v>
      </c>
      <c r="FN25" s="25">
        <v>19530101</v>
      </c>
      <c r="FP25" s="28">
        <v>4</v>
      </c>
      <c r="FQ25" s="47">
        <v>1</v>
      </c>
      <c r="FR25" s="41">
        <v>1</v>
      </c>
      <c r="FS25" s="41" t="str">
        <f t="shared" si="0"/>
        <v>MFSP</v>
      </c>
      <c r="FT25" s="41">
        <f t="shared" si="1"/>
        <v>818</v>
      </c>
      <c r="FU25" s="41">
        <f t="shared" si="2"/>
        <v>66</v>
      </c>
      <c r="FV25" s="41">
        <v>10600</v>
      </c>
      <c r="FW25" s="41">
        <v>66.78</v>
      </c>
      <c r="FX25" s="41"/>
      <c r="FY25" s="29">
        <v>0</v>
      </c>
      <c r="FZ25" s="29">
        <v>0</v>
      </c>
      <c r="GA25" s="30">
        <v>0</v>
      </c>
      <c r="GB25" s="30">
        <v>0</v>
      </c>
      <c r="GC25" s="29">
        <v>0</v>
      </c>
      <c r="GD25" s="41">
        <v>0</v>
      </c>
      <c r="GE25" s="29">
        <v>0</v>
      </c>
      <c r="GF25" s="29">
        <v>0</v>
      </c>
      <c r="GG25" s="29">
        <v>0</v>
      </c>
      <c r="GH25" s="29">
        <v>0</v>
      </c>
      <c r="GI25" s="29">
        <v>0</v>
      </c>
      <c r="GJ25" s="29">
        <v>0</v>
      </c>
      <c r="GK25" s="29">
        <v>0</v>
      </c>
      <c r="GL25" s="29">
        <v>0</v>
      </c>
      <c r="GM25" s="29">
        <v>0</v>
      </c>
      <c r="GN25" s="29">
        <v>0</v>
      </c>
      <c r="GO25" s="29">
        <v>0</v>
      </c>
      <c r="GP25" s="29">
        <v>0</v>
      </c>
      <c r="GQ25" s="29">
        <v>0</v>
      </c>
      <c r="GR25" s="18">
        <v>1</v>
      </c>
      <c r="GS25" s="41">
        <v>2</v>
      </c>
      <c r="GT25" s="41" t="str">
        <f t="shared" si="3"/>
        <v>PURO</v>
      </c>
      <c r="GU25" s="41">
        <v>818</v>
      </c>
      <c r="GV25" s="41">
        <v>53</v>
      </c>
      <c r="GW25" s="41">
        <v>0</v>
      </c>
      <c r="GX25" s="41">
        <v>33.92</v>
      </c>
      <c r="GY25" s="41"/>
      <c r="GZ25" s="41">
        <v>0</v>
      </c>
      <c r="HA25" s="41">
        <v>0</v>
      </c>
      <c r="HB25" s="42">
        <v>0</v>
      </c>
      <c r="HC25" s="42">
        <v>0</v>
      </c>
      <c r="HD25" s="41">
        <v>0</v>
      </c>
      <c r="HE25" s="41">
        <v>0</v>
      </c>
      <c r="HF25" s="41">
        <v>0</v>
      </c>
      <c r="HG25" s="41">
        <v>0</v>
      </c>
      <c r="HH25" s="41">
        <v>0</v>
      </c>
      <c r="HI25" s="41">
        <v>0</v>
      </c>
      <c r="HJ25" s="41">
        <v>0</v>
      </c>
      <c r="HK25" s="41">
        <v>0</v>
      </c>
      <c r="HL25" s="41">
        <v>0</v>
      </c>
      <c r="HM25" s="41">
        <v>0</v>
      </c>
      <c r="HN25" s="41">
        <v>0</v>
      </c>
      <c r="HO25" s="41">
        <v>0</v>
      </c>
      <c r="HP25" s="41">
        <v>0</v>
      </c>
      <c r="HQ25" s="41">
        <v>0</v>
      </c>
      <c r="HR25" s="41">
        <v>0</v>
      </c>
      <c r="HS25" s="24">
        <v>1</v>
      </c>
      <c r="HT25" s="41">
        <v>3</v>
      </c>
      <c r="HU25" s="41" t="str">
        <f t="shared" si="4"/>
        <v>PUDT</v>
      </c>
      <c r="HV25" s="41">
        <v>818</v>
      </c>
      <c r="HW25" s="41">
        <v>53</v>
      </c>
      <c r="HX25" s="41">
        <v>0</v>
      </c>
      <c r="HY25" s="41">
        <v>22.26</v>
      </c>
      <c r="HZ25" s="42"/>
      <c r="IA25" s="41">
        <v>0</v>
      </c>
      <c r="IB25" s="41">
        <v>0</v>
      </c>
      <c r="IC25" s="42">
        <v>0</v>
      </c>
      <c r="ID25" s="42">
        <v>0</v>
      </c>
      <c r="IE25" s="41">
        <v>0</v>
      </c>
      <c r="IF25" s="43">
        <v>0</v>
      </c>
      <c r="IG25" s="41">
        <v>0</v>
      </c>
      <c r="IH25" s="41">
        <v>0</v>
      </c>
      <c r="II25" s="41">
        <v>0</v>
      </c>
      <c r="IJ25" s="41">
        <v>0</v>
      </c>
      <c r="IK25" s="41">
        <v>0</v>
      </c>
      <c r="IL25" s="41">
        <v>0</v>
      </c>
      <c r="IM25" s="41">
        <v>0</v>
      </c>
      <c r="IN25" s="41">
        <v>0</v>
      </c>
      <c r="IO25" s="41">
        <v>0</v>
      </c>
      <c r="IP25" s="41">
        <v>0</v>
      </c>
      <c r="IQ25" s="41">
        <v>0</v>
      </c>
      <c r="IR25" s="41">
        <v>0</v>
      </c>
      <c r="IS25" s="41">
        <v>0</v>
      </c>
      <c r="IT25" s="17">
        <v>1</v>
      </c>
      <c r="IU25" s="41">
        <v>4</v>
      </c>
      <c r="IV25" s="41" t="str">
        <f t="shared" si="5"/>
        <v>PUDS</v>
      </c>
      <c r="IW25" s="41">
        <v>818</v>
      </c>
      <c r="IX25" s="41">
        <v>53</v>
      </c>
      <c r="IY25" s="41">
        <v>0</v>
      </c>
      <c r="IZ25" s="41">
        <v>9.5399999999999991</v>
      </c>
      <c r="JA25" s="42"/>
      <c r="JB25" s="41">
        <v>0</v>
      </c>
      <c r="JC25" s="41">
        <v>0</v>
      </c>
      <c r="JD25" s="42">
        <v>0</v>
      </c>
      <c r="JE25" s="42">
        <v>0</v>
      </c>
      <c r="JF25" s="41">
        <v>0</v>
      </c>
      <c r="JG25" s="41">
        <v>0</v>
      </c>
      <c r="JH25" s="41">
        <v>0</v>
      </c>
      <c r="JI25" s="41">
        <v>0</v>
      </c>
      <c r="JJ25" s="41">
        <v>0</v>
      </c>
      <c r="JK25" s="41">
        <v>0</v>
      </c>
      <c r="JL25" s="41">
        <v>0</v>
      </c>
      <c r="JM25" s="41">
        <v>0</v>
      </c>
      <c r="JN25" s="41">
        <v>0</v>
      </c>
      <c r="JO25" s="41">
        <v>0</v>
      </c>
      <c r="JP25" s="41">
        <v>0</v>
      </c>
      <c r="JQ25" s="41">
        <v>0</v>
      </c>
      <c r="JR25" s="41">
        <v>0</v>
      </c>
      <c r="JS25" s="41">
        <v>0</v>
      </c>
      <c r="JT25" s="41">
        <v>0</v>
      </c>
      <c r="JU25"/>
    </row>
    <row r="26" spans="1:281" ht="15.75">
      <c r="A26" s="25">
        <v>20</v>
      </c>
      <c r="B26" s="25">
        <v>20190301</v>
      </c>
      <c r="C26" s="25"/>
      <c r="D26" s="25" t="s">
        <v>132</v>
      </c>
      <c r="E26" s="25" t="s">
        <v>132</v>
      </c>
      <c r="F26" s="25" t="s">
        <v>133</v>
      </c>
      <c r="G26" s="25"/>
      <c r="H26" s="25">
        <v>100000020</v>
      </c>
      <c r="I26" s="25" t="s">
        <v>134</v>
      </c>
      <c r="J26" s="25" t="s">
        <v>135</v>
      </c>
      <c r="K26" s="25" t="s">
        <v>132</v>
      </c>
      <c r="L26" s="25">
        <v>4</v>
      </c>
      <c r="M26" s="25">
        <v>1</v>
      </c>
      <c r="N26" s="25">
        <v>1</v>
      </c>
      <c r="O26" s="45" t="s">
        <v>141</v>
      </c>
      <c r="P26" s="25">
        <v>100</v>
      </c>
      <c r="Q26" s="25">
        <v>20180301</v>
      </c>
      <c r="R26" s="25">
        <v>20180301</v>
      </c>
      <c r="S26" s="25" t="s">
        <v>137</v>
      </c>
      <c r="T26" s="25" t="s">
        <v>145</v>
      </c>
      <c r="U26" s="25">
        <v>20190301</v>
      </c>
      <c r="V26" s="25">
        <v>6</v>
      </c>
      <c r="W26" s="25">
        <v>6</v>
      </c>
      <c r="X26" s="25" t="s">
        <v>139</v>
      </c>
      <c r="Y26" s="25">
        <v>0</v>
      </c>
      <c r="Z26" s="25" t="s">
        <v>140</v>
      </c>
      <c r="AA26" s="25">
        <v>818</v>
      </c>
      <c r="AB26" s="41">
        <v>0</v>
      </c>
      <c r="AC26" s="41">
        <v>12</v>
      </c>
      <c r="AD26" s="41">
        <v>20180201</v>
      </c>
      <c r="AE26" s="41">
        <v>0</v>
      </c>
      <c r="AF26" s="26">
        <v>15000</v>
      </c>
      <c r="AG26" s="41">
        <v>64</v>
      </c>
      <c r="AH26" s="26">
        <v>65</v>
      </c>
      <c r="AI26" s="26">
        <v>0</v>
      </c>
      <c r="AJ26" s="26">
        <v>0</v>
      </c>
      <c r="AK26" s="26">
        <v>0</v>
      </c>
      <c r="AL26" s="26">
        <v>0</v>
      </c>
      <c r="AM26" s="26">
        <v>0</v>
      </c>
      <c r="AN26" s="26">
        <v>0</v>
      </c>
      <c r="AO26" s="26">
        <v>0</v>
      </c>
      <c r="AP26" s="26">
        <v>0</v>
      </c>
      <c r="AQ26" s="26">
        <v>0</v>
      </c>
      <c r="AR26" s="26">
        <v>0</v>
      </c>
      <c r="AS26" s="26">
        <v>0</v>
      </c>
      <c r="AT26" s="26">
        <v>0</v>
      </c>
      <c r="AU26" s="26">
        <v>0</v>
      </c>
      <c r="AV26" s="26">
        <v>0</v>
      </c>
      <c r="AW26" s="26">
        <v>0</v>
      </c>
      <c r="AX26" s="26">
        <v>0</v>
      </c>
      <c r="AY26" s="46">
        <v>1</v>
      </c>
      <c r="AZ26" s="25">
        <v>2</v>
      </c>
      <c r="BA26" s="41" t="s">
        <v>203</v>
      </c>
      <c r="BB26" s="41">
        <v>100</v>
      </c>
      <c r="BC26" s="41">
        <v>20180301</v>
      </c>
      <c r="BD26" s="41">
        <v>20180301</v>
      </c>
      <c r="BE26" s="41" t="s">
        <v>198</v>
      </c>
      <c r="BF26" s="41" t="s">
        <v>149</v>
      </c>
      <c r="BG26" s="41">
        <v>20180301</v>
      </c>
      <c r="BH26" s="41">
        <v>0</v>
      </c>
      <c r="BI26" s="41">
        <v>0</v>
      </c>
      <c r="BJ26" s="41"/>
      <c r="BK26" s="41">
        <v>0</v>
      </c>
      <c r="BL26" s="41" t="s">
        <v>140</v>
      </c>
      <c r="BM26" s="41">
        <v>818</v>
      </c>
      <c r="BN26" s="41">
        <v>0</v>
      </c>
      <c r="BO26" s="41">
        <v>12</v>
      </c>
      <c r="BP26" s="41">
        <v>20180201</v>
      </c>
      <c r="BQ26" s="41">
        <v>0</v>
      </c>
      <c r="BR26" s="41">
        <v>0</v>
      </c>
      <c r="BS26" s="41">
        <v>35</v>
      </c>
      <c r="BT26" s="25">
        <v>65</v>
      </c>
      <c r="BU26" s="25">
        <v>0</v>
      </c>
      <c r="BV26" s="25">
        <v>0</v>
      </c>
      <c r="BW26" s="25">
        <v>0</v>
      </c>
      <c r="BX26" s="25">
        <v>0</v>
      </c>
      <c r="BY26" s="25">
        <v>0</v>
      </c>
      <c r="BZ26" s="25">
        <v>0</v>
      </c>
      <c r="CA26" s="25">
        <v>0</v>
      </c>
      <c r="CB26" s="25">
        <v>0</v>
      </c>
      <c r="CC26" s="25">
        <v>0</v>
      </c>
      <c r="CD26" s="25">
        <v>0</v>
      </c>
      <c r="CE26" s="25">
        <v>0</v>
      </c>
      <c r="CF26" s="25">
        <v>0</v>
      </c>
      <c r="CG26" s="25">
        <v>0</v>
      </c>
      <c r="CH26" s="25">
        <v>0</v>
      </c>
      <c r="CI26" s="25">
        <v>0</v>
      </c>
      <c r="CJ26" s="25">
        <v>0</v>
      </c>
      <c r="CK26" s="22">
        <v>1</v>
      </c>
      <c r="CL26" s="25">
        <v>3</v>
      </c>
      <c r="CM26" s="41" t="s">
        <v>150</v>
      </c>
      <c r="CN26" s="41">
        <v>100</v>
      </c>
      <c r="CO26" s="41">
        <v>20180301</v>
      </c>
      <c r="CP26" s="41">
        <v>20180301</v>
      </c>
      <c r="CQ26" s="41" t="s">
        <v>198</v>
      </c>
      <c r="CR26" s="41" t="s">
        <v>200</v>
      </c>
      <c r="CS26" s="41">
        <v>20180301</v>
      </c>
      <c r="CT26" s="41">
        <v>0</v>
      </c>
      <c r="CU26" s="41">
        <v>0</v>
      </c>
      <c r="CV26" s="41"/>
      <c r="CW26" s="41">
        <v>0</v>
      </c>
      <c r="CX26" s="41" t="s">
        <v>140</v>
      </c>
      <c r="CY26" s="41">
        <v>818</v>
      </c>
      <c r="CZ26" s="41">
        <v>0</v>
      </c>
      <c r="DA26" s="41">
        <v>12</v>
      </c>
      <c r="DB26" s="41">
        <v>20180201</v>
      </c>
      <c r="DC26" s="41">
        <v>0</v>
      </c>
      <c r="DD26" s="41">
        <v>0</v>
      </c>
      <c r="DE26" s="41">
        <v>22</v>
      </c>
      <c r="DF26" s="25">
        <v>65</v>
      </c>
      <c r="DG26" s="25">
        <v>0</v>
      </c>
      <c r="DH26" s="25">
        <v>0</v>
      </c>
      <c r="DI26" s="25">
        <v>0</v>
      </c>
      <c r="DJ26" s="25">
        <v>0</v>
      </c>
      <c r="DK26" s="25">
        <v>0</v>
      </c>
      <c r="DL26" s="25">
        <v>0</v>
      </c>
      <c r="DM26" s="25">
        <v>0</v>
      </c>
      <c r="DN26" s="25">
        <v>0</v>
      </c>
      <c r="DO26" s="25">
        <v>0</v>
      </c>
      <c r="DP26" s="25">
        <v>0</v>
      </c>
      <c r="DQ26" s="25">
        <v>0</v>
      </c>
      <c r="DR26" s="25">
        <v>0</v>
      </c>
      <c r="DS26" s="25">
        <v>0</v>
      </c>
      <c r="DT26" s="25">
        <v>0</v>
      </c>
      <c r="DU26" s="25">
        <v>0</v>
      </c>
      <c r="DV26" s="25">
        <v>0</v>
      </c>
      <c r="DW26" s="23">
        <v>1</v>
      </c>
      <c r="DX26" s="25">
        <v>4</v>
      </c>
      <c r="DY26" s="41" t="s">
        <v>151</v>
      </c>
      <c r="DZ26" s="41">
        <v>100</v>
      </c>
      <c r="EA26" s="41">
        <v>20180301</v>
      </c>
      <c r="EB26" s="41">
        <v>20180301</v>
      </c>
      <c r="EC26" s="41" t="s">
        <v>198</v>
      </c>
      <c r="ED26" s="41" t="s">
        <v>201</v>
      </c>
      <c r="EE26" s="41">
        <v>20180301</v>
      </c>
      <c r="EF26" s="41">
        <v>0</v>
      </c>
      <c r="EG26" s="41">
        <v>0</v>
      </c>
      <c r="EH26" s="41"/>
      <c r="EI26" s="41">
        <v>0</v>
      </c>
      <c r="EJ26" s="41" t="s">
        <v>140</v>
      </c>
      <c r="EK26" s="41">
        <v>818</v>
      </c>
      <c r="EL26" s="41">
        <v>0</v>
      </c>
      <c r="EM26" s="41">
        <v>12</v>
      </c>
      <c r="EN26" s="41">
        <v>20180201</v>
      </c>
      <c r="EO26" s="41">
        <v>0</v>
      </c>
      <c r="EP26" s="41">
        <v>0</v>
      </c>
      <c r="EQ26" s="41">
        <v>10</v>
      </c>
      <c r="ER26" s="25">
        <v>65</v>
      </c>
      <c r="ES26" s="25">
        <v>0</v>
      </c>
      <c r="ET26" s="25">
        <v>0</v>
      </c>
      <c r="EU26" s="25">
        <v>0</v>
      </c>
      <c r="EV26" s="25">
        <v>0</v>
      </c>
      <c r="EW26" s="25">
        <v>0</v>
      </c>
      <c r="EX26" s="25">
        <v>0</v>
      </c>
      <c r="EY26" s="25">
        <v>0</v>
      </c>
      <c r="EZ26" s="25">
        <v>0</v>
      </c>
      <c r="FA26" s="25">
        <v>0</v>
      </c>
      <c r="FB26" s="25">
        <v>0</v>
      </c>
      <c r="FC26" s="25">
        <v>0</v>
      </c>
      <c r="FD26" s="25">
        <v>0</v>
      </c>
      <c r="FE26" s="25">
        <v>0</v>
      </c>
      <c r="FF26" s="25">
        <v>0</v>
      </c>
      <c r="FG26" s="25">
        <v>0</v>
      </c>
      <c r="FH26" s="25">
        <v>0</v>
      </c>
      <c r="FI26" s="25">
        <v>1</v>
      </c>
      <c r="FJ26" s="25">
        <v>1</v>
      </c>
      <c r="FK26" s="25">
        <v>1</v>
      </c>
      <c r="FL26" s="25">
        <v>65</v>
      </c>
      <c r="FM26" s="25" t="s">
        <v>137</v>
      </c>
      <c r="FN26" s="25">
        <v>19540101</v>
      </c>
      <c r="FP26" s="28">
        <v>4</v>
      </c>
      <c r="FQ26" s="47">
        <v>1</v>
      </c>
      <c r="FR26" s="41">
        <v>1</v>
      </c>
      <c r="FS26" s="41" t="str">
        <f t="shared" si="0"/>
        <v>MFSP</v>
      </c>
      <c r="FT26" s="41">
        <f t="shared" si="1"/>
        <v>818</v>
      </c>
      <c r="FU26" s="41">
        <f t="shared" si="2"/>
        <v>65</v>
      </c>
      <c r="FV26" s="41">
        <v>15900</v>
      </c>
      <c r="FW26" s="41">
        <v>67.84</v>
      </c>
      <c r="FX26" s="41"/>
      <c r="FY26" s="29">
        <v>0</v>
      </c>
      <c r="FZ26" s="29">
        <v>0</v>
      </c>
      <c r="GA26" s="30">
        <v>0</v>
      </c>
      <c r="GB26" s="30">
        <v>0</v>
      </c>
      <c r="GC26" s="29">
        <v>0</v>
      </c>
      <c r="GD26" s="41">
        <v>0</v>
      </c>
      <c r="GE26" s="29">
        <v>0</v>
      </c>
      <c r="GF26" s="29">
        <v>0</v>
      </c>
      <c r="GG26" s="29">
        <v>0</v>
      </c>
      <c r="GH26" s="29">
        <v>0</v>
      </c>
      <c r="GI26" s="29">
        <v>0</v>
      </c>
      <c r="GJ26" s="29">
        <v>0</v>
      </c>
      <c r="GK26" s="29">
        <v>0</v>
      </c>
      <c r="GL26" s="29">
        <v>0</v>
      </c>
      <c r="GM26" s="29">
        <v>0</v>
      </c>
      <c r="GN26" s="29">
        <v>0</v>
      </c>
      <c r="GO26" s="29">
        <v>0</v>
      </c>
      <c r="GP26" s="29">
        <v>0</v>
      </c>
      <c r="GQ26" s="29">
        <v>0</v>
      </c>
      <c r="GR26" s="18">
        <v>1</v>
      </c>
      <c r="GS26" s="41">
        <v>2</v>
      </c>
      <c r="GT26" s="41" t="str">
        <f t="shared" si="3"/>
        <v>PURO</v>
      </c>
      <c r="GU26" s="41">
        <v>818</v>
      </c>
      <c r="GV26" s="41">
        <v>54</v>
      </c>
      <c r="GW26" s="41">
        <v>0</v>
      </c>
      <c r="GX26" s="41">
        <v>37.1</v>
      </c>
      <c r="GY26" s="41"/>
      <c r="GZ26" s="41">
        <v>0</v>
      </c>
      <c r="HA26" s="41">
        <v>0</v>
      </c>
      <c r="HB26" s="42">
        <v>0</v>
      </c>
      <c r="HC26" s="42">
        <v>0</v>
      </c>
      <c r="HD26" s="41">
        <v>0</v>
      </c>
      <c r="HE26" s="41">
        <v>0</v>
      </c>
      <c r="HF26" s="41">
        <v>0</v>
      </c>
      <c r="HG26" s="41">
        <v>0</v>
      </c>
      <c r="HH26" s="41">
        <v>0</v>
      </c>
      <c r="HI26" s="41">
        <v>0</v>
      </c>
      <c r="HJ26" s="41">
        <v>0</v>
      </c>
      <c r="HK26" s="41">
        <v>0</v>
      </c>
      <c r="HL26" s="41">
        <v>0</v>
      </c>
      <c r="HM26" s="41">
        <v>0</v>
      </c>
      <c r="HN26" s="41">
        <v>0</v>
      </c>
      <c r="HO26" s="41">
        <v>0</v>
      </c>
      <c r="HP26" s="41">
        <v>0</v>
      </c>
      <c r="HQ26" s="41">
        <v>0</v>
      </c>
      <c r="HR26" s="41">
        <v>0</v>
      </c>
      <c r="HS26" s="24">
        <v>1</v>
      </c>
      <c r="HT26" s="41">
        <v>3</v>
      </c>
      <c r="HU26" s="41" t="str">
        <f t="shared" si="4"/>
        <v>PUDT</v>
      </c>
      <c r="HV26" s="41">
        <v>818</v>
      </c>
      <c r="HW26" s="41">
        <v>54</v>
      </c>
      <c r="HX26" s="41">
        <v>0</v>
      </c>
      <c r="HY26" s="41">
        <v>23.32</v>
      </c>
      <c r="HZ26" s="42"/>
      <c r="IA26" s="41">
        <v>0</v>
      </c>
      <c r="IB26" s="41">
        <v>0</v>
      </c>
      <c r="IC26" s="42">
        <v>0</v>
      </c>
      <c r="ID26" s="42">
        <v>0</v>
      </c>
      <c r="IE26" s="41">
        <v>0</v>
      </c>
      <c r="IF26" s="43">
        <v>0</v>
      </c>
      <c r="IG26" s="41">
        <v>0</v>
      </c>
      <c r="IH26" s="41">
        <v>0</v>
      </c>
      <c r="II26" s="41">
        <v>0</v>
      </c>
      <c r="IJ26" s="41">
        <v>0</v>
      </c>
      <c r="IK26" s="41">
        <v>0</v>
      </c>
      <c r="IL26" s="41">
        <v>0</v>
      </c>
      <c r="IM26" s="41">
        <v>0</v>
      </c>
      <c r="IN26" s="41">
        <v>0</v>
      </c>
      <c r="IO26" s="41">
        <v>0</v>
      </c>
      <c r="IP26" s="41">
        <v>0</v>
      </c>
      <c r="IQ26" s="41">
        <v>0</v>
      </c>
      <c r="IR26" s="41">
        <v>0</v>
      </c>
      <c r="IS26" s="41">
        <v>0</v>
      </c>
      <c r="IT26" s="17">
        <v>1</v>
      </c>
      <c r="IU26" s="41">
        <v>4</v>
      </c>
      <c r="IV26" s="41" t="str">
        <f t="shared" si="5"/>
        <v>PUDS</v>
      </c>
      <c r="IW26" s="41">
        <v>818</v>
      </c>
      <c r="IX26" s="41">
        <v>54</v>
      </c>
      <c r="IY26" s="41">
        <v>0</v>
      </c>
      <c r="IZ26" s="41">
        <v>10.6</v>
      </c>
      <c r="JA26" s="42"/>
      <c r="JB26" s="41">
        <v>0</v>
      </c>
      <c r="JC26" s="41">
        <v>0</v>
      </c>
      <c r="JD26" s="42">
        <v>0</v>
      </c>
      <c r="JE26" s="42">
        <v>0</v>
      </c>
      <c r="JF26" s="41">
        <v>0</v>
      </c>
      <c r="JG26" s="41">
        <v>0</v>
      </c>
      <c r="JH26" s="41">
        <v>0</v>
      </c>
      <c r="JI26" s="41">
        <v>0</v>
      </c>
      <c r="JJ26" s="41">
        <v>0</v>
      </c>
      <c r="JK26" s="41">
        <v>0</v>
      </c>
      <c r="JL26" s="41">
        <v>0</v>
      </c>
      <c r="JM26" s="41">
        <v>0</v>
      </c>
      <c r="JN26" s="41">
        <v>0</v>
      </c>
      <c r="JO26" s="41">
        <v>0</v>
      </c>
      <c r="JP26" s="41">
        <v>0</v>
      </c>
      <c r="JQ26" s="41">
        <v>0</v>
      </c>
      <c r="JR26" s="41">
        <v>0</v>
      </c>
      <c r="JS26" s="41">
        <v>0</v>
      </c>
      <c r="JT26" s="41">
        <v>0</v>
      </c>
      <c r="JU26"/>
    </row>
    <row r="27" spans="1:281" ht="15.75">
      <c r="A27" s="25">
        <v>21</v>
      </c>
      <c r="B27" s="25">
        <v>20190301</v>
      </c>
      <c r="C27" s="25"/>
      <c r="D27" s="25" t="s">
        <v>132</v>
      </c>
      <c r="E27" s="25" t="s">
        <v>132</v>
      </c>
      <c r="F27" s="25" t="s">
        <v>133</v>
      </c>
      <c r="G27" s="25"/>
      <c r="H27" s="25">
        <v>100000021</v>
      </c>
      <c r="I27" s="25" t="s">
        <v>134</v>
      </c>
      <c r="J27" s="25" t="s">
        <v>135</v>
      </c>
      <c r="K27" s="25" t="s">
        <v>132</v>
      </c>
      <c r="L27" s="25">
        <v>4</v>
      </c>
      <c r="M27" s="25">
        <v>1</v>
      </c>
      <c r="N27" s="25">
        <v>1</v>
      </c>
      <c r="O27" s="45" t="s">
        <v>141</v>
      </c>
      <c r="P27" s="25">
        <v>100</v>
      </c>
      <c r="Q27" s="25">
        <v>20180301</v>
      </c>
      <c r="R27" s="25">
        <v>20180301</v>
      </c>
      <c r="S27" s="25" t="s">
        <v>137</v>
      </c>
      <c r="T27" s="25" t="s">
        <v>147</v>
      </c>
      <c r="U27" s="25">
        <v>20190301</v>
      </c>
      <c r="V27" s="25">
        <v>6</v>
      </c>
      <c r="W27" s="25">
        <v>6</v>
      </c>
      <c r="X27" s="25" t="s">
        <v>139</v>
      </c>
      <c r="Y27" s="25">
        <v>0</v>
      </c>
      <c r="Z27" s="25" t="s">
        <v>140</v>
      </c>
      <c r="AA27" s="25">
        <v>818</v>
      </c>
      <c r="AB27" s="41">
        <v>0</v>
      </c>
      <c r="AC27" s="41">
        <v>12</v>
      </c>
      <c r="AD27" s="41">
        <v>20180201</v>
      </c>
      <c r="AE27" s="41">
        <v>0</v>
      </c>
      <c r="AF27" s="26">
        <v>20000</v>
      </c>
      <c r="AG27" s="41">
        <v>80</v>
      </c>
      <c r="AH27" s="26">
        <v>64</v>
      </c>
      <c r="AI27" s="26">
        <v>0</v>
      </c>
      <c r="AJ27" s="26">
        <v>0</v>
      </c>
      <c r="AK27" s="26">
        <v>0</v>
      </c>
      <c r="AL27" s="26">
        <v>0</v>
      </c>
      <c r="AM27" s="26">
        <v>0</v>
      </c>
      <c r="AN27" s="26">
        <v>0</v>
      </c>
      <c r="AO27" s="26">
        <v>0</v>
      </c>
      <c r="AP27" s="26">
        <v>0</v>
      </c>
      <c r="AQ27" s="26">
        <v>0</v>
      </c>
      <c r="AR27" s="26">
        <v>0</v>
      </c>
      <c r="AS27" s="26">
        <v>0</v>
      </c>
      <c r="AT27" s="26">
        <v>0</v>
      </c>
      <c r="AU27" s="26">
        <v>0</v>
      </c>
      <c r="AV27" s="26">
        <v>0</v>
      </c>
      <c r="AW27" s="26">
        <v>0</v>
      </c>
      <c r="AX27" s="26">
        <v>0</v>
      </c>
      <c r="AY27" s="46">
        <v>1</v>
      </c>
      <c r="AZ27" s="25">
        <v>2</v>
      </c>
      <c r="BA27" s="41" t="s">
        <v>203</v>
      </c>
      <c r="BB27" s="41">
        <v>100</v>
      </c>
      <c r="BC27" s="41">
        <v>20180301</v>
      </c>
      <c r="BD27" s="41">
        <v>20180301</v>
      </c>
      <c r="BE27" s="41" t="s">
        <v>198</v>
      </c>
      <c r="BF27" s="41" t="s">
        <v>149</v>
      </c>
      <c r="BG27" s="41">
        <v>20180301</v>
      </c>
      <c r="BH27" s="41">
        <v>0</v>
      </c>
      <c r="BI27" s="41">
        <v>0</v>
      </c>
      <c r="BJ27" s="41"/>
      <c r="BK27" s="41">
        <v>0</v>
      </c>
      <c r="BL27" s="41" t="s">
        <v>140</v>
      </c>
      <c r="BM27" s="41">
        <v>818</v>
      </c>
      <c r="BN27" s="41">
        <v>0</v>
      </c>
      <c r="BO27" s="41">
        <v>12</v>
      </c>
      <c r="BP27" s="41">
        <v>20180201</v>
      </c>
      <c r="BQ27" s="41">
        <v>0</v>
      </c>
      <c r="BR27" s="41">
        <v>0</v>
      </c>
      <c r="BS27" s="41">
        <v>43</v>
      </c>
      <c r="BT27" s="25">
        <v>64</v>
      </c>
      <c r="BU27" s="25">
        <v>0</v>
      </c>
      <c r="BV27" s="25">
        <v>0</v>
      </c>
      <c r="BW27" s="25">
        <v>0</v>
      </c>
      <c r="BX27" s="25">
        <v>0</v>
      </c>
      <c r="BY27" s="25">
        <v>0</v>
      </c>
      <c r="BZ27" s="25">
        <v>0</v>
      </c>
      <c r="CA27" s="25">
        <v>0</v>
      </c>
      <c r="CB27" s="25">
        <v>0</v>
      </c>
      <c r="CC27" s="25">
        <v>0</v>
      </c>
      <c r="CD27" s="25">
        <v>0</v>
      </c>
      <c r="CE27" s="25">
        <v>0</v>
      </c>
      <c r="CF27" s="25">
        <v>0</v>
      </c>
      <c r="CG27" s="25">
        <v>0</v>
      </c>
      <c r="CH27" s="25">
        <v>0</v>
      </c>
      <c r="CI27" s="25">
        <v>0</v>
      </c>
      <c r="CJ27" s="25">
        <v>0</v>
      </c>
      <c r="CK27" s="22">
        <v>1</v>
      </c>
      <c r="CL27" s="25">
        <v>3</v>
      </c>
      <c r="CM27" s="41" t="s">
        <v>150</v>
      </c>
      <c r="CN27" s="41">
        <v>100</v>
      </c>
      <c r="CO27" s="41">
        <v>20180301</v>
      </c>
      <c r="CP27" s="41">
        <v>20180301</v>
      </c>
      <c r="CQ27" s="41" t="s">
        <v>198</v>
      </c>
      <c r="CR27" s="41" t="s">
        <v>200</v>
      </c>
      <c r="CS27" s="41">
        <v>20180301</v>
      </c>
      <c r="CT27" s="41">
        <v>0</v>
      </c>
      <c r="CU27" s="41">
        <v>0</v>
      </c>
      <c r="CV27" s="41"/>
      <c r="CW27" s="41">
        <v>0</v>
      </c>
      <c r="CX27" s="41" t="s">
        <v>140</v>
      </c>
      <c r="CY27" s="41">
        <v>818</v>
      </c>
      <c r="CZ27" s="41">
        <v>0</v>
      </c>
      <c r="DA27" s="41">
        <v>12</v>
      </c>
      <c r="DB27" s="41">
        <v>20180201</v>
      </c>
      <c r="DC27" s="41">
        <v>0</v>
      </c>
      <c r="DD27" s="41">
        <v>0</v>
      </c>
      <c r="DE27" s="41">
        <v>27</v>
      </c>
      <c r="DF27" s="25">
        <v>64</v>
      </c>
      <c r="DG27" s="25">
        <v>0</v>
      </c>
      <c r="DH27" s="25">
        <v>0</v>
      </c>
      <c r="DI27" s="25">
        <v>0</v>
      </c>
      <c r="DJ27" s="25">
        <v>0</v>
      </c>
      <c r="DK27" s="25">
        <v>0</v>
      </c>
      <c r="DL27" s="25">
        <v>0</v>
      </c>
      <c r="DM27" s="25">
        <v>0</v>
      </c>
      <c r="DN27" s="25">
        <v>0</v>
      </c>
      <c r="DO27" s="25">
        <v>0</v>
      </c>
      <c r="DP27" s="25">
        <v>0</v>
      </c>
      <c r="DQ27" s="25">
        <v>0</v>
      </c>
      <c r="DR27" s="25">
        <v>0</v>
      </c>
      <c r="DS27" s="25">
        <v>0</v>
      </c>
      <c r="DT27" s="25">
        <v>0</v>
      </c>
      <c r="DU27" s="25">
        <v>0</v>
      </c>
      <c r="DV27" s="25">
        <v>0</v>
      </c>
      <c r="DW27" s="23">
        <v>1</v>
      </c>
      <c r="DX27" s="25">
        <v>4</v>
      </c>
      <c r="DY27" s="41" t="s">
        <v>151</v>
      </c>
      <c r="DZ27" s="41">
        <v>100</v>
      </c>
      <c r="EA27" s="41">
        <v>20180301</v>
      </c>
      <c r="EB27" s="41">
        <v>20180301</v>
      </c>
      <c r="EC27" s="41" t="s">
        <v>198</v>
      </c>
      <c r="ED27" s="41" t="s">
        <v>201</v>
      </c>
      <c r="EE27" s="41">
        <v>20180301</v>
      </c>
      <c r="EF27" s="41">
        <v>0</v>
      </c>
      <c r="EG27" s="41">
        <v>0</v>
      </c>
      <c r="EH27" s="41"/>
      <c r="EI27" s="41">
        <v>0</v>
      </c>
      <c r="EJ27" s="41" t="s">
        <v>140</v>
      </c>
      <c r="EK27" s="41">
        <v>818</v>
      </c>
      <c r="EL27" s="41">
        <v>0</v>
      </c>
      <c r="EM27" s="41">
        <v>12</v>
      </c>
      <c r="EN27" s="41">
        <v>20180201</v>
      </c>
      <c r="EO27" s="41">
        <v>0</v>
      </c>
      <c r="EP27" s="41">
        <v>0</v>
      </c>
      <c r="EQ27" s="41">
        <v>11</v>
      </c>
      <c r="ER27" s="25">
        <v>64</v>
      </c>
      <c r="ES27" s="25">
        <v>0</v>
      </c>
      <c r="ET27" s="25">
        <v>0</v>
      </c>
      <c r="EU27" s="25">
        <v>0</v>
      </c>
      <c r="EV27" s="25">
        <v>0</v>
      </c>
      <c r="EW27" s="25">
        <v>0</v>
      </c>
      <c r="EX27" s="25">
        <v>0</v>
      </c>
      <c r="EY27" s="25">
        <v>0</v>
      </c>
      <c r="EZ27" s="25">
        <v>0</v>
      </c>
      <c r="FA27" s="25">
        <v>0</v>
      </c>
      <c r="FB27" s="25">
        <v>0</v>
      </c>
      <c r="FC27" s="25">
        <v>0</v>
      </c>
      <c r="FD27" s="25">
        <v>0</v>
      </c>
      <c r="FE27" s="25">
        <v>0</v>
      </c>
      <c r="FF27" s="25">
        <v>0</v>
      </c>
      <c r="FG27" s="25">
        <v>0</v>
      </c>
      <c r="FH27" s="25">
        <v>0</v>
      </c>
      <c r="FI27" s="25">
        <v>1</v>
      </c>
      <c r="FJ27" s="25">
        <v>1</v>
      </c>
      <c r="FK27" s="25">
        <v>1</v>
      </c>
      <c r="FL27" s="25">
        <v>64</v>
      </c>
      <c r="FM27" s="25" t="s">
        <v>137</v>
      </c>
      <c r="FN27" s="25">
        <v>19550101</v>
      </c>
      <c r="FP27" s="28">
        <v>4</v>
      </c>
      <c r="FQ27" s="47">
        <v>1</v>
      </c>
      <c r="FR27" s="41">
        <v>1</v>
      </c>
      <c r="FS27" s="41" t="str">
        <f t="shared" si="0"/>
        <v>MFSP</v>
      </c>
      <c r="FT27" s="41">
        <f t="shared" si="1"/>
        <v>818</v>
      </c>
      <c r="FU27" s="41">
        <f t="shared" si="2"/>
        <v>64</v>
      </c>
      <c r="FV27" s="41">
        <v>21200</v>
      </c>
      <c r="FW27" s="41">
        <v>84.8</v>
      </c>
      <c r="FX27" s="41"/>
      <c r="FY27" s="29">
        <v>0</v>
      </c>
      <c r="FZ27" s="29">
        <v>0</v>
      </c>
      <c r="GA27" s="30">
        <v>0</v>
      </c>
      <c r="GB27" s="30">
        <v>0</v>
      </c>
      <c r="GC27" s="29">
        <v>0</v>
      </c>
      <c r="GD27" s="41">
        <v>0</v>
      </c>
      <c r="GE27" s="29">
        <v>0</v>
      </c>
      <c r="GF27" s="29">
        <v>0</v>
      </c>
      <c r="GG27" s="29">
        <v>0</v>
      </c>
      <c r="GH27" s="29">
        <v>0</v>
      </c>
      <c r="GI27" s="29">
        <v>0</v>
      </c>
      <c r="GJ27" s="29">
        <v>0</v>
      </c>
      <c r="GK27" s="29">
        <v>0</v>
      </c>
      <c r="GL27" s="29">
        <v>0</v>
      </c>
      <c r="GM27" s="29">
        <v>0</v>
      </c>
      <c r="GN27" s="29">
        <v>0</v>
      </c>
      <c r="GO27" s="29">
        <v>0</v>
      </c>
      <c r="GP27" s="29">
        <v>0</v>
      </c>
      <c r="GQ27" s="29">
        <v>0</v>
      </c>
      <c r="GR27" s="18">
        <v>1</v>
      </c>
      <c r="GS27" s="41">
        <v>2</v>
      </c>
      <c r="GT27" s="41" t="str">
        <f t="shared" si="3"/>
        <v>PURO</v>
      </c>
      <c r="GU27" s="41">
        <v>818</v>
      </c>
      <c r="GV27" s="41">
        <v>55</v>
      </c>
      <c r="GW27" s="41">
        <v>0</v>
      </c>
      <c r="GX27" s="41">
        <v>45.58</v>
      </c>
      <c r="GY27" s="41"/>
      <c r="GZ27" s="41">
        <v>0</v>
      </c>
      <c r="HA27" s="41">
        <v>0</v>
      </c>
      <c r="HB27" s="42">
        <v>0</v>
      </c>
      <c r="HC27" s="42">
        <v>0</v>
      </c>
      <c r="HD27" s="41">
        <v>0</v>
      </c>
      <c r="HE27" s="41">
        <v>0</v>
      </c>
      <c r="HF27" s="41">
        <v>0</v>
      </c>
      <c r="HG27" s="41">
        <v>0</v>
      </c>
      <c r="HH27" s="41">
        <v>0</v>
      </c>
      <c r="HI27" s="41">
        <v>0</v>
      </c>
      <c r="HJ27" s="41">
        <v>0</v>
      </c>
      <c r="HK27" s="41">
        <v>0</v>
      </c>
      <c r="HL27" s="41">
        <v>0</v>
      </c>
      <c r="HM27" s="41">
        <v>0</v>
      </c>
      <c r="HN27" s="41">
        <v>0</v>
      </c>
      <c r="HO27" s="41">
        <v>0</v>
      </c>
      <c r="HP27" s="41">
        <v>0</v>
      </c>
      <c r="HQ27" s="41">
        <v>0</v>
      </c>
      <c r="HR27" s="41">
        <v>0</v>
      </c>
      <c r="HS27" s="24">
        <v>1</v>
      </c>
      <c r="HT27" s="41">
        <v>3</v>
      </c>
      <c r="HU27" s="41" t="str">
        <f t="shared" si="4"/>
        <v>PUDT</v>
      </c>
      <c r="HV27" s="41">
        <v>818</v>
      </c>
      <c r="HW27" s="41">
        <v>55</v>
      </c>
      <c r="HX27" s="41">
        <v>0</v>
      </c>
      <c r="HY27" s="41">
        <v>28.62</v>
      </c>
      <c r="HZ27" s="42"/>
      <c r="IA27" s="41">
        <v>0</v>
      </c>
      <c r="IB27" s="41">
        <v>0</v>
      </c>
      <c r="IC27" s="42">
        <v>0</v>
      </c>
      <c r="ID27" s="42">
        <v>0</v>
      </c>
      <c r="IE27" s="41">
        <v>0</v>
      </c>
      <c r="IF27" s="43">
        <v>0</v>
      </c>
      <c r="IG27" s="41">
        <v>0</v>
      </c>
      <c r="IH27" s="41">
        <v>0</v>
      </c>
      <c r="II27" s="41">
        <v>0</v>
      </c>
      <c r="IJ27" s="41">
        <v>0</v>
      </c>
      <c r="IK27" s="41">
        <v>0</v>
      </c>
      <c r="IL27" s="41">
        <v>0</v>
      </c>
      <c r="IM27" s="41">
        <v>0</v>
      </c>
      <c r="IN27" s="41">
        <v>0</v>
      </c>
      <c r="IO27" s="41">
        <v>0</v>
      </c>
      <c r="IP27" s="41">
        <v>0</v>
      </c>
      <c r="IQ27" s="41">
        <v>0</v>
      </c>
      <c r="IR27" s="41">
        <v>0</v>
      </c>
      <c r="IS27" s="41">
        <v>0</v>
      </c>
      <c r="IT27" s="17">
        <v>1</v>
      </c>
      <c r="IU27" s="41">
        <v>4</v>
      </c>
      <c r="IV27" s="41" t="str">
        <f t="shared" si="5"/>
        <v>PUDS</v>
      </c>
      <c r="IW27" s="41">
        <v>818</v>
      </c>
      <c r="IX27" s="41">
        <v>55</v>
      </c>
      <c r="IY27" s="41">
        <v>0</v>
      </c>
      <c r="IZ27" s="41">
        <v>11.66</v>
      </c>
      <c r="JA27" s="42"/>
      <c r="JB27" s="41">
        <v>0</v>
      </c>
      <c r="JC27" s="41">
        <v>0</v>
      </c>
      <c r="JD27" s="42">
        <v>0</v>
      </c>
      <c r="JE27" s="42">
        <v>0</v>
      </c>
      <c r="JF27" s="41">
        <v>0</v>
      </c>
      <c r="JG27" s="41">
        <v>0</v>
      </c>
      <c r="JH27" s="41">
        <v>0</v>
      </c>
      <c r="JI27" s="41">
        <v>0</v>
      </c>
      <c r="JJ27" s="41">
        <v>0</v>
      </c>
      <c r="JK27" s="41">
        <v>0</v>
      </c>
      <c r="JL27" s="41">
        <v>0</v>
      </c>
      <c r="JM27" s="41">
        <v>0</v>
      </c>
      <c r="JN27" s="41">
        <v>0</v>
      </c>
      <c r="JO27" s="41">
        <v>0</v>
      </c>
      <c r="JP27" s="41">
        <v>0</v>
      </c>
      <c r="JQ27" s="41">
        <v>0</v>
      </c>
      <c r="JR27" s="41">
        <v>0</v>
      </c>
      <c r="JS27" s="41">
        <v>0</v>
      </c>
      <c r="JT27" s="41">
        <v>0</v>
      </c>
      <c r="JU27"/>
    </row>
    <row r="28" spans="1:281" ht="15.75">
      <c r="A28" s="25">
        <v>22</v>
      </c>
      <c r="B28" s="25">
        <v>20190301</v>
      </c>
      <c r="C28" s="25"/>
      <c r="D28" s="25" t="s">
        <v>132</v>
      </c>
      <c r="E28" s="25" t="s">
        <v>132</v>
      </c>
      <c r="F28" s="25" t="s">
        <v>133</v>
      </c>
      <c r="G28" s="25"/>
      <c r="H28" s="25">
        <v>100000022</v>
      </c>
      <c r="I28" s="25" t="s">
        <v>134</v>
      </c>
      <c r="J28" s="25" t="s">
        <v>135</v>
      </c>
      <c r="K28" s="25" t="s">
        <v>132</v>
      </c>
      <c r="L28" s="25">
        <v>4</v>
      </c>
      <c r="M28" s="25">
        <v>1</v>
      </c>
      <c r="N28" s="25">
        <v>1</v>
      </c>
      <c r="O28" s="45" t="s">
        <v>141</v>
      </c>
      <c r="P28" s="25">
        <v>100</v>
      </c>
      <c r="Q28" s="25">
        <v>20180301</v>
      </c>
      <c r="R28" s="25">
        <v>20180301</v>
      </c>
      <c r="S28" s="25" t="s">
        <v>137</v>
      </c>
      <c r="T28" s="25" t="s">
        <v>147</v>
      </c>
      <c r="U28" s="25">
        <v>20190301</v>
      </c>
      <c r="V28" s="25">
        <v>6</v>
      </c>
      <c r="W28" s="25">
        <v>6</v>
      </c>
      <c r="X28" s="25" t="s">
        <v>139</v>
      </c>
      <c r="Y28" s="25">
        <v>0</v>
      </c>
      <c r="Z28" s="25" t="s">
        <v>140</v>
      </c>
      <c r="AA28" s="25">
        <v>818</v>
      </c>
      <c r="AB28" s="41">
        <v>0</v>
      </c>
      <c r="AC28" s="41">
        <v>12</v>
      </c>
      <c r="AD28" s="41">
        <v>20180201</v>
      </c>
      <c r="AE28" s="41">
        <v>0</v>
      </c>
      <c r="AF28" s="26">
        <v>25000</v>
      </c>
      <c r="AG28" s="41">
        <v>96</v>
      </c>
      <c r="AH28" s="26">
        <v>63</v>
      </c>
      <c r="AI28" s="26">
        <v>0</v>
      </c>
      <c r="AJ28" s="26">
        <v>0</v>
      </c>
      <c r="AK28" s="26">
        <v>0</v>
      </c>
      <c r="AL28" s="26">
        <v>0</v>
      </c>
      <c r="AM28" s="26">
        <v>0</v>
      </c>
      <c r="AN28" s="26">
        <v>0</v>
      </c>
      <c r="AO28" s="26">
        <v>0</v>
      </c>
      <c r="AP28" s="26">
        <v>0</v>
      </c>
      <c r="AQ28" s="26">
        <v>0</v>
      </c>
      <c r="AR28" s="26">
        <v>0</v>
      </c>
      <c r="AS28" s="26">
        <v>0</v>
      </c>
      <c r="AT28" s="26">
        <v>0</v>
      </c>
      <c r="AU28" s="26">
        <v>0</v>
      </c>
      <c r="AV28" s="26">
        <v>0</v>
      </c>
      <c r="AW28" s="26">
        <v>0</v>
      </c>
      <c r="AX28" s="26">
        <v>0</v>
      </c>
      <c r="AY28" s="46">
        <v>1</v>
      </c>
      <c r="AZ28" s="25">
        <v>2</v>
      </c>
      <c r="BA28" s="41" t="s">
        <v>203</v>
      </c>
      <c r="BB28" s="41">
        <v>100</v>
      </c>
      <c r="BC28" s="41">
        <v>20180301</v>
      </c>
      <c r="BD28" s="41">
        <v>20180301</v>
      </c>
      <c r="BE28" s="41" t="s">
        <v>198</v>
      </c>
      <c r="BF28" s="41" t="s">
        <v>149</v>
      </c>
      <c r="BG28" s="41">
        <v>20180301</v>
      </c>
      <c r="BH28" s="41">
        <v>0</v>
      </c>
      <c r="BI28" s="41">
        <v>0</v>
      </c>
      <c r="BJ28" s="41"/>
      <c r="BK28" s="41">
        <v>0</v>
      </c>
      <c r="BL28" s="41" t="s">
        <v>140</v>
      </c>
      <c r="BM28" s="41">
        <v>818</v>
      </c>
      <c r="BN28" s="41">
        <v>0</v>
      </c>
      <c r="BO28" s="41">
        <v>12</v>
      </c>
      <c r="BP28" s="41">
        <v>20180201</v>
      </c>
      <c r="BQ28" s="41">
        <v>0</v>
      </c>
      <c r="BR28" s="41">
        <v>0</v>
      </c>
      <c r="BS28" s="41">
        <v>51</v>
      </c>
      <c r="BT28" s="25">
        <v>63</v>
      </c>
      <c r="BU28" s="25">
        <v>0</v>
      </c>
      <c r="BV28" s="25">
        <v>0</v>
      </c>
      <c r="BW28" s="25">
        <v>0</v>
      </c>
      <c r="BX28" s="25">
        <v>0</v>
      </c>
      <c r="BY28" s="25">
        <v>0</v>
      </c>
      <c r="BZ28" s="25">
        <v>0</v>
      </c>
      <c r="CA28" s="25">
        <v>0</v>
      </c>
      <c r="CB28" s="25">
        <v>0</v>
      </c>
      <c r="CC28" s="25">
        <v>0</v>
      </c>
      <c r="CD28" s="25">
        <v>0</v>
      </c>
      <c r="CE28" s="25">
        <v>0</v>
      </c>
      <c r="CF28" s="25">
        <v>0</v>
      </c>
      <c r="CG28" s="25">
        <v>0</v>
      </c>
      <c r="CH28" s="25">
        <v>0</v>
      </c>
      <c r="CI28" s="25">
        <v>0</v>
      </c>
      <c r="CJ28" s="25">
        <v>0</v>
      </c>
      <c r="CK28" s="22">
        <v>1</v>
      </c>
      <c r="CL28" s="25">
        <v>3</v>
      </c>
      <c r="CM28" s="41" t="s">
        <v>150</v>
      </c>
      <c r="CN28" s="41">
        <v>100</v>
      </c>
      <c r="CO28" s="41">
        <v>20180301</v>
      </c>
      <c r="CP28" s="41">
        <v>20180301</v>
      </c>
      <c r="CQ28" s="41" t="s">
        <v>198</v>
      </c>
      <c r="CR28" s="41" t="s">
        <v>200</v>
      </c>
      <c r="CS28" s="41">
        <v>20180301</v>
      </c>
      <c r="CT28" s="41">
        <v>0</v>
      </c>
      <c r="CU28" s="41">
        <v>0</v>
      </c>
      <c r="CV28" s="41"/>
      <c r="CW28" s="41">
        <v>0</v>
      </c>
      <c r="CX28" s="41" t="s">
        <v>140</v>
      </c>
      <c r="CY28" s="41">
        <v>818</v>
      </c>
      <c r="CZ28" s="41">
        <v>0</v>
      </c>
      <c r="DA28" s="41">
        <v>12</v>
      </c>
      <c r="DB28" s="41">
        <v>20180201</v>
      </c>
      <c r="DC28" s="41">
        <v>0</v>
      </c>
      <c r="DD28" s="41">
        <v>0</v>
      </c>
      <c r="DE28" s="41">
        <v>32</v>
      </c>
      <c r="DF28" s="25">
        <v>63</v>
      </c>
      <c r="DG28" s="25">
        <v>0</v>
      </c>
      <c r="DH28" s="25">
        <v>0</v>
      </c>
      <c r="DI28" s="25">
        <v>0</v>
      </c>
      <c r="DJ28" s="25">
        <v>0</v>
      </c>
      <c r="DK28" s="25">
        <v>0</v>
      </c>
      <c r="DL28" s="25">
        <v>0</v>
      </c>
      <c r="DM28" s="25">
        <v>0</v>
      </c>
      <c r="DN28" s="25">
        <v>0</v>
      </c>
      <c r="DO28" s="25">
        <v>0</v>
      </c>
      <c r="DP28" s="25">
        <v>0</v>
      </c>
      <c r="DQ28" s="25">
        <v>0</v>
      </c>
      <c r="DR28" s="25">
        <v>0</v>
      </c>
      <c r="DS28" s="25">
        <v>0</v>
      </c>
      <c r="DT28" s="25">
        <v>0</v>
      </c>
      <c r="DU28" s="25">
        <v>0</v>
      </c>
      <c r="DV28" s="25">
        <v>0</v>
      </c>
      <c r="DW28" s="23">
        <v>1</v>
      </c>
      <c r="DX28" s="25">
        <v>4</v>
      </c>
      <c r="DY28" s="41" t="s">
        <v>151</v>
      </c>
      <c r="DZ28" s="41">
        <v>100</v>
      </c>
      <c r="EA28" s="41">
        <v>20180301</v>
      </c>
      <c r="EB28" s="41">
        <v>20180301</v>
      </c>
      <c r="EC28" s="41" t="s">
        <v>198</v>
      </c>
      <c r="ED28" s="41" t="s">
        <v>201</v>
      </c>
      <c r="EE28" s="41">
        <v>20180301</v>
      </c>
      <c r="EF28" s="41">
        <v>0</v>
      </c>
      <c r="EG28" s="41">
        <v>0</v>
      </c>
      <c r="EH28" s="41"/>
      <c r="EI28" s="41">
        <v>0</v>
      </c>
      <c r="EJ28" s="41" t="s">
        <v>140</v>
      </c>
      <c r="EK28" s="41">
        <v>818</v>
      </c>
      <c r="EL28" s="41">
        <v>0</v>
      </c>
      <c r="EM28" s="41">
        <v>12</v>
      </c>
      <c r="EN28" s="41">
        <v>20180201</v>
      </c>
      <c r="EO28" s="41">
        <v>0</v>
      </c>
      <c r="EP28" s="41">
        <v>0</v>
      </c>
      <c r="EQ28" s="41">
        <v>13</v>
      </c>
      <c r="ER28" s="25">
        <v>63</v>
      </c>
      <c r="ES28" s="25">
        <v>0</v>
      </c>
      <c r="ET28" s="25">
        <v>0</v>
      </c>
      <c r="EU28" s="25">
        <v>0</v>
      </c>
      <c r="EV28" s="25">
        <v>0</v>
      </c>
      <c r="EW28" s="25">
        <v>0</v>
      </c>
      <c r="EX28" s="25">
        <v>0</v>
      </c>
      <c r="EY28" s="25">
        <v>0</v>
      </c>
      <c r="EZ28" s="25">
        <v>0</v>
      </c>
      <c r="FA28" s="25">
        <v>0</v>
      </c>
      <c r="FB28" s="25">
        <v>0</v>
      </c>
      <c r="FC28" s="25">
        <v>0</v>
      </c>
      <c r="FD28" s="25">
        <v>0</v>
      </c>
      <c r="FE28" s="25">
        <v>0</v>
      </c>
      <c r="FF28" s="25">
        <v>0</v>
      </c>
      <c r="FG28" s="25">
        <v>0</v>
      </c>
      <c r="FH28" s="25">
        <v>0</v>
      </c>
      <c r="FI28" s="25">
        <v>1</v>
      </c>
      <c r="FJ28" s="25">
        <v>1</v>
      </c>
      <c r="FK28" s="25">
        <v>1</v>
      </c>
      <c r="FL28" s="25">
        <v>63</v>
      </c>
      <c r="FM28" s="25" t="s">
        <v>137</v>
      </c>
      <c r="FN28" s="25">
        <v>19560101</v>
      </c>
      <c r="FP28" s="28">
        <v>4</v>
      </c>
      <c r="FQ28" s="47">
        <v>1</v>
      </c>
      <c r="FR28" s="41">
        <v>1</v>
      </c>
      <c r="FS28" s="41" t="str">
        <f t="shared" si="0"/>
        <v>MFSP</v>
      </c>
      <c r="FT28" s="41">
        <f t="shared" si="1"/>
        <v>818</v>
      </c>
      <c r="FU28" s="41">
        <f t="shared" si="2"/>
        <v>63</v>
      </c>
      <c r="FV28" s="41">
        <v>26500</v>
      </c>
      <c r="FW28" s="41">
        <v>101.76</v>
      </c>
      <c r="FX28" s="41"/>
      <c r="FY28" s="29">
        <v>0</v>
      </c>
      <c r="FZ28" s="29">
        <v>0</v>
      </c>
      <c r="GA28" s="30">
        <v>0</v>
      </c>
      <c r="GB28" s="30">
        <v>0</v>
      </c>
      <c r="GC28" s="29">
        <v>0</v>
      </c>
      <c r="GD28" s="41">
        <v>0</v>
      </c>
      <c r="GE28" s="29">
        <v>0</v>
      </c>
      <c r="GF28" s="29">
        <v>0</v>
      </c>
      <c r="GG28" s="29">
        <v>0</v>
      </c>
      <c r="GH28" s="29">
        <v>0</v>
      </c>
      <c r="GI28" s="29">
        <v>0</v>
      </c>
      <c r="GJ28" s="29">
        <v>0</v>
      </c>
      <c r="GK28" s="29">
        <v>0</v>
      </c>
      <c r="GL28" s="29">
        <v>0</v>
      </c>
      <c r="GM28" s="29">
        <v>0</v>
      </c>
      <c r="GN28" s="29">
        <v>0</v>
      </c>
      <c r="GO28" s="29">
        <v>0</v>
      </c>
      <c r="GP28" s="29">
        <v>0</v>
      </c>
      <c r="GQ28" s="29">
        <v>0</v>
      </c>
      <c r="GR28" s="18">
        <v>1</v>
      </c>
      <c r="GS28" s="41">
        <v>2</v>
      </c>
      <c r="GT28" s="41" t="str">
        <f t="shared" si="3"/>
        <v>PURO</v>
      </c>
      <c r="GU28" s="41">
        <v>818</v>
      </c>
      <c r="GV28" s="41">
        <v>56</v>
      </c>
      <c r="GW28" s="41">
        <v>0</v>
      </c>
      <c r="GX28" s="41">
        <v>54.06</v>
      </c>
      <c r="GY28" s="41"/>
      <c r="GZ28" s="41">
        <v>0</v>
      </c>
      <c r="HA28" s="41">
        <v>0</v>
      </c>
      <c r="HB28" s="42">
        <v>0</v>
      </c>
      <c r="HC28" s="42">
        <v>0</v>
      </c>
      <c r="HD28" s="41">
        <v>0</v>
      </c>
      <c r="HE28" s="41">
        <v>0</v>
      </c>
      <c r="HF28" s="41">
        <v>0</v>
      </c>
      <c r="HG28" s="41">
        <v>0</v>
      </c>
      <c r="HH28" s="41">
        <v>0</v>
      </c>
      <c r="HI28" s="41">
        <v>0</v>
      </c>
      <c r="HJ28" s="41">
        <v>0</v>
      </c>
      <c r="HK28" s="41">
        <v>0</v>
      </c>
      <c r="HL28" s="41">
        <v>0</v>
      </c>
      <c r="HM28" s="41">
        <v>0</v>
      </c>
      <c r="HN28" s="41">
        <v>0</v>
      </c>
      <c r="HO28" s="41">
        <v>0</v>
      </c>
      <c r="HP28" s="41">
        <v>0</v>
      </c>
      <c r="HQ28" s="41">
        <v>0</v>
      </c>
      <c r="HR28" s="41">
        <v>0</v>
      </c>
      <c r="HS28" s="24">
        <v>1</v>
      </c>
      <c r="HT28" s="41">
        <v>3</v>
      </c>
      <c r="HU28" s="41" t="str">
        <f t="shared" si="4"/>
        <v>PUDT</v>
      </c>
      <c r="HV28" s="41">
        <v>818</v>
      </c>
      <c r="HW28" s="41">
        <v>56</v>
      </c>
      <c r="HX28" s="41">
        <v>0</v>
      </c>
      <c r="HY28" s="41">
        <v>33.92</v>
      </c>
      <c r="HZ28" s="42"/>
      <c r="IA28" s="41">
        <v>0</v>
      </c>
      <c r="IB28" s="41">
        <v>0</v>
      </c>
      <c r="IC28" s="42">
        <v>0</v>
      </c>
      <c r="ID28" s="42">
        <v>0</v>
      </c>
      <c r="IE28" s="41">
        <v>0</v>
      </c>
      <c r="IF28" s="43">
        <v>0</v>
      </c>
      <c r="IG28" s="41">
        <v>0</v>
      </c>
      <c r="IH28" s="41">
        <v>0</v>
      </c>
      <c r="II28" s="41">
        <v>0</v>
      </c>
      <c r="IJ28" s="41">
        <v>0</v>
      </c>
      <c r="IK28" s="41">
        <v>0</v>
      </c>
      <c r="IL28" s="41">
        <v>0</v>
      </c>
      <c r="IM28" s="41">
        <v>0</v>
      </c>
      <c r="IN28" s="41">
        <v>0</v>
      </c>
      <c r="IO28" s="41">
        <v>0</v>
      </c>
      <c r="IP28" s="41">
        <v>0</v>
      </c>
      <c r="IQ28" s="41">
        <v>0</v>
      </c>
      <c r="IR28" s="41">
        <v>0</v>
      </c>
      <c r="IS28" s="41">
        <v>0</v>
      </c>
      <c r="IT28" s="17">
        <v>1</v>
      </c>
      <c r="IU28" s="41">
        <v>4</v>
      </c>
      <c r="IV28" s="41" t="str">
        <f t="shared" si="5"/>
        <v>PUDS</v>
      </c>
      <c r="IW28" s="41">
        <v>818</v>
      </c>
      <c r="IX28" s="41">
        <v>56</v>
      </c>
      <c r="IY28" s="41">
        <v>0</v>
      </c>
      <c r="IZ28" s="41">
        <v>13.78</v>
      </c>
      <c r="JA28" s="42"/>
      <c r="JB28" s="41">
        <v>0</v>
      </c>
      <c r="JC28" s="41">
        <v>0</v>
      </c>
      <c r="JD28" s="42">
        <v>0</v>
      </c>
      <c r="JE28" s="42">
        <v>0</v>
      </c>
      <c r="JF28" s="41">
        <v>0</v>
      </c>
      <c r="JG28" s="41">
        <v>0</v>
      </c>
      <c r="JH28" s="41">
        <v>0</v>
      </c>
      <c r="JI28" s="41">
        <v>0</v>
      </c>
      <c r="JJ28" s="41">
        <v>0</v>
      </c>
      <c r="JK28" s="41">
        <v>0</v>
      </c>
      <c r="JL28" s="41">
        <v>0</v>
      </c>
      <c r="JM28" s="41">
        <v>0</v>
      </c>
      <c r="JN28" s="41">
        <v>0</v>
      </c>
      <c r="JO28" s="41">
        <v>0</v>
      </c>
      <c r="JP28" s="41">
        <v>0</v>
      </c>
      <c r="JQ28" s="41">
        <v>0</v>
      </c>
      <c r="JR28" s="41">
        <v>0</v>
      </c>
      <c r="JS28" s="41">
        <v>0</v>
      </c>
      <c r="JT28" s="41">
        <v>0</v>
      </c>
      <c r="JU28"/>
    </row>
    <row r="29" spans="1:281" ht="15.75">
      <c r="A29" s="25">
        <v>23</v>
      </c>
      <c r="B29" s="25">
        <v>20190301</v>
      </c>
      <c r="C29" s="25"/>
      <c r="D29" s="25" t="s">
        <v>132</v>
      </c>
      <c r="E29" s="25" t="s">
        <v>132</v>
      </c>
      <c r="F29" s="25" t="s">
        <v>133</v>
      </c>
      <c r="G29" s="25"/>
      <c r="H29" s="25">
        <v>100000023</v>
      </c>
      <c r="I29" s="25" t="s">
        <v>134</v>
      </c>
      <c r="J29" s="25" t="s">
        <v>135</v>
      </c>
      <c r="K29" s="25" t="s">
        <v>132</v>
      </c>
      <c r="L29" s="25">
        <v>4</v>
      </c>
      <c r="M29" s="25">
        <v>1</v>
      </c>
      <c r="N29" s="25">
        <v>1</v>
      </c>
      <c r="O29" s="45" t="s">
        <v>141</v>
      </c>
      <c r="P29" s="25">
        <v>100</v>
      </c>
      <c r="Q29" s="25">
        <v>20180301</v>
      </c>
      <c r="R29" s="25">
        <v>20180301</v>
      </c>
      <c r="S29" s="25" t="s">
        <v>137</v>
      </c>
      <c r="T29" s="25" t="s">
        <v>147</v>
      </c>
      <c r="U29" s="25">
        <v>20190301</v>
      </c>
      <c r="V29" s="25">
        <v>6</v>
      </c>
      <c r="W29" s="25">
        <v>6</v>
      </c>
      <c r="X29" s="25" t="s">
        <v>139</v>
      </c>
      <c r="Y29" s="25">
        <v>0</v>
      </c>
      <c r="Z29" s="25" t="s">
        <v>140</v>
      </c>
      <c r="AA29" s="25">
        <v>818</v>
      </c>
      <c r="AB29" s="41">
        <v>0</v>
      </c>
      <c r="AC29" s="41">
        <v>12</v>
      </c>
      <c r="AD29" s="41">
        <v>20180201</v>
      </c>
      <c r="AE29" s="41">
        <v>0</v>
      </c>
      <c r="AF29" s="26">
        <v>30000</v>
      </c>
      <c r="AG29" s="41">
        <v>111</v>
      </c>
      <c r="AH29" s="26">
        <v>62</v>
      </c>
      <c r="AI29" s="26">
        <v>0</v>
      </c>
      <c r="AJ29" s="26">
        <v>0</v>
      </c>
      <c r="AK29" s="26">
        <v>0</v>
      </c>
      <c r="AL29" s="26">
        <v>0</v>
      </c>
      <c r="AM29" s="26">
        <v>0</v>
      </c>
      <c r="AN29" s="26">
        <v>0</v>
      </c>
      <c r="AO29" s="26">
        <v>0</v>
      </c>
      <c r="AP29" s="26">
        <v>0</v>
      </c>
      <c r="AQ29" s="26">
        <v>0</v>
      </c>
      <c r="AR29" s="26">
        <v>0</v>
      </c>
      <c r="AS29" s="26">
        <v>0</v>
      </c>
      <c r="AT29" s="26">
        <v>0</v>
      </c>
      <c r="AU29" s="26">
        <v>0</v>
      </c>
      <c r="AV29" s="26">
        <v>0</v>
      </c>
      <c r="AW29" s="26">
        <v>0</v>
      </c>
      <c r="AX29" s="26">
        <v>0</v>
      </c>
      <c r="AY29" s="46">
        <v>1</v>
      </c>
      <c r="AZ29" s="25">
        <v>2</v>
      </c>
      <c r="BA29" s="41" t="s">
        <v>203</v>
      </c>
      <c r="BB29" s="41">
        <v>100</v>
      </c>
      <c r="BC29" s="41">
        <v>20180301</v>
      </c>
      <c r="BD29" s="41">
        <v>20180301</v>
      </c>
      <c r="BE29" s="41" t="s">
        <v>198</v>
      </c>
      <c r="BF29" s="41" t="s">
        <v>149</v>
      </c>
      <c r="BG29" s="41">
        <v>20180301</v>
      </c>
      <c r="BH29" s="41">
        <v>0</v>
      </c>
      <c r="BI29" s="41">
        <v>0</v>
      </c>
      <c r="BJ29" s="41"/>
      <c r="BK29" s="41">
        <v>0</v>
      </c>
      <c r="BL29" s="41" t="s">
        <v>140</v>
      </c>
      <c r="BM29" s="41">
        <v>818</v>
      </c>
      <c r="BN29" s="41">
        <v>0</v>
      </c>
      <c r="BO29" s="41">
        <v>12</v>
      </c>
      <c r="BP29" s="41">
        <v>20180201</v>
      </c>
      <c r="BQ29" s="41">
        <v>0</v>
      </c>
      <c r="BR29" s="41">
        <v>0</v>
      </c>
      <c r="BS29" s="41">
        <v>59</v>
      </c>
      <c r="BT29" s="25">
        <v>62</v>
      </c>
      <c r="BU29" s="25">
        <v>0</v>
      </c>
      <c r="BV29" s="25">
        <v>0</v>
      </c>
      <c r="BW29" s="25">
        <v>0</v>
      </c>
      <c r="BX29" s="25">
        <v>0</v>
      </c>
      <c r="BY29" s="25">
        <v>0</v>
      </c>
      <c r="BZ29" s="25">
        <v>0</v>
      </c>
      <c r="CA29" s="25">
        <v>0</v>
      </c>
      <c r="CB29" s="25">
        <v>0</v>
      </c>
      <c r="CC29" s="25">
        <v>0</v>
      </c>
      <c r="CD29" s="25">
        <v>0</v>
      </c>
      <c r="CE29" s="25">
        <v>0</v>
      </c>
      <c r="CF29" s="25">
        <v>0</v>
      </c>
      <c r="CG29" s="25">
        <v>0</v>
      </c>
      <c r="CH29" s="25">
        <v>0</v>
      </c>
      <c r="CI29" s="25">
        <v>0</v>
      </c>
      <c r="CJ29" s="25">
        <v>0</v>
      </c>
      <c r="CK29" s="22">
        <v>1</v>
      </c>
      <c r="CL29" s="25">
        <v>3</v>
      </c>
      <c r="CM29" s="41" t="s">
        <v>150</v>
      </c>
      <c r="CN29" s="41">
        <v>100</v>
      </c>
      <c r="CO29" s="41">
        <v>20180301</v>
      </c>
      <c r="CP29" s="41">
        <v>20180301</v>
      </c>
      <c r="CQ29" s="41" t="s">
        <v>198</v>
      </c>
      <c r="CR29" s="41" t="s">
        <v>200</v>
      </c>
      <c r="CS29" s="41">
        <v>20180301</v>
      </c>
      <c r="CT29" s="41">
        <v>0</v>
      </c>
      <c r="CU29" s="41">
        <v>0</v>
      </c>
      <c r="CV29" s="41"/>
      <c r="CW29" s="41">
        <v>0</v>
      </c>
      <c r="CX29" s="41" t="s">
        <v>140</v>
      </c>
      <c r="CY29" s="41">
        <v>818</v>
      </c>
      <c r="CZ29" s="41">
        <v>0</v>
      </c>
      <c r="DA29" s="41">
        <v>12</v>
      </c>
      <c r="DB29" s="41">
        <v>20180201</v>
      </c>
      <c r="DC29" s="41">
        <v>0</v>
      </c>
      <c r="DD29" s="41">
        <v>0</v>
      </c>
      <c r="DE29" s="41">
        <v>37</v>
      </c>
      <c r="DF29" s="25">
        <v>62</v>
      </c>
      <c r="DG29" s="25">
        <v>0</v>
      </c>
      <c r="DH29" s="25">
        <v>0</v>
      </c>
      <c r="DI29" s="25">
        <v>0</v>
      </c>
      <c r="DJ29" s="25">
        <v>0</v>
      </c>
      <c r="DK29" s="25">
        <v>0</v>
      </c>
      <c r="DL29" s="25">
        <v>0</v>
      </c>
      <c r="DM29" s="25">
        <v>0</v>
      </c>
      <c r="DN29" s="25">
        <v>0</v>
      </c>
      <c r="DO29" s="25">
        <v>0</v>
      </c>
      <c r="DP29" s="25">
        <v>0</v>
      </c>
      <c r="DQ29" s="25">
        <v>0</v>
      </c>
      <c r="DR29" s="25">
        <v>0</v>
      </c>
      <c r="DS29" s="25">
        <v>0</v>
      </c>
      <c r="DT29" s="25">
        <v>0</v>
      </c>
      <c r="DU29" s="25">
        <v>0</v>
      </c>
      <c r="DV29" s="25">
        <v>0</v>
      </c>
      <c r="DW29" s="23">
        <v>1</v>
      </c>
      <c r="DX29" s="25">
        <v>4</v>
      </c>
      <c r="DY29" s="41" t="s">
        <v>151</v>
      </c>
      <c r="DZ29" s="41">
        <v>100</v>
      </c>
      <c r="EA29" s="41">
        <v>20180301</v>
      </c>
      <c r="EB29" s="41">
        <v>20180301</v>
      </c>
      <c r="EC29" s="41" t="s">
        <v>198</v>
      </c>
      <c r="ED29" s="41" t="s">
        <v>201</v>
      </c>
      <c r="EE29" s="41">
        <v>20180301</v>
      </c>
      <c r="EF29" s="41">
        <v>0</v>
      </c>
      <c r="EG29" s="41">
        <v>0</v>
      </c>
      <c r="EH29" s="41"/>
      <c r="EI29" s="41">
        <v>0</v>
      </c>
      <c r="EJ29" s="41" t="s">
        <v>140</v>
      </c>
      <c r="EK29" s="41">
        <v>818</v>
      </c>
      <c r="EL29" s="41">
        <v>0</v>
      </c>
      <c r="EM29" s="41">
        <v>12</v>
      </c>
      <c r="EN29" s="41">
        <v>20180201</v>
      </c>
      <c r="EO29" s="41">
        <v>0</v>
      </c>
      <c r="EP29" s="41">
        <v>0</v>
      </c>
      <c r="EQ29" s="41">
        <v>15</v>
      </c>
      <c r="ER29" s="25">
        <v>62</v>
      </c>
      <c r="ES29" s="25">
        <v>0</v>
      </c>
      <c r="ET29" s="25">
        <v>0</v>
      </c>
      <c r="EU29" s="25">
        <v>0</v>
      </c>
      <c r="EV29" s="25">
        <v>0</v>
      </c>
      <c r="EW29" s="25">
        <v>0</v>
      </c>
      <c r="EX29" s="25">
        <v>0</v>
      </c>
      <c r="EY29" s="25">
        <v>0</v>
      </c>
      <c r="EZ29" s="25">
        <v>0</v>
      </c>
      <c r="FA29" s="25">
        <v>0</v>
      </c>
      <c r="FB29" s="25">
        <v>0</v>
      </c>
      <c r="FC29" s="25">
        <v>0</v>
      </c>
      <c r="FD29" s="25">
        <v>0</v>
      </c>
      <c r="FE29" s="25">
        <v>0</v>
      </c>
      <c r="FF29" s="25">
        <v>0</v>
      </c>
      <c r="FG29" s="25">
        <v>0</v>
      </c>
      <c r="FH29" s="25">
        <v>0</v>
      </c>
      <c r="FI29" s="25">
        <v>1</v>
      </c>
      <c r="FJ29" s="25">
        <v>1</v>
      </c>
      <c r="FK29" s="25">
        <v>1</v>
      </c>
      <c r="FL29" s="25">
        <v>62</v>
      </c>
      <c r="FM29" s="25" t="s">
        <v>137</v>
      </c>
      <c r="FN29" s="25">
        <v>19570101</v>
      </c>
      <c r="FP29" s="28">
        <v>4</v>
      </c>
      <c r="FQ29" s="47">
        <v>1</v>
      </c>
      <c r="FR29" s="41">
        <v>1</v>
      </c>
      <c r="FS29" s="41" t="str">
        <f t="shared" si="0"/>
        <v>MFSP</v>
      </c>
      <c r="FT29" s="41">
        <f t="shared" si="1"/>
        <v>818</v>
      </c>
      <c r="FU29" s="41">
        <f t="shared" si="2"/>
        <v>62</v>
      </c>
      <c r="FV29" s="41">
        <v>31800</v>
      </c>
      <c r="FW29" s="41">
        <v>117.66</v>
      </c>
      <c r="FX29" s="41"/>
      <c r="FY29" s="29">
        <v>0</v>
      </c>
      <c r="FZ29" s="29">
        <v>0</v>
      </c>
      <c r="GA29" s="30">
        <v>0</v>
      </c>
      <c r="GB29" s="30">
        <v>0</v>
      </c>
      <c r="GC29" s="29">
        <v>0</v>
      </c>
      <c r="GD29" s="41">
        <v>0</v>
      </c>
      <c r="GE29" s="29">
        <v>0</v>
      </c>
      <c r="GF29" s="29">
        <v>0</v>
      </c>
      <c r="GG29" s="29">
        <v>0</v>
      </c>
      <c r="GH29" s="29">
        <v>0</v>
      </c>
      <c r="GI29" s="29">
        <v>0</v>
      </c>
      <c r="GJ29" s="29">
        <v>0</v>
      </c>
      <c r="GK29" s="29">
        <v>0</v>
      </c>
      <c r="GL29" s="29">
        <v>0</v>
      </c>
      <c r="GM29" s="29">
        <v>0</v>
      </c>
      <c r="GN29" s="29">
        <v>0</v>
      </c>
      <c r="GO29" s="29">
        <v>0</v>
      </c>
      <c r="GP29" s="29">
        <v>0</v>
      </c>
      <c r="GQ29" s="29">
        <v>0</v>
      </c>
      <c r="GR29" s="18">
        <v>1</v>
      </c>
      <c r="GS29" s="41">
        <v>2</v>
      </c>
      <c r="GT29" s="41" t="str">
        <f t="shared" si="3"/>
        <v>PURO</v>
      </c>
      <c r="GU29" s="41">
        <v>818</v>
      </c>
      <c r="GV29" s="41">
        <v>57</v>
      </c>
      <c r="GW29" s="41">
        <v>0</v>
      </c>
      <c r="GX29" s="41">
        <v>62.54</v>
      </c>
      <c r="GY29" s="41"/>
      <c r="GZ29" s="41">
        <v>0</v>
      </c>
      <c r="HA29" s="41">
        <v>0</v>
      </c>
      <c r="HB29" s="42">
        <v>0</v>
      </c>
      <c r="HC29" s="42">
        <v>0</v>
      </c>
      <c r="HD29" s="41">
        <v>0</v>
      </c>
      <c r="HE29" s="41">
        <v>0</v>
      </c>
      <c r="HF29" s="41">
        <v>0</v>
      </c>
      <c r="HG29" s="41">
        <v>0</v>
      </c>
      <c r="HH29" s="41">
        <v>0</v>
      </c>
      <c r="HI29" s="41">
        <v>0</v>
      </c>
      <c r="HJ29" s="41">
        <v>0</v>
      </c>
      <c r="HK29" s="41">
        <v>0</v>
      </c>
      <c r="HL29" s="41">
        <v>0</v>
      </c>
      <c r="HM29" s="41">
        <v>0</v>
      </c>
      <c r="HN29" s="41">
        <v>0</v>
      </c>
      <c r="HO29" s="41">
        <v>0</v>
      </c>
      <c r="HP29" s="41">
        <v>0</v>
      </c>
      <c r="HQ29" s="41">
        <v>0</v>
      </c>
      <c r="HR29" s="41">
        <v>0</v>
      </c>
      <c r="HS29" s="24">
        <v>1</v>
      </c>
      <c r="HT29" s="41">
        <v>3</v>
      </c>
      <c r="HU29" s="41" t="str">
        <f t="shared" si="4"/>
        <v>PUDT</v>
      </c>
      <c r="HV29" s="41">
        <v>818</v>
      </c>
      <c r="HW29" s="41">
        <v>57</v>
      </c>
      <c r="HX29" s="41">
        <v>0</v>
      </c>
      <c r="HY29" s="41">
        <v>39.22</v>
      </c>
      <c r="HZ29" s="42"/>
      <c r="IA29" s="41">
        <v>0</v>
      </c>
      <c r="IB29" s="41">
        <v>0</v>
      </c>
      <c r="IC29" s="42">
        <v>0</v>
      </c>
      <c r="ID29" s="42">
        <v>0</v>
      </c>
      <c r="IE29" s="41">
        <v>0</v>
      </c>
      <c r="IF29" s="43">
        <v>0</v>
      </c>
      <c r="IG29" s="41">
        <v>0</v>
      </c>
      <c r="IH29" s="41">
        <v>0</v>
      </c>
      <c r="II29" s="41">
        <v>0</v>
      </c>
      <c r="IJ29" s="41">
        <v>0</v>
      </c>
      <c r="IK29" s="41">
        <v>0</v>
      </c>
      <c r="IL29" s="41">
        <v>0</v>
      </c>
      <c r="IM29" s="41">
        <v>0</v>
      </c>
      <c r="IN29" s="41">
        <v>0</v>
      </c>
      <c r="IO29" s="41">
        <v>0</v>
      </c>
      <c r="IP29" s="41">
        <v>0</v>
      </c>
      <c r="IQ29" s="41">
        <v>0</v>
      </c>
      <c r="IR29" s="41">
        <v>0</v>
      </c>
      <c r="IS29" s="41">
        <v>0</v>
      </c>
      <c r="IT29" s="17">
        <v>1</v>
      </c>
      <c r="IU29" s="41">
        <v>4</v>
      </c>
      <c r="IV29" s="41" t="str">
        <f t="shared" si="5"/>
        <v>PUDS</v>
      </c>
      <c r="IW29" s="41">
        <v>818</v>
      </c>
      <c r="IX29" s="41">
        <v>57</v>
      </c>
      <c r="IY29" s="41">
        <v>0</v>
      </c>
      <c r="IZ29" s="41">
        <v>15.9</v>
      </c>
      <c r="JA29" s="42"/>
      <c r="JB29" s="41">
        <v>0</v>
      </c>
      <c r="JC29" s="41">
        <v>0</v>
      </c>
      <c r="JD29" s="42">
        <v>0</v>
      </c>
      <c r="JE29" s="42">
        <v>0</v>
      </c>
      <c r="JF29" s="41">
        <v>0</v>
      </c>
      <c r="JG29" s="41">
        <v>0</v>
      </c>
      <c r="JH29" s="41">
        <v>0</v>
      </c>
      <c r="JI29" s="41">
        <v>0</v>
      </c>
      <c r="JJ29" s="41">
        <v>0</v>
      </c>
      <c r="JK29" s="41">
        <v>0</v>
      </c>
      <c r="JL29" s="41">
        <v>0</v>
      </c>
      <c r="JM29" s="41">
        <v>0</v>
      </c>
      <c r="JN29" s="41">
        <v>0</v>
      </c>
      <c r="JO29" s="41">
        <v>0</v>
      </c>
      <c r="JP29" s="41">
        <v>0</v>
      </c>
      <c r="JQ29" s="41">
        <v>0</v>
      </c>
      <c r="JR29" s="41">
        <v>0</v>
      </c>
      <c r="JS29" s="41">
        <v>0</v>
      </c>
      <c r="JT29" s="41">
        <v>0</v>
      </c>
      <c r="JU29"/>
    </row>
    <row r="30" spans="1:281" ht="15.75">
      <c r="A30" s="25">
        <v>24</v>
      </c>
      <c r="B30" s="25">
        <v>20190301</v>
      </c>
      <c r="C30" s="25"/>
      <c r="D30" s="25" t="s">
        <v>132</v>
      </c>
      <c r="E30" s="25" t="s">
        <v>132</v>
      </c>
      <c r="F30" s="25" t="s">
        <v>133</v>
      </c>
      <c r="G30" s="25"/>
      <c r="H30" s="25">
        <v>100000024</v>
      </c>
      <c r="I30" s="25" t="s">
        <v>134</v>
      </c>
      <c r="J30" s="25" t="s">
        <v>135</v>
      </c>
      <c r="K30" s="25" t="s">
        <v>132</v>
      </c>
      <c r="L30" s="25">
        <v>4</v>
      </c>
      <c r="M30" s="25">
        <v>1</v>
      </c>
      <c r="N30" s="25">
        <v>1</v>
      </c>
      <c r="O30" s="45" t="s">
        <v>141</v>
      </c>
      <c r="P30" s="25">
        <v>100</v>
      </c>
      <c r="Q30" s="25">
        <v>20180301</v>
      </c>
      <c r="R30" s="25">
        <v>20180301</v>
      </c>
      <c r="S30" s="25" t="s">
        <v>137</v>
      </c>
      <c r="T30" s="25" t="s">
        <v>147</v>
      </c>
      <c r="U30" s="25">
        <v>20190301</v>
      </c>
      <c r="V30" s="25">
        <v>10</v>
      </c>
      <c r="W30" s="25">
        <v>10</v>
      </c>
      <c r="X30" s="25" t="s">
        <v>139</v>
      </c>
      <c r="Y30" s="25">
        <v>0</v>
      </c>
      <c r="Z30" s="25" t="s">
        <v>140</v>
      </c>
      <c r="AA30" s="25">
        <v>818</v>
      </c>
      <c r="AB30" s="41">
        <v>0</v>
      </c>
      <c r="AC30" s="41">
        <v>12</v>
      </c>
      <c r="AD30" s="41">
        <v>20180201</v>
      </c>
      <c r="AE30" s="41">
        <v>0</v>
      </c>
      <c r="AF30" s="26">
        <v>35000</v>
      </c>
      <c r="AG30" s="41">
        <v>127</v>
      </c>
      <c r="AH30" s="26">
        <v>61</v>
      </c>
      <c r="AI30" s="26">
        <v>0</v>
      </c>
      <c r="AJ30" s="26">
        <v>0</v>
      </c>
      <c r="AK30" s="26">
        <v>0</v>
      </c>
      <c r="AL30" s="26">
        <v>0</v>
      </c>
      <c r="AM30" s="26">
        <v>0</v>
      </c>
      <c r="AN30" s="26">
        <v>0</v>
      </c>
      <c r="AO30" s="26">
        <v>0</v>
      </c>
      <c r="AP30" s="26">
        <v>0</v>
      </c>
      <c r="AQ30" s="26">
        <v>0</v>
      </c>
      <c r="AR30" s="26">
        <v>0</v>
      </c>
      <c r="AS30" s="26">
        <v>0</v>
      </c>
      <c r="AT30" s="26">
        <v>0</v>
      </c>
      <c r="AU30" s="26">
        <v>0</v>
      </c>
      <c r="AV30" s="26">
        <v>0</v>
      </c>
      <c r="AW30" s="26">
        <v>0</v>
      </c>
      <c r="AX30" s="26">
        <v>0</v>
      </c>
      <c r="AY30" s="46">
        <v>1</v>
      </c>
      <c r="AZ30" s="25">
        <v>2</v>
      </c>
      <c r="BA30" s="41" t="s">
        <v>203</v>
      </c>
      <c r="BB30" s="41">
        <v>100</v>
      </c>
      <c r="BC30" s="41">
        <v>20180301</v>
      </c>
      <c r="BD30" s="41">
        <v>20180301</v>
      </c>
      <c r="BE30" s="41" t="s">
        <v>198</v>
      </c>
      <c r="BF30" s="41" t="s">
        <v>149</v>
      </c>
      <c r="BG30" s="41">
        <v>20180301</v>
      </c>
      <c r="BH30" s="41">
        <v>0</v>
      </c>
      <c r="BI30" s="41">
        <v>0</v>
      </c>
      <c r="BJ30" s="41"/>
      <c r="BK30" s="41">
        <v>0</v>
      </c>
      <c r="BL30" s="41" t="s">
        <v>140</v>
      </c>
      <c r="BM30" s="41">
        <v>818</v>
      </c>
      <c r="BN30" s="41">
        <v>0</v>
      </c>
      <c r="BO30" s="41">
        <v>12</v>
      </c>
      <c r="BP30" s="41">
        <v>20180201</v>
      </c>
      <c r="BQ30" s="41">
        <v>0</v>
      </c>
      <c r="BR30" s="41">
        <v>0</v>
      </c>
      <c r="BS30" s="41">
        <v>67</v>
      </c>
      <c r="BT30" s="25">
        <v>61</v>
      </c>
      <c r="BU30" s="25">
        <v>0</v>
      </c>
      <c r="BV30" s="25">
        <v>0</v>
      </c>
      <c r="BW30" s="25">
        <v>0</v>
      </c>
      <c r="BX30" s="25">
        <v>0</v>
      </c>
      <c r="BY30" s="25">
        <v>0</v>
      </c>
      <c r="BZ30" s="25">
        <v>0</v>
      </c>
      <c r="CA30" s="25">
        <v>0</v>
      </c>
      <c r="CB30" s="25">
        <v>0</v>
      </c>
      <c r="CC30" s="25">
        <v>0</v>
      </c>
      <c r="CD30" s="25">
        <v>0</v>
      </c>
      <c r="CE30" s="25">
        <v>0</v>
      </c>
      <c r="CF30" s="25">
        <v>0</v>
      </c>
      <c r="CG30" s="25">
        <v>0</v>
      </c>
      <c r="CH30" s="25">
        <v>0</v>
      </c>
      <c r="CI30" s="25">
        <v>0</v>
      </c>
      <c r="CJ30" s="25">
        <v>0</v>
      </c>
      <c r="CK30" s="22">
        <v>1</v>
      </c>
      <c r="CL30" s="25">
        <v>3</v>
      </c>
      <c r="CM30" s="41" t="s">
        <v>150</v>
      </c>
      <c r="CN30" s="41">
        <v>100</v>
      </c>
      <c r="CO30" s="41">
        <v>20180301</v>
      </c>
      <c r="CP30" s="41">
        <v>20180301</v>
      </c>
      <c r="CQ30" s="41" t="s">
        <v>198</v>
      </c>
      <c r="CR30" s="41" t="s">
        <v>200</v>
      </c>
      <c r="CS30" s="41">
        <v>20180301</v>
      </c>
      <c r="CT30" s="41">
        <v>0</v>
      </c>
      <c r="CU30" s="41">
        <v>0</v>
      </c>
      <c r="CV30" s="41"/>
      <c r="CW30" s="41">
        <v>0</v>
      </c>
      <c r="CX30" s="41" t="s">
        <v>140</v>
      </c>
      <c r="CY30" s="41">
        <v>818</v>
      </c>
      <c r="CZ30" s="41">
        <v>0</v>
      </c>
      <c r="DA30" s="41">
        <v>12</v>
      </c>
      <c r="DB30" s="41">
        <v>20180201</v>
      </c>
      <c r="DC30" s="41">
        <v>0</v>
      </c>
      <c r="DD30" s="41">
        <v>0</v>
      </c>
      <c r="DE30" s="41">
        <v>42</v>
      </c>
      <c r="DF30" s="25">
        <v>61</v>
      </c>
      <c r="DG30" s="25">
        <v>0</v>
      </c>
      <c r="DH30" s="25">
        <v>0</v>
      </c>
      <c r="DI30" s="25">
        <v>0</v>
      </c>
      <c r="DJ30" s="25">
        <v>0</v>
      </c>
      <c r="DK30" s="25">
        <v>0</v>
      </c>
      <c r="DL30" s="25">
        <v>0</v>
      </c>
      <c r="DM30" s="25">
        <v>0</v>
      </c>
      <c r="DN30" s="25">
        <v>0</v>
      </c>
      <c r="DO30" s="25">
        <v>0</v>
      </c>
      <c r="DP30" s="25">
        <v>0</v>
      </c>
      <c r="DQ30" s="25">
        <v>0</v>
      </c>
      <c r="DR30" s="25">
        <v>0</v>
      </c>
      <c r="DS30" s="25">
        <v>0</v>
      </c>
      <c r="DT30" s="25">
        <v>0</v>
      </c>
      <c r="DU30" s="25">
        <v>0</v>
      </c>
      <c r="DV30" s="25">
        <v>0</v>
      </c>
      <c r="DW30" s="23">
        <v>1</v>
      </c>
      <c r="DX30" s="25">
        <v>4</v>
      </c>
      <c r="DY30" s="41" t="s">
        <v>151</v>
      </c>
      <c r="DZ30" s="41">
        <v>100</v>
      </c>
      <c r="EA30" s="41">
        <v>20180301</v>
      </c>
      <c r="EB30" s="41">
        <v>20180301</v>
      </c>
      <c r="EC30" s="41" t="s">
        <v>198</v>
      </c>
      <c r="ED30" s="41" t="s">
        <v>201</v>
      </c>
      <c r="EE30" s="41">
        <v>20180301</v>
      </c>
      <c r="EF30" s="41">
        <v>0</v>
      </c>
      <c r="EG30" s="41">
        <v>0</v>
      </c>
      <c r="EH30" s="41"/>
      <c r="EI30" s="41">
        <v>0</v>
      </c>
      <c r="EJ30" s="41" t="s">
        <v>140</v>
      </c>
      <c r="EK30" s="41">
        <v>818</v>
      </c>
      <c r="EL30" s="41">
        <v>0</v>
      </c>
      <c r="EM30" s="41">
        <v>12</v>
      </c>
      <c r="EN30" s="41">
        <v>20180201</v>
      </c>
      <c r="EO30" s="41">
        <v>0</v>
      </c>
      <c r="EP30" s="41">
        <v>0</v>
      </c>
      <c r="EQ30" s="41">
        <v>17</v>
      </c>
      <c r="ER30" s="25">
        <v>61</v>
      </c>
      <c r="ES30" s="25">
        <v>0</v>
      </c>
      <c r="ET30" s="25">
        <v>0</v>
      </c>
      <c r="EU30" s="25">
        <v>0</v>
      </c>
      <c r="EV30" s="25">
        <v>0</v>
      </c>
      <c r="EW30" s="25">
        <v>0</v>
      </c>
      <c r="EX30" s="25">
        <v>0</v>
      </c>
      <c r="EY30" s="25">
        <v>0</v>
      </c>
      <c r="EZ30" s="25">
        <v>0</v>
      </c>
      <c r="FA30" s="25">
        <v>0</v>
      </c>
      <c r="FB30" s="25">
        <v>0</v>
      </c>
      <c r="FC30" s="25">
        <v>0</v>
      </c>
      <c r="FD30" s="25">
        <v>0</v>
      </c>
      <c r="FE30" s="25">
        <v>0</v>
      </c>
      <c r="FF30" s="25">
        <v>0</v>
      </c>
      <c r="FG30" s="25">
        <v>0</v>
      </c>
      <c r="FH30" s="25">
        <v>0</v>
      </c>
      <c r="FI30" s="25">
        <v>1</v>
      </c>
      <c r="FJ30" s="25">
        <v>1</v>
      </c>
      <c r="FK30" s="25">
        <v>1</v>
      </c>
      <c r="FL30" s="25">
        <v>61</v>
      </c>
      <c r="FM30" s="25" t="s">
        <v>137</v>
      </c>
      <c r="FN30" s="25">
        <v>19580101</v>
      </c>
      <c r="FP30" s="28">
        <v>4</v>
      </c>
      <c r="FQ30" s="47">
        <v>1</v>
      </c>
      <c r="FR30" s="41">
        <v>1</v>
      </c>
      <c r="FS30" s="41" t="str">
        <f t="shared" si="0"/>
        <v>MFSP</v>
      </c>
      <c r="FT30" s="41">
        <f t="shared" si="1"/>
        <v>818</v>
      </c>
      <c r="FU30" s="41">
        <f t="shared" si="2"/>
        <v>61</v>
      </c>
      <c r="FV30" s="41">
        <v>38500</v>
      </c>
      <c r="FW30" s="41">
        <v>139.69999999999999</v>
      </c>
      <c r="FX30" s="41"/>
      <c r="FY30" s="29">
        <v>0</v>
      </c>
      <c r="FZ30" s="29">
        <v>0</v>
      </c>
      <c r="GA30" s="30">
        <v>0</v>
      </c>
      <c r="GB30" s="30">
        <v>0</v>
      </c>
      <c r="GC30" s="29">
        <v>0</v>
      </c>
      <c r="GD30" s="41">
        <v>0</v>
      </c>
      <c r="GE30" s="29">
        <v>0</v>
      </c>
      <c r="GF30" s="29">
        <v>0</v>
      </c>
      <c r="GG30" s="29">
        <v>0</v>
      </c>
      <c r="GH30" s="29">
        <v>0</v>
      </c>
      <c r="GI30" s="29">
        <v>0</v>
      </c>
      <c r="GJ30" s="29">
        <v>0</v>
      </c>
      <c r="GK30" s="29">
        <v>0</v>
      </c>
      <c r="GL30" s="29">
        <v>0</v>
      </c>
      <c r="GM30" s="29">
        <v>0</v>
      </c>
      <c r="GN30" s="29">
        <v>0</v>
      </c>
      <c r="GO30" s="29">
        <v>0</v>
      </c>
      <c r="GP30" s="29">
        <v>0</v>
      </c>
      <c r="GQ30" s="29">
        <v>0</v>
      </c>
      <c r="GR30" s="18">
        <v>1</v>
      </c>
      <c r="GS30" s="41">
        <v>2</v>
      </c>
      <c r="GT30" s="41" t="str">
        <f t="shared" si="3"/>
        <v>PURO</v>
      </c>
      <c r="GU30" s="41">
        <v>818</v>
      </c>
      <c r="GV30" s="41">
        <v>45</v>
      </c>
      <c r="GW30" s="41">
        <v>0</v>
      </c>
      <c r="GX30" s="41">
        <v>73.7</v>
      </c>
      <c r="GY30" s="41"/>
      <c r="GZ30" s="41">
        <v>0</v>
      </c>
      <c r="HA30" s="41">
        <v>0</v>
      </c>
      <c r="HB30" s="42">
        <v>0</v>
      </c>
      <c r="HC30" s="42">
        <v>0</v>
      </c>
      <c r="HD30" s="41">
        <v>0</v>
      </c>
      <c r="HE30" s="41">
        <v>0</v>
      </c>
      <c r="HF30" s="41">
        <v>0</v>
      </c>
      <c r="HG30" s="41">
        <v>0</v>
      </c>
      <c r="HH30" s="41">
        <v>0</v>
      </c>
      <c r="HI30" s="41">
        <v>0</v>
      </c>
      <c r="HJ30" s="41">
        <v>0</v>
      </c>
      <c r="HK30" s="41">
        <v>0</v>
      </c>
      <c r="HL30" s="41">
        <v>0</v>
      </c>
      <c r="HM30" s="41">
        <v>0</v>
      </c>
      <c r="HN30" s="41">
        <v>0</v>
      </c>
      <c r="HO30" s="41">
        <v>0</v>
      </c>
      <c r="HP30" s="41">
        <v>0</v>
      </c>
      <c r="HQ30" s="41">
        <v>0</v>
      </c>
      <c r="HR30" s="41">
        <v>0</v>
      </c>
      <c r="HS30" s="24">
        <v>1</v>
      </c>
      <c r="HT30" s="41">
        <v>3</v>
      </c>
      <c r="HU30" s="41" t="str">
        <f t="shared" si="4"/>
        <v>PUDT</v>
      </c>
      <c r="HV30" s="41">
        <v>818</v>
      </c>
      <c r="HW30" s="41">
        <v>45</v>
      </c>
      <c r="HX30" s="41">
        <v>0</v>
      </c>
      <c r="HY30" s="41">
        <v>46.2</v>
      </c>
      <c r="HZ30" s="42"/>
      <c r="IA30" s="41">
        <v>0</v>
      </c>
      <c r="IB30" s="41">
        <v>0</v>
      </c>
      <c r="IC30" s="42">
        <v>0</v>
      </c>
      <c r="ID30" s="42">
        <v>0</v>
      </c>
      <c r="IE30" s="41">
        <v>0</v>
      </c>
      <c r="IF30" s="43">
        <v>0</v>
      </c>
      <c r="IG30" s="41">
        <v>0</v>
      </c>
      <c r="IH30" s="41">
        <v>0</v>
      </c>
      <c r="II30" s="41">
        <v>0</v>
      </c>
      <c r="IJ30" s="41">
        <v>0</v>
      </c>
      <c r="IK30" s="41">
        <v>0</v>
      </c>
      <c r="IL30" s="41">
        <v>0</v>
      </c>
      <c r="IM30" s="41">
        <v>0</v>
      </c>
      <c r="IN30" s="41">
        <v>0</v>
      </c>
      <c r="IO30" s="41">
        <v>0</v>
      </c>
      <c r="IP30" s="41">
        <v>0</v>
      </c>
      <c r="IQ30" s="41">
        <v>0</v>
      </c>
      <c r="IR30" s="41">
        <v>0</v>
      </c>
      <c r="IS30" s="41">
        <v>0</v>
      </c>
      <c r="IT30" s="17">
        <v>1</v>
      </c>
      <c r="IU30" s="41">
        <v>4</v>
      </c>
      <c r="IV30" s="41" t="str">
        <f t="shared" si="5"/>
        <v>PUDS</v>
      </c>
      <c r="IW30" s="41">
        <v>818</v>
      </c>
      <c r="IX30" s="41">
        <v>45</v>
      </c>
      <c r="IY30" s="41">
        <v>0</v>
      </c>
      <c r="IZ30" s="41">
        <v>18.7</v>
      </c>
      <c r="JA30" s="42"/>
      <c r="JB30" s="41">
        <v>0</v>
      </c>
      <c r="JC30" s="41">
        <v>0</v>
      </c>
      <c r="JD30" s="42">
        <v>0</v>
      </c>
      <c r="JE30" s="42">
        <v>0</v>
      </c>
      <c r="JF30" s="41">
        <v>0</v>
      </c>
      <c r="JG30" s="41">
        <v>0</v>
      </c>
      <c r="JH30" s="41">
        <v>0</v>
      </c>
      <c r="JI30" s="41">
        <v>0</v>
      </c>
      <c r="JJ30" s="41">
        <v>0</v>
      </c>
      <c r="JK30" s="41">
        <v>0</v>
      </c>
      <c r="JL30" s="41">
        <v>0</v>
      </c>
      <c r="JM30" s="41">
        <v>0</v>
      </c>
      <c r="JN30" s="41">
        <v>0</v>
      </c>
      <c r="JO30" s="41">
        <v>0</v>
      </c>
      <c r="JP30" s="41">
        <v>0</v>
      </c>
      <c r="JQ30" s="41">
        <v>0</v>
      </c>
      <c r="JR30" s="41">
        <v>0</v>
      </c>
      <c r="JS30" s="41">
        <v>0</v>
      </c>
      <c r="JT30" s="41">
        <v>0</v>
      </c>
      <c r="JU30"/>
    </row>
    <row r="31" spans="1:281" ht="15.75">
      <c r="A31" s="25">
        <v>25</v>
      </c>
      <c r="B31" s="25">
        <v>20190301</v>
      </c>
      <c r="C31" s="25"/>
      <c r="D31" s="25" t="s">
        <v>132</v>
      </c>
      <c r="E31" s="25" t="s">
        <v>132</v>
      </c>
      <c r="F31" s="25" t="s">
        <v>133</v>
      </c>
      <c r="G31" s="25"/>
      <c r="H31" s="25">
        <v>100000025</v>
      </c>
      <c r="I31" s="25" t="s">
        <v>134</v>
      </c>
      <c r="J31" s="25" t="s">
        <v>135</v>
      </c>
      <c r="K31" s="25" t="s">
        <v>132</v>
      </c>
      <c r="L31" s="25">
        <v>4</v>
      </c>
      <c r="M31" s="25">
        <v>1</v>
      </c>
      <c r="N31" s="25">
        <v>1</v>
      </c>
      <c r="O31" s="45" t="s">
        <v>141</v>
      </c>
      <c r="P31" s="25">
        <v>100</v>
      </c>
      <c r="Q31" s="25">
        <v>20180301</v>
      </c>
      <c r="R31" s="25">
        <v>20180301</v>
      </c>
      <c r="S31" s="25" t="s">
        <v>137</v>
      </c>
      <c r="T31" s="25" t="s">
        <v>138</v>
      </c>
      <c r="U31" s="25">
        <v>20190301</v>
      </c>
      <c r="V31" s="25">
        <v>10</v>
      </c>
      <c r="W31" s="25">
        <v>10</v>
      </c>
      <c r="X31" s="25" t="s">
        <v>139</v>
      </c>
      <c r="Y31" s="25">
        <v>0</v>
      </c>
      <c r="Z31" s="25" t="s">
        <v>140</v>
      </c>
      <c r="AA31" s="25">
        <v>818</v>
      </c>
      <c r="AB31" s="41">
        <v>0</v>
      </c>
      <c r="AC31" s="41">
        <v>12</v>
      </c>
      <c r="AD31" s="41">
        <v>20180201</v>
      </c>
      <c r="AE31" s="41">
        <v>0</v>
      </c>
      <c r="AF31" s="26">
        <v>40000</v>
      </c>
      <c r="AG31" s="41">
        <v>120</v>
      </c>
      <c r="AH31" s="26">
        <v>60</v>
      </c>
      <c r="AI31" s="26">
        <v>0</v>
      </c>
      <c r="AJ31" s="26">
        <v>0</v>
      </c>
      <c r="AK31" s="26">
        <v>0</v>
      </c>
      <c r="AL31" s="26">
        <v>0</v>
      </c>
      <c r="AM31" s="26">
        <v>0</v>
      </c>
      <c r="AN31" s="26">
        <v>0</v>
      </c>
      <c r="AO31" s="26">
        <v>0</v>
      </c>
      <c r="AP31" s="26">
        <v>0</v>
      </c>
      <c r="AQ31" s="26">
        <v>0</v>
      </c>
      <c r="AR31" s="26">
        <v>0</v>
      </c>
      <c r="AS31" s="26">
        <v>0</v>
      </c>
      <c r="AT31" s="26">
        <v>0</v>
      </c>
      <c r="AU31" s="26">
        <v>0</v>
      </c>
      <c r="AV31" s="26">
        <v>0</v>
      </c>
      <c r="AW31" s="26">
        <v>0</v>
      </c>
      <c r="AX31" s="26">
        <v>0</v>
      </c>
      <c r="AY31" s="46">
        <v>1</v>
      </c>
      <c r="AZ31" s="25">
        <v>2</v>
      </c>
      <c r="BA31" s="41" t="s">
        <v>203</v>
      </c>
      <c r="BB31" s="41">
        <v>100</v>
      </c>
      <c r="BC31" s="41">
        <v>20180301</v>
      </c>
      <c r="BD31" s="41">
        <v>20180301</v>
      </c>
      <c r="BE31" s="41" t="s">
        <v>198</v>
      </c>
      <c r="BF31" s="41" t="s">
        <v>149</v>
      </c>
      <c r="BG31" s="41">
        <v>20180301</v>
      </c>
      <c r="BH31" s="41">
        <v>0</v>
      </c>
      <c r="BI31" s="41">
        <v>0</v>
      </c>
      <c r="BJ31" s="41"/>
      <c r="BK31" s="41">
        <v>0</v>
      </c>
      <c r="BL31" s="41" t="s">
        <v>140</v>
      </c>
      <c r="BM31" s="41">
        <v>818</v>
      </c>
      <c r="BN31" s="41">
        <v>0</v>
      </c>
      <c r="BO31" s="41">
        <v>12</v>
      </c>
      <c r="BP31" s="41">
        <v>20180201</v>
      </c>
      <c r="BQ31" s="41">
        <v>0</v>
      </c>
      <c r="BR31" s="41">
        <v>0</v>
      </c>
      <c r="BS31" s="41">
        <v>60</v>
      </c>
      <c r="BT31" s="25">
        <v>60</v>
      </c>
      <c r="BU31" s="25">
        <v>0</v>
      </c>
      <c r="BV31" s="25">
        <v>0</v>
      </c>
      <c r="BW31" s="25">
        <v>0</v>
      </c>
      <c r="BX31" s="25">
        <v>0</v>
      </c>
      <c r="BY31" s="25">
        <v>0</v>
      </c>
      <c r="BZ31" s="25">
        <v>0</v>
      </c>
      <c r="CA31" s="25">
        <v>0</v>
      </c>
      <c r="CB31" s="25">
        <v>0</v>
      </c>
      <c r="CC31" s="25">
        <v>0</v>
      </c>
      <c r="CD31" s="25">
        <v>0</v>
      </c>
      <c r="CE31" s="25">
        <v>0</v>
      </c>
      <c r="CF31" s="25">
        <v>0</v>
      </c>
      <c r="CG31" s="25">
        <v>0</v>
      </c>
      <c r="CH31" s="25">
        <v>0</v>
      </c>
      <c r="CI31" s="25">
        <v>0</v>
      </c>
      <c r="CJ31" s="25">
        <v>0</v>
      </c>
      <c r="CK31" s="22">
        <v>1</v>
      </c>
      <c r="CL31" s="25">
        <v>3</v>
      </c>
      <c r="CM31" s="41" t="s">
        <v>150</v>
      </c>
      <c r="CN31" s="41">
        <v>100</v>
      </c>
      <c r="CO31" s="41">
        <v>20180301</v>
      </c>
      <c r="CP31" s="41">
        <v>20180301</v>
      </c>
      <c r="CQ31" s="41" t="s">
        <v>198</v>
      </c>
      <c r="CR31" s="41" t="s">
        <v>200</v>
      </c>
      <c r="CS31" s="41">
        <v>20180301</v>
      </c>
      <c r="CT31" s="41">
        <v>0</v>
      </c>
      <c r="CU31" s="41">
        <v>0</v>
      </c>
      <c r="CV31" s="41"/>
      <c r="CW31" s="41">
        <v>0</v>
      </c>
      <c r="CX31" s="41" t="s">
        <v>140</v>
      </c>
      <c r="CY31" s="41">
        <v>818</v>
      </c>
      <c r="CZ31" s="41">
        <v>0</v>
      </c>
      <c r="DA31" s="41">
        <v>12</v>
      </c>
      <c r="DB31" s="41">
        <v>20180201</v>
      </c>
      <c r="DC31" s="41">
        <v>0</v>
      </c>
      <c r="DD31" s="41">
        <v>0</v>
      </c>
      <c r="DE31" s="41">
        <v>38</v>
      </c>
      <c r="DF31" s="25">
        <v>60</v>
      </c>
      <c r="DG31" s="25">
        <v>0</v>
      </c>
      <c r="DH31" s="25">
        <v>0</v>
      </c>
      <c r="DI31" s="25">
        <v>0</v>
      </c>
      <c r="DJ31" s="25">
        <v>0</v>
      </c>
      <c r="DK31" s="25">
        <v>0</v>
      </c>
      <c r="DL31" s="25">
        <v>0</v>
      </c>
      <c r="DM31" s="25">
        <v>0</v>
      </c>
      <c r="DN31" s="25">
        <v>0</v>
      </c>
      <c r="DO31" s="25">
        <v>0</v>
      </c>
      <c r="DP31" s="25">
        <v>0</v>
      </c>
      <c r="DQ31" s="25">
        <v>0</v>
      </c>
      <c r="DR31" s="25">
        <v>0</v>
      </c>
      <c r="DS31" s="25">
        <v>0</v>
      </c>
      <c r="DT31" s="25">
        <v>0</v>
      </c>
      <c r="DU31" s="25">
        <v>0</v>
      </c>
      <c r="DV31" s="25">
        <v>0</v>
      </c>
      <c r="DW31" s="23">
        <v>1</v>
      </c>
      <c r="DX31" s="25">
        <v>4</v>
      </c>
      <c r="DY31" s="41" t="s">
        <v>151</v>
      </c>
      <c r="DZ31" s="41">
        <v>100</v>
      </c>
      <c r="EA31" s="41">
        <v>20180301</v>
      </c>
      <c r="EB31" s="41">
        <v>20180301</v>
      </c>
      <c r="EC31" s="41" t="s">
        <v>198</v>
      </c>
      <c r="ED31" s="41" t="s">
        <v>201</v>
      </c>
      <c r="EE31" s="41">
        <v>20180301</v>
      </c>
      <c r="EF31" s="41">
        <v>0</v>
      </c>
      <c r="EG31" s="41">
        <v>0</v>
      </c>
      <c r="EH31" s="41"/>
      <c r="EI31" s="41">
        <v>0</v>
      </c>
      <c r="EJ31" s="41" t="s">
        <v>140</v>
      </c>
      <c r="EK31" s="41">
        <v>818</v>
      </c>
      <c r="EL31" s="41">
        <v>0</v>
      </c>
      <c r="EM31" s="41">
        <v>12</v>
      </c>
      <c r="EN31" s="41">
        <v>20180201</v>
      </c>
      <c r="EO31" s="41">
        <v>0</v>
      </c>
      <c r="EP31" s="41">
        <v>0</v>
      </c>
      <c r="EQ31" s="41">
        <v>17</v>
      </c>
      <c r="ER31" s="25">
        <v>60</v>
      </c>
      <c r="ES31" s="25">
        <v>0</v>
      </c>
      <c r="ET31" s="25">
        <v>0</v>
      </c>
      <c r="EU31" s="25">
        <v>0</v>
      </c>
      <c r="EV31" s="25">
        <v>0</v>
      </c>
      <c r="EW31" s="25">
        <v>0</v>
      </c>
      <c r="EX31" s="25">
        <v>0</v>
      </c>
      <c r="EY31" s="25">
        <v>0</v>
      </c>
      <c r="EZ31" s="25">
        <v>0</v>
      </c>
      <c r="FA31" s="25">
        <v>0</v>
      </c>
      <c r="FB31" s="25">
        <v>0</v>
      </c>
      <c r="FC31" s="25">
        <v>0</v>
      </c>
      <c r="FD31" s="25">
        <v>0</v>
      </c>
      <c r="FE31" s="25">
        <v>0</v>
      </c>
      <c r="FF31" s="25">
        <v>0</v>
      </c>
      <c r="FG31" s="25">
        <v>0</v>
      </c>
      <c r="FH31" s="25">
        <v>0</v>
      </c>
      <c r="FI31" s="25">
        <v>1</v>
      </c>
      <c r="FJ31" s="25">
        <v>1</v>
      </c>
      <c r="FK31" s="25">
        <v>1</v>
      </c>
      <c r="FL31" s="25">
        <v>60</v>
      </c>
      <c r="FM31" s="25" t="s">
        <v>137</v>
      </c>
      <c r="FN31" s="25">
        <v>19590101</v>
      </c>
      <c r="FP31" s="28">
        <v>4</v>
      </c>
      <c r="FQ31" s="47">
        <v>1</v>
      </c>
      <c r="FR31" s="41">
        <v>1</v>
      </c>
      <c r="FS31" s="41" t="str">
        <f t="shared" si="0"/>
        <v>MFSP</v>
      </c>
      <c r="FT31" s="41">
        <f t="shared" si="1"/>
        <v>818</v>
      </c>
      <c r="FU31" s="41">
        <f t="shared" si="2"/>
        <v>60</v>
      </c>
      <c r="FV31" s="41">
        <v>44000</v>
      </c>
      <c r="FW31" s="41">
        <v>132</v>
      </c>
      <c r="FX31" s="41"/>
      <c r="FY31" s="29">
        <v>0</v>
      </c>
      <c r="FZ31" s="29">
        <v>0</v>
      </c>
      <c r="GA31" s="30">
        <v>0</v>
      </c>
      <c r="GB31" s="30">
        <v>0</v>
      </c>
      <c r="GC31" s="29">
        <v>0</v>
      </c>
      <c r="GD31" s="41">
        <v>0</v>
      </c>
      <c r="GE31" s="29">
        <v>0</v>
      </c>
      <c r="GF31" s="29">
        <v>0</v>
      </c>
      <c r="GG31" s="29">
        <v>0</v>
      </c>
      <c r="GH31" s="29">
        <v>0</v>
      </c>
      <c r="GI31" s="29">
        <v>0</v>
      </c>
      <c r="GJ31" s="29">
        <v>0</v>
      </c>
      <c r="GK31" s="29">
        <v>0</v>
      </c>
      <c r="GL31" s="29">
        <v>0</v>
      </c>
      <c r="GM31" s="29">
        <v>0</v>
      </c>
      <c r="GN31" s="29">
        <v>0</v>
      </c>
      <c r="GO31" s="29">
        <v>0</v>
      </c>
      <c r="GP31" s="29">
        <v>0</v>
      </c>
      <c r="GQ31" s="29">
        <v>0</v>
      </c>
      <c r="GR31" s="18">
        <v>1</v>
      </c>
      <c r="GS31" s="41">
        <v>2</v>
      </c>
      <c r="GT31" s="41" t="str">
        <f t="shared" si="3"/>
        <v>PURO</v>
      </c>
      <c r="GU31" s="41">
        <v>818</v>
      </c>
      <c r="GV31" s="41">
        <v>46</v>
      </c>
      <c r="GW31" s="41">
        <v>0</v>
      </c>
      <c r="GX31" s="41">
        <v>66</v>
      </c>
      <c r="GY31" s="41"/>
      <c r="GZ31" s="41">
        <v>0</v>
      </c>
      <c r="HA31" s="41">
        <v>0</v>
      </c>
      <c r="HB31" s="42">
        <v>0</v>
      </c>
      <c r="HC31" s="42">
        <v>0</v>
      </c>
      <c r="HD31" s="41">
        <v>0</v>
      </c>
      <c r="HE31" s="41">
        <v>0</v>
      </c>
      <c r="HF31" s="41">
        <v>0</v>
      </c>
      <c r="HG31" s="41">
        <v>0</v>
      </c>
      <c r="HH31" s="41">
        <v>0</v>
      </c>
      <c r="HI31" s="41">
        <v>0</v>
      </c>
      <c r="HJ31" s="41">
        <v>0</v>
      </c>
      <c r="HK31" s="41">
        <v>0</v>
      </c>
      <c r="HL31" s="41">
        <v>0</v>
      </c>
      <c r="HM31" s="41">
        <v>0</v>
      </c>
      <c r="HN31" s="41">
        <v>0</v>
      </c>
      <c r="HO31" s="41">
        <v>0</v>
      </c>
      <c r="HP31" s="41">
        <v>0</v>
      </c>
      <c r="HQ31" s="41">
        <v>0</v>
      </c>
      <c r="HR31" s="41">
        <v>0</v>
      </c>
      <c r="HS31" s="24">
        <v>1</v>
      </c>
      <c r="HT31" s="41">
        <v>3</v>
      </c>
      <c r="HU31" s="41" t="str">
        <f t="shared" si="4"/>
        <v>PUDT</v>
      </c>
      <c r="HV31" s="41">
        <v>818</v>
      </c>
      <c r="HW31" s="41">
        <v>46</v>
      </c>
      <c r="HX31" s="41">
        <v>0</v>
      </c>
      <c r="HY31" s="41">
        <v>41.8</v>
      </c>
      <c r="HZ31" s="42"/>
      <c r="IA31" s="41">
        <v>0</v>
      </c>
      <c r="IB31" s="41">
        <v>0</v>
      </c>
      <c r="IC31" s="42">
        <v>0</v>
      </c>
      <c r="ID31" s="42">
        <v>0</v>
      </c>
      <c r="IE31" s="41">
        <v>0</v>
      </c>
      <c r="IF31" s="43">
        <v>0</v>
      </c>
      <c r="IG31" s="41">
        <v>0</v>
      </c>
      <c r="IH31" s="41">
        <v>0</v>
      </c>
      <c r="II31" s="41">
        <v>0</v>
      </c>
      <c r="IJ31" s="41">
        <v>0</v>
      </c>
      <c r="IK31" s="41">
        <v>0</v>
      </c>
      <c r="IL31" s="41">
        <v>0</v>
      </c>
      <c r="IM31" s="41">
        <v>0</v>
      </c>
      <c r="IN31" s="41">
        <v>0</v>
      </c>
      <c r="IO31" s="41">
        <v>0</v>
      </c>
      <c r="IP31" s="41">
        <v>0</v>
      </c>
      <c r="IQ31" s="41">
        <v>0</v>
      </c>
      <c r="IR31" s="41">
        <v>0</v>
      </c>
      <c r="IS31" s="41">
        <v>0</v>
      </c>
      <c r="IT31" s="17">
        <v>1</v>
      </c>
      <c r="IU31" s="41">
        <v>4</v>
      </c>
      <c r="IV31" s="41" t="str">
        <f t="shared" si="5"/>
        <v>PUDS</v>
      </c>
      <c r="IW31" s="41">
        <v>818</v>
      </c>
      <c r="IX31" s="41">
        <v>46</v>
      </c>
      <c r="IY31" s="41">
        <v>0</v>
      </c>
      <c r="IZ31" s="41">
        <v>18.7</v>
      </c>
      <c r="JA31" s="42"/>
      <c r="JB31" s="41">
        <v>0</v>
      </c>
      <c r="JC31" s="41">
        <v>0</v>
      </c>
      <c r="JD31" s="42">
        <v>0</v>
      </c>
      <c r="JE31" s="42">
        <v>0</v>
      </c>
      <c r="JF31" s="41">
        <v>0</v>
      </c>
      <c r="JG31" s="41">
        <v>0</v>
      </c>
      <c r="JH31" s="41">
        <v>0</v>
      </c>
      <c r="JI31" s="41">
        <v>0</v>
      </c>
      <c r="JJ31" s="41">
        <v>0</v>
      </c>
      <c r="JK31" s="41">
        <v>0</v>
      </c>
      <c r="JL31" s="41">
        <v>0</v>
      </c>
      <c r="JM31" s="41">
        <v>0</v>
      </c>
      <c r="JN31" s="41">
        <v>0</v>
      </c>
      <c r="JO31" s="41">
        <v>0</v>
      </c>
      <c r="JP31" s="41">
        <v>0</v>
      </c>
      <c r="JQ31" s="41">
        <v>0</v>
      </c>
      <c r="JR31" s="41">
        <v>0</v>
      </c>
      <c r="JS31" s="41">
        <v>0</v>
      </c>
      <c r="JT31" s="41">
        <v>0</v>
      </c>
      <c r="JU31"/>
    </row>
    <row r="32" spans="1:281" ht="15.75">
      <c r="A32" s="25">
        <v>26</v>
      </c>
      <c r="B32" s="25">
        <v>20190301</v>
      </c>
      <c r="C32" s="25"/>
      <c r="D32" s="25" t="s">
        <v>132</v>
      </c>
      <c r="E32" s="25" t="s">
        <v>132</v>
      </c>
      <c r="F32" s="25" t="s">
        <v>133</v>
      </c>
      <c r="G32" s="25"/>
      <c r="H32" s="25">
        <v>100000026</v>
      </c>
      <c r="I32" s="25" t="s">
        <v>134</v>
      </c>
      <c r="J32" s="25" t="s">
        <v>135</v>
      </c>
      <c r="K32" s="25" t="s">
        <v>132</v>
      </c>
      <c r="L32" s="25">
        <v>4</v>
      </c>
      <c r="M32" s="25">
        <v>1</v>
      </c>
      <c r="N32" s="25">
        <v>1</v>
      </c>
      <c r="O32" s="45" t="s">
        <v>141</v>
      </c>
      <c r="P32" s="25">
        <v>100</v>
      </c>
      <c r="Q32" s="25">
        <v>20180301</v>
      </c>
      <c r="R32" s="25">
        <v>20180301</v>
      </c>
      <c r="S32" s="25" t="s">
        <v>137</v>
      </c>
      <c r="T32" s="25" t="s">
        <v>138</v>
      </c>
      <c r="U32" s="25">
        <v>20190301</v>
      </c>
      <c r="V32" s="25">
        <v>10</v>
      </c>
      <c r="W32" s="25">
        <v>10</v>
      </c>
      <c r="X32" s="25" t="s">
        <v>139</v>
      </c>
      <c r="Y32" s="25">
        <v>0</v>
      </c>
      <c r="Z32" s="25" t="s">
        <v>140</v>
      </c>
      <c r="AA32" s="25">
        <v>818</v>
      </c>
      <c r="AB32" s="41">
        <v>0</v>
      </c>
      <c r="AC32" s="41">
        <v>12</v>
      </c>
      <c r="AD32" s="41">
        <v>20180201</v>
      </c>
      <c r="AE32" s="41">
        <v>0</v>
      </c>
      <c r="AF32" s="26">
        <v>45000</v>
      </c>
      <c r="AG32" s="41">
        <v>133</v>
      </c>
      <c r="AH32" s="26">
        <v>59</v>
      </c>
      <c r="AI32" s="26">
        <v>0</v>
      </c>
      <c r="AJ32" s="26">
        <v>0</v>
      </c>
      <c r="AK32" s="26">
        <v>0</v>
      </c>
      <c r="AL32" s="26">
        <v>0</v>
      </c>
      <c r="AM32" s="26">
        <v>0</v>
      </c>
      <c r="AN32" s="26">
        <v>0</v>
      </c>
      <c r="AO32" s="26">
        <v>0</v>
      </c>
      <c r="AP32" s="26">
        <v>0</v>
      </c>
      <c r="AQ32" s="26">
        <v>0</v>
      </c>
      <c r="AR32" s="26">
        <v>0</v>
      </c>
      <c r="AS32" s="26">
        <v>0</v>
      </c>
      <c r="AT32" s="26">
        <v>0</v>
      </c>
      <c r="AU32" s="26">
        <v>0</v>
      </c>
      <c r="AV32" s="26">
        <v>0</v>
      </c>
      <c r="AW32" s="26">
        <v>0</v>
      </c>
      <c r="AX32" s="26">
        <v>0</v>
      </c>
      <c r="AY32" s="46">
        <v>1</v>
      </c>
      <c r="AZ32" s="25">
        <v>2</v>
      </c>
      <c r="BA32" s="41" t="s">
        <v>203</v>
      </c>
      <c r="BB32" s="41">
        <v>100</v>
      </c>
      <c r="BC32" s="41">
        <v>20180301</v>
      </c>
      <c r="BD32" s="41">
        <v>20180301</v>
      </c>
      <c r="BE32" s="41" t="s">
        <v>198</v>
      </c>
      <c r="BF32" s="41" t="s">
        <v>149</v>
      </c>
      <c r="BG32" s="41">
        <v>20180301</v>
      </c>
      <c r="BH32" s="41">
        <v>0</v>
      </c>
      <c r="BI32" s="41">
        <v>0</v>
      </c>
      <c r="BJ32" s="41"/>
      <c r="BK32" s="41">
        <v>0</v>
      </c>
      <c r="BL32" s="41" t="s">
        <v>140</v>
      </c>
      <c r="BM32" s="41">
        <v>818</v>
      </c>
      <c r="BN32" s="41">
        <v>0</v>
      </c>
      <c r="BO32" s="41">
        <v>12</v>
      </c>
      <c r="BP32" s="41">
        <v>20180201</v>
      </c>
      <c r="BQ32" s="41">
        <v>0</v>
      </c>
      <c r="BR32" s="41">
        <v>0</v>
      </c>
      <c r="BS32" s="41">
        <v>66</v>
      </c>
      <c r="BT32" s="25">
        <v>59</v>
      </c>
      <c r="BU32" s="25">
        <v>0</v>
      </c>
      <c r="BV32" s="25">
        <v>0</v>
      </c>
      <c r="BW32" s="25">
        <v>0</v>
      </c>
      <c r="BX32" s="25">
        <v>0</v>
      </c>
      <c r="BY32" s="25">
        <v>0</v>
      </c>
      <c r="BZ32" s="25">
        <v>0</v>
      </c>
      <c r="CA32" s="25">
        <v>0</v>
      </c>
      <c r="CB32" s="25">
        <v>0</v>
      </c>
      <c r="CC32" s="25">
        <v>0</v>
      </c>
      <c r="CD32" s="25">
        <v>0</v>
      </c>
      <c r="CE32" s="25">
        <v>0</v>
      </c>
      <c r="CF32" s="25">
        <v>0</v>
      </c>
      <c r="CG32" s="25">
        <v>0</v>
      </c>
      <c r="CH32" s="25">
        <v>0</v>
      </c>
      <c r="CI32" s="25">
        <v>0</v>
      </c>
      <c r="CJ32" s="25">
        <v>0</v>
      </c>
      <c r="CK32" s="22">
        <v>1</v>
      </c>
      <c r="CL32" s="25">
        <v>3</v>
      </c>
      <c r="CM32" s="41" t="s">
        <v>150</v>
      </c>
      <c r="CN32" s="41">
        <v>100</v>
      </c>
      <c r="CO32" s="41">
        <v>20180301</v>
      </c>
      <c r="CP32" s="41">
        <v>20180301</v>
      </c>
      <c r="CQ32" s="41" t="s">
        <v>198</v>
      </c>
      <c r="CR32" s="41" t="s">
        <v>200</v>
      </c>
      <c r="CS32" s="41">
        <v>20180301</v>
      </c>
      <c r="CT32" s="41">
        <v>0</v>
      </c>
      <c r="CU32" s="41">
        <v>0</v>
      </c>
      <c r="CV32" s="41"/>
      <c r="CW32" s="41">
        <v>0</v>
      </c>
      <c r="CX32" s="41" t="s">
        <v>140</v>
      </c>
      <c r="CY32" s="41">
        <v>818</v>
      </c>
      <c r="CZ32" s="41">
        <v>0</v>
      </c>
      <c r="DA32" s="41">
        <v>12</v>
      </c>
      <c r="DB32" s="41">
        <v>20180201</v>
      </c>
      <c r="DC32" s="41">
        <v>0</v>
      </c>
      <c r="DD32" s="41">
        <v>0</v>
      </c>
      <c r="DE32" s="41">
        <v>42</v>
      </c>
      <c r="DF32" s="25">
        <v>59</v>
      </c>
      <c r="DG32" s="25">
        <v>0</v>
      </c>
      <c r="DH32" s="25">
        <v>0</v>
      </c>
      <c r="DI32" s="25">
        <v>0</v>
      </c>
      <c r="DJ32" s="25">
        <v>0</v>
      </c>
      <c r="DK32" s="25">
        <v>0</v>
      </c>
      <c r="DL32" s="25">
        <v>0</v>
      </c>
      <c r="DM32" s="25">
        <v>0</v>
      </c>
      <c r="DN32" s="25">
        <v>0</v>
      </c>
      <c r="DO32" s="25">
        <v>0</v>
      </c>
      <c r="DP32" s="25">
        <v>0</v>
      </c>
      <c r="DQ32" s="25">
        <v>0</v>
      </c>
      <c r="DR32" s="25">
        <v>0</v>
      </c>
      <c r="DS32" s="25">
        <v>0</v>
      </c>
      <c r="DT32" s="25">
        <v>0</v>
      </c>
      <c r="DU32" s="25">
        <v>0</v>
      </c>
      <c r="DV32" s="25">
        <v>0</v>
      </c>
      <c r="DW32" s="23">
        <v>1</v>
      </c>
      <c r="DX32" s="25">
        <v>4</v>
      </c>
      <c r="DY32" s="41" t="s">
        <v>151</v>
      </c>
      <c r="DZ32" s="41">
        <v>100</v>
      </c>
      <c r="EA32" s="41">
        <v>20180301</v>
      </c>
      <c r="EB32" s="41">
        <v>20180301</v>
      </c>
      <c r="EC32" s="41" t="s">
        <v>198</v>
      </c>
      <c r="ED32" s="41" t="s">
        <v>201</v>
      </c>
      <c r="EE32" s="41">
        <v>20180301</v>
      </c>
      <c r="EF32" s="41">
        <v>0</v>
      </c>
      <c r="EG32" s="41">
        <v>0</v>
      </c>
      <c r="EH32" s="41"/>
      <c r="EI32" s="41">
        <v>0</v>
      </c>
      <c r="EJ32" s="41" t="s">
        <v>140</v>
      </c>
      <c r="EK32" s="41">
        <v>818</v>
      </c>
      <c r="EL32" s="41">
        <v>0</v>
      </c>
      <c r="EM32" s="41">
        <v>12</v>
      </c>
      <c r="EN32" s="41">
        <v>20180201</v>
      </c>
      <c r="EO32" s="41">
        <v>0</v>
      </c>
      <c r="EP32" s="41">
        <v>0</v>
      </c>
      <c r="EQ32" s="41">
        <v>19</v>
      </c>
      <c r="ER32" s="25">
        <v>59</v>
      </c>
      <c r="ES32" s="25">
        <v>0</v>
      </c>
      <c r="ET32" s="25">
        <v>0</v>
      </c>
      <c r="EU32" s="25">
        <v>0</v>
      </c>
      <c r="EV32" s="25">
        <v>0</v>
      </c>
      <c r="EW32" s="25">
        <v>0</v>
      </c>
      <c r="EX32" s="25">
        <v>0</v>
      </c>
      <c r="EY32" s="25">
        <v>0</v>
      </c>
      <c r="EZ32" s="25">
        <v>0</v>
      </c>
      <c r="FA32" s="25">
        <v>0</v>
      </c>
      <c r="FB32" s="25">
        <v>0</v>
      </c>
      <c r="FC32" s="25">
        <v>0</v>
      </c>
      <c r="FD32" s="25">
        <v>0</v>
      </c>
      <c r="FE32" s="25">
        <v>0</v>
      </c>
      <c r="FF32" s="25">
        <v>0</v>
      </c>
      <c r="FG32" s="25">
        <v>0</v>
      </c>
      <c r="FH32" s="25">
        <v>0</v>
      </c>
      <c r="FI32" s="25">
        <v>1</v>
      </c>
      <c r="FJ32" s="25">
        <v>1</v>
      </c>
      <c r="FK32" s="25">
        <v>1</v>
      </c>
      <c r="FL32" s="25">
        <v>59</v>
      </c>
      <c r="FM32" s="25" t="s">
        <v>137</v>
      </c>
      <c r="FN32" s="25">
        <v>19600101</v>
      </c>
      <c r="FP32" s="28">
        <v>4</v>
      </c>
      <c r="FQ32" s="47">
        <v>1</v>
      </c>
      <c r="FR32" s="41">
        <v>1</v>
      </c>
      <c r="FS32" s="41" t="str">
        <f t="shared" si="0"/>
        <v>MFSP</v>
      </c>
      <c r="FT32" s="41">
        <f t="shared" si="1"/>
        <v>818</v>
      </c>
      <c r="FU32" s="41">
        <f t="shared" si="2"/>
        <v>59</v>
      </c>
      <c r="FV32" s="41">
        <v>49500</v>
      </c>
      <c r="FW32" s="41">
        <v>146.30000000000001</v>
      </c>
      <c r="FX32" s="41"/>
      <c r="FY32" s="29">
        <v>0</v>
      </c>
      <c r="FZ32" s="29">
        <v>0</v>
      </c>
      <c r="GA32" s="30">
        <v>0</v>
      </c>
      <c r="GB32" s="30">
        <v>0</v>
      </c>
      <c r="GC32" s="29">
        <v>0</v>
      </c>
      <c r="GD32" s="41">
        <v>0</v>
      </c>
      <c r="GE32" s="29">
        <v>0</v>
      </c>
      <c r="GF32" s="29">
        <v>0</v>
      </c>
      <c r="GG32" s="29">
        <v>0</v>
      </c>
      <c r="GH32" s="29">
        <v>0</v>
      </c>
      <c r="GI32" s="29">
        <v>0</v>
      </c>
      <c r="GJ32" s="29">
        <v>0</v>
      </c>
      <c r="GK32" s="29">
        <v>0</v>
      </c>
      <c r="GL32" s="29">
        <v>0</v>
      </c>
      <c r="GM32" s="29">
        <v>0</v>
      </c>
      <c r="GN32" s="29">
        <v>0</v>
      </c>
      <c r="GO32" s="29">
        <v>0</v>
      </c>
      <c r="GP32" s="29">
        <v>0</v>
      </c>
      <c r="GQ32" s="29">
        <v>0</v>
      </c>
      <c r="GR32" s="18">
        <v>1</v>
      </c>
      <c r="GS32" s="41">
        <v>2</v>
      </c>
      <c r="GT32" s="41" t="str">
        <f t="shared" si="3"/>
        <v>PURO</v>
      </c>
      <c r="GU32" s="41">
        <v>818</v>
      </c>
      <c r="GV32" s="41">
        <v>47</v>
      </c>
      <c r="GW32" s="41">
        <v>0</v>
      </c>
      <c r="GX32" s="41">
        <v>72.599999999999994</v>
      </c>
      <c r="GY32" s="41"/>
      <c r="GZ32" s="41">
        <v>0</v>
      </c>
      <c r="HA32" s="41">
        <v>0</v>
      </c>
      <c r="HB32" s="42">
        <v>0</v>
      </c>
      <c r="HC32" s="42">
        <v>0</v>
      </c>
      <c r="HD32" s="41">
        <v>0</v>
      </c>
      <c r="HE32" s="41">
        <v>0</v>
      </c>
      <c r="HF32" s="41">
        <v>0</v>
      </c>
      <c r="HG32" s="41">
        <v>0</v>
      </c>
      <c r="HH32" s="41">
        <v>0</v>
      </c>
      <c r="HI32" s="41">
        <v>0</v>
      </c>
      <c r="HJ32" s="41">
        <v>0</v>
      </c>
      <c r="HK32" s="41">
        <v>0</v>
      </c>
      <c r="HL32" s="41">
        <v>0</v>
      </c>
      <c r="HM32" s="41">
        <v>0</v>
      </c>
      <c r="HN32" s="41">
        <v>0</v>
      </c>
      <c r="HO32" s="41">
        <v>0</v>
      </c>
      <c r="HP32" s="41">
        <v>0</v>
      </c>
      <c r="HQ32" s="41">
        <v>0</v>
      </c>
      <c r="HR32" s="41">
        <v>0</v>
      </c>
      <c r="HS32" s="24">
        <v>1</v>
      </c>
      <c r="HT32" s="41">
        <v>3</v>
      </c>
      <c r="HU32" s="41" t="str">
        <f t="shared" si="4"/>
        <v>PUDT</v>
      </c>
      <c r="HV32" s="41">
        <v>818</v>
      </c>
      <c r="HW32" s="41">
        <v>47</v>
      </c>
      <c r="HX32" s="41">
        <v>0</v>
      </c>
      <c r="HY32" s="41">
        <v>46.2</v>
      </c>
      <c r="HZ32" s="42"/>
      <c r="IA32" s="41">
        <v>0</v>
      </c>
      <c r="IB32" s="41">
        <v>0</v>
      </c>
      <c r="IC32" s="42">
        <v>0</v>
      </c>
      <c r="ID32" s="42">
        <v>0</v>
      </c>
      <c r="IE32" s="41">
        <v>0</v>
      </c>
      <c r="IF32" s="43">
        <v>0</v>
      </c>
      <c r="IG32" s="41">
        <v>0</v>
      </c>
      <c r="IH32" s="41">
        <v>0</v>
      </c>
      <c r="II32" s="41">
        <v>0</v>
      </c>
      <c r="IJ32" s="41">
        <v>0</v>
      </c>
      <c r="IK32" s="41">
        <v>0</v>
      </c>
      <c r="IL32" s="41">
        <v>0</v>
      </c>
      <c r="IM32" s="41">
        <v>0</v>
      </c>
      <c r="IN32" s="41">
        <v>0</v>
      </c>
      <c r="IO32" s="41">
        <v>0</v>
      </c>
      <c r="IP32" s="41">
        <v>0</v>
      </c>
      <c r="IQ32" s="41">
        <v>0</v>
      </c>
      <c r="IR32" s="41">
        <v>0</v>
      </c>
      <c r="IS32" s="41">
        <v>0</v>
      </c>
      <c r="IT32" s="17">
        <v>1</v>
      </c>
      <c r="IU32" s="41">
        <v>4</v>
      </c>
      <c r="IV32" s="41" t="str">
        <f t="shared" si="5"/>
        <v>PUDS</v>
      </c>
      <c r="IW32" s="41">
        <v>818</v>
      </c>
      <c r="IX32" s="41">
        <v>47</v>
      </c>
      <c r="IY32" s="41">
        <v>0</v>
      </c>
      <c r="IZ32" s="41">
        <v>20.9</v>
      </c>
      <c r="JA32" s="42"/>
      <c r="JB32" s="41">
        <v>0</v>
      </c>
      <c r="JC32" s="41">
        <v>0</v>
      </c>
      <c r="JD32" s="42">
        <v>0</v>
      </c>
      <c r="JE32" s="42">
        <v>0</v>
      </c>
      <c r="JF32" s="41">
        <v>0</v>
      </c>
      <c r="JG32" s="41">
        <v>0</v>
      </c>
      <c r="JH32" s="41">
        <v>0</v>
      </c>
      <c r="JI32" s="41">
        <v>0</v>
      </c>
      <c r="JJ32" s="41">
        <v>0</v>
      </c>
      <c r="JK32" s="41">
        <v>0</v>
      </c>
      <c r="JL32" s="41">
        <v>0</v>
      </c>
      <c r="JM32" s="41">
        <v>0</v>
      </c>
      <c r="JN32" s="41">
        <v>0</v>
      </c>
      <c r="JO32" s="41">
        <v>0</v>
      </c>
      <c r="JP32" s="41">
        <v>0</v>
      </c>
      <c r="JQ32" s="41">
        <v>0</v>
      </c>
      <c r="JR32" s="41">
        <v>0</v>
      </c>
      <c r="JS32" s="41">
        <v>0</v>
      </c>
      <c r="JT32" s="41">
        <v>0</v>
      </c>
      <c r="JU32"/>
    </row>
    <row r="33" spans="1:281" ht="15.75">
      <c r="A33" s="25">
        <v>27</v>
      </c>
      <c r="B33" s="25">
        <v>20190301</v>
      </c>
      <c r="C33" s="25"/>
      <c r="D33" s="25" t="s">
        <v>132</v>
      </c>
      <c r="E33" s="25" t="s">
        <v>132</v>
      </c>
      <c r="F33" s="25" t="s">
        <v>133</v>
      </c>
      <c r="G33" s="25"/>
      <c r="H33" s="25">
        <v>100000027</v>
      </c>
      <c r="I33" s="25" t="s">
        <v>134</v>
      </c>
      <c r="J33" s="25" t="s">
        <v>135</v>
      </c>
      <c r="K33" s="25" t="s">
        <v>132</v>
      </c>
      <c r="L33" s="25">
        <v>4</v>
      </c>
      <c r="M33" s="25">
        <v>1</v>
      </c>
      <c r="N33" s="25">
        <v>1</v>
      </c>
      <c r="O33" s="45" t="s">
        <v>141</v>
      </c>
      <c r="P33" s="25">
        <v>100</v>
      </c>
      <c r="Q33" s="25">
        <v>20180301</v>
      </c>
      <c r="R33" s="25">
        <v>20180301</v>
      </c>
      <c r="S33" s="25" t="s">
        <v>137</v>
      </c>
      <c r="T33" s="25" t="s">
        <v>138</v>
      </c>
      <c r="U33" s="25">
        <v>20190301</v>
      </c>
      <c r="V33" s="25">
        <v>10</v>
      </c>
      <c r="W33" s="25">
        <v>10</v>
      </c>
      <c r="X33" s="25" t="s">
        <v>139</v>
      </c>
      <c r="Y33" s="25">
        <v>0</v>
      </c>
      <c r="Z33" s="25" t="s">
        <v>140</v>
      </c>
      <c r="AA33" s="25">
        <v>818</v>
      </c>
      <c r="AB33" s="41">
        <v>0</v>
      </c>
      <c r="AC33" s="41">
        <v>12</v>
      </c>
      <c r="AD33" s="41">
        <v>20180201</v>
      </c>
      <c r="AE33" s="41">
        <v>0</v>
      </c>
      <c r="AF33" s="26">
        <v>50000</v>
      </c>
      <c r="AG33" s="41">
        <v>145</v>
      </c>
      <c r="AH33" s="26">
        <v>58</v>
      </c>
      <c r="AI33" s="26">
        <v>0</v>
      </c>
      <c r="AJ33" s="26">
        <v>0</v>
      </c>
      <c r="AK33" s="26">
        <v>0</v>
      </c>
      <c r="AL33" s="26">
        <v>0</v>
      </c>
      <c r="AM33" s="26">
        <v>0</v>
      </c>
      <c r="AN33" s="26">
        <v>0</v>
      </c>
      <c r="AO33" s="26">
        <v>0</v>
      </c>
      <c r="AP33" s="26">
        <v>0</v>
      </c>
      <c r="AQ33" s="26">
        <v>0</v>
      </c>
      <c r="AR33" s="26">
        <v>0</v>
      </c>
      <c r="AS33" s="26">
        <v>0</v>
      </c>
      <c r="AT33" s="26">
        <v>0</v>
      </c>
      <c r="AU33" s="26">
        <v>0</v>
      </c>
      <c r="AV33" s="26">
        <v>0</v>
      </c>
      <c r="AW33" s="26">
        <v>0</v>
      </c>
      <c r="AX33" s="26">
        <v>0</v>
      </c>
      <c r="AY33" s="46">
        <v>1</v>
      </c>
      <c r="AZ33" s="25">
        <v>2</v>
      </c>
      <c r="BA33" s="41" t="s">
        <v>203</v>
      </c>
      <c r="BB33" s="41">
        <v>100</v>
      </c>
      <c r="BC33" s="41">
        <v>20180301</v>
      </c>
      <c r="BD33" s="41">
        <v>20180301</v>
      </c>
      <c r="BE33" s="41" t="s">
        <v>198</v>
      </c>
      <c r="BF33" s="41" t="s">
        <v>149</v>
      </c>
      <c r="BG33" s="41">
        <v>20180301</v>
      </c>
      <c r="BH33" s="41">
        <v>0</v>
      </c>
      <c r="BI33" s="41">
        <v>0</v>
      </c>
      <c r="BJ33" s="41"/>
      <c r="BK33" s="41">
        <v>0</v>
      </c>
      <c r="BL33" s="41" t="s">
        <v>140</v>
      </c>
      <c r="BM33" s="41">
        <v>818</v>
      </c>
      <c r="BN33" s="41">
        <v>0</v>
      </c>
      <c r="BO33" s="41">
        <v>12</v>
      </c>
      <c r="BP33" s="41">
        <v>20180201</v>
      </c>
      <c r="BQ33" s="41">
        <v>0</v>
      </c>
      <c r="BR33" s="41">
        <v>0</v>
      </c>
      <c r="BS33" s="41">
        <v>72</v>
      </c>
      <c r="BT33" s="25">
        <v>58</v>
      </c>
      <c r="BU33" s="25">
        <v>0</v>
      </c>
      <c r="BV33" s="25">
        <v>0</v>
      </c>
      <c r="BW33" s="25">
        <v>0</v>
      </c>
      <c r="BX33" s="25">
        <v>0</v>
      </c>
      <c r="BY33" s="25">
        <v>0</v>
      </c>
      <c r="BZ33" s="25">
        <v>0</v>
      </c>
      <c r="CA33" s="25">
        <v>0</v>
      </c>
      <c r="CB33" s="25">
        <v>0</v>
      </c>
      <c r="CC33" s="25">
        <v>0</v>
      </c>
      <c r="CD33" s="25">
        <v>0</v>
      </c>
      <c r="CE33" s="25">
        <v>0</v>
      </c>
      <c r="CF33" s="25">
        <v>0</v>
      </c>
      <c r="CG33" s="25">
        <v>0</v>
      </c>
      <c r="CH33" s="25">
        <v>0</v>
      </c>
      <c r="CI33" s="25">
        <v>0</v>
      </c>
      <c r="CJ33" s="25">
        <v>0</v>
      </c>
      <c r="CK33" s="22">
        <v>1</v>
      </c>
      <c r="CL33" s="25">
        <v>3</v>
      </c>
      <c r="CM33" s="41" t="s">
        <v>150</v>
      </c>
      <c r="CN33" s="41">
        <v>100</v>
      </c>
      <c r="CO33" s="41">
        <v>20180301</v>
      </c>
      <c r="CP33" s="41">
        <v>20180301</v>
      </c>
      <c r="CQ33" s="41" t="s">
        <v>198</v>
      </c>
      <c r="CR33" s="41" t="s">
        <v>200</v>
      </c>
      <c r="CS33" s="41">
        <v>20180301</v>
      </c>
      <c r="CT33" s="41">
        <v>0</v>
      </c>
      <c r="CU33" s="41">
        <v>0</v>
      </c>
      <c r="CV33" s="41"/>
      <c r="CW33" s="41">
        <v>0</v>
      </c>
      <c r="CX33" s="41" t="s">
        <v>140</v>
      </c>
      <c r="CY33" s="41">
        <v>818</v>
      </c>
      <c r="CZ33" s="41">
        <v>0</v>
      </c>
      <c r="DA33" s="41">
        <v>12</v>
      </c>
      <c r="DB33" s="41">
        <v>20180201</v>
      </c>
      <c r="DC33" s="41">
        <v>0</v>
      </c>
      <c r="DD33" s="41">
        <v>0</v>
      </c>
      <c r="DE33" s="41">
        <v>46</v>
      </c>
      <c r="DF33" s="25">
        <v>58</v>
      </c>
      <c r="DG33" s="25">
        <v>0</v>
      </c>
      <c r="DH33" s="25">
        <v>0</v>
      </c>
      <c r="DI33" s="25">
        <v>0</v>
      </c>
      <c r="DJ33" s="25">
        <v>0</v>
      </c>
      <c r="DK33" s="25">
        <v>0</v>
      </c>
      <c r="DL33" s="25">
        <v>0</v>
      </c>
      <c r="DM33" s="25">
        <v>0</v>
      </c>
      <c r="DN33" s="25">
        <v>0</v>
      </c>
      <c r="DO33" s="25">
        <v>0</v>
      </c>
      <c r="DP33" s="25">
        <v>0</v>
      </c>
      <c r="DQ33" s="25">
        <v>0</v>
      </c>
      <c r="DR33" s="25">
        <v>0</v>
      </c>
      <c r="DS33" s="25">
        <v>0</v>
      </c>
      <c r="DT33" s="25">
        <v>0</v>
      </c>
      <c r="DU33" s="25">
        <v>0</v>
      </c>
      <c r="DV33" s="25">
        <v>0</v>
      </c>
      <c r="DW33" s="23">
        <v>1</v>
      </c>
      <c r="DX33" s="25">
        <v>4</v>
      </c>
      <c r="DY33" s="41" t="s">
        <v>151</v>
      </c>
      <c r="DZ33" s="41">
        <v>100</v>
      </c>
      <c r="EA33" s="41">
        <v>20180301</v>
      </c>
      <c r="EB33" s="41">
        <v>20180301</v>
      </c>
      <c r="EC33" s="41" t="s">
        <v>198</v>
      </c>
      <c r="ED33" s="41" t="s">
        <v>201</v>
      </c>
      <c r="EE33" s="41">
        <v>20180301</v>
      </c>
      <c r="EF33" s="41">
        <v>0</v>
      </c>
      <c r="EG33" s="41">
        <v>0</v>
      </c>
      <c r="EH33" s="41"/>
      <c r="EI33" s="41">
        <v>0</v>
      </c>
      <c r="EJ33" s="41" t="s">
        <v>140</v>
      </c>
      <c r="EK33" s="41">
        <v>818</v>
      </c>
      <c r="EL33" s="41">
        <v>0</v>
      </c>
      <c r="EM33" s="41">
        <v>12</v>
      </c>
      <c r="EN33" s="41">
        <v>20180201</v>
      </c>
      <c r="EO33" s="41">
        <v>0</v>
      </c>
      <c r="EP33" s="41">
        <v>0</v>
      </c>
      <c r="EQ33" s="41">
        <v>20</v>
      </c>
      <c r="ER33" s="25">
        <v>58</v>
      </c>
      <c r="ES33" s="25">
        <v>0</v>
      </c>
      <c r="ET33" s="25">
        <v>0</v>
      </c>
      <c r="EU33" s="25">
        <v>0</v>
      </c>
      <c r="EV33" s="25">
        <v>0</v>
      </c>
      <c r="EW33" s="25">
        <v>0</v>
      </c>
      <c r="EX33" s="25">
        <v>0</v>
      </c>
      <c r="EY33" s="25">
        <v>0</v>
      </c>
      <c r="EZ33" s="25">
        <v>0</v>
      </c>
      <c r="FA33" s="25">
        <v>0</v>
      </c>
      <c r="FB33" s="25">
        <v>0</v>
      </c>
      <c r="FC33" s="25">
        <v>0</v>
      </c>
      <c r="FD33" s="25">
        <v>0</v>
      </c>
      <c r="FE33" s="25">
        <v>0</v>
      </c>
      <c r="FF33" s="25">
        <v>0</v>
      </c>
      <c r="FG33" s="25">
        <v>0</v>
      </c>
      <c r="FH33" s="25">
        <v>0</v>
      </c>
      <c r="FI33" s="25">
        <v>1</v>
      </c>
      <c r="FJ33" s="25">
        <v>1</v>
      </c>
      <c r="FK33" s="25">
        <v>1</v>
      </c>
      <c r="FL33" s="25">
        <v>58</v>
      </c>
      <c r="FM33" s="25" t="s">
        <v>137</v>
      </c>
      <c r="FN33" s="25">
        <v>19610101</v>
      </c>
      <c r="FP33" s="28">
        <v>4</v>
      </c>
      <c r="FQ33" s="47">
        <v>1</v>
      </c>
      <c r="FR33" s="41">
        <v>1</v>
      </c>
      <c r="FS33" s="41" t="str">
        <f t="shared" si="0"/>
        <v>MFSP</v>
      </c>
      <c r="FT33" s="41">
        <f t="shared" si="1"/>
        <v>818</v>
      </c>
      <c r="FU33" s="41">
        <f t="shared" si="2"/>
        <v>58</v>
      </c>
      <c r="FV33" s="41">
        <v>55000</v>
      </c>
      <c r="FW33" s="41">
        <v>159.5</v>
      </c>
      <c r="FX33" s="41"/>
      <c r="FY33" s="29">
        <v>0</v>
      </c>
      <c r="FZ33" s="29">
        <v>0</v>
      </c>
      <c r="GA33" s="30">
        <v>0</v>
      </c>
      <c r="GB33" s="30">
        <v>0</v>
      </c>
      <c r="GC33" s="29">
        <v>0</v>
      </c>
      <c r="GD33" s="41">
        <v>0</v>
      </c>
      <c r="GE33" s="29">
        <v>0</v>
      </c>
      <c r="GF33" s="29">
        <v>0</v>
      </c>
      <c r="GG33" s="29">
        <v>0</v>
      </c>
      <c r="GH33" s="29">
        <v>0</v>
      </c>
      <c r="GI33" s="29">
        <v>0</v>
      </c>
      <c r="GJ33" s="29">
        <v>0</v>
      </c>
      <c r="GK33" s="29">
        <v>0</v>
      </c>
      <c r="GL33" s="29">
        <v>0</v>
      </c>
      <c r="GM33" s="29">
        <v>0</v>
      </c>
      <c r="GN33" s="29">
        <v>0</v>
      </c>
      <c r="GO33" s="29">
        <v>0</v>
      </c>
      <c r="GP33" s="29">
        <v>0</v>
      </c>
      <c r="GQ33" s="29">
        <v>0</v>
      </c>
      <c r="GR33" s="18">
        <v>1</v>
      </c>
      <c r="GS33" s="41">
        <v>2</v>
      </c>
      <c r="GT33" s="41" t="str">
        <f t="shared" si="3"/>
        <v>PURO</v>
      </c>
      <c r="GU33" s="41">
        <v>818</v>
      </c>
      <c r="GV33" s="41">
        <v>48</v>
      </c>
      <c r="GW33" s="41">
        <v>0</v>
      </c>
      <c r="GX33" s="41">
        <v>79.2</v>
      </c>
      <c r="GY33" s="41"/>
      <c r="GZ33" s="41">
        <v>0</v>
      </c>
      <c r="HA33" s="41">
        <v>0</v>
      </c>
      <c r="HB33" s="42">
        <v>0</v>
      </c>
      <c r="HC33" s="42">
        <v>0</v>
      </c>
      <c r="HD33" s="41">
        <v>0</v>
      </c>
      <c r="HE33" s="41">
        <v>0</v>
      </c>
      <c r="HF33" s="41">
        <v>0</v>
      </c>
      <c r="HG33" s="41">
        <v>0</v>
      </c>
      <c r="HH33" s="41">
        <v>0</v>
      </c>
      <c r="HI33" s="41">
        <v>0</v>
      </c>
      <c r="HJ33" s="41">
        <v>0</v>
      </c>
      <c r="HK33" s="41">
        <v>0</v>
      </c>
      <c r="HL33" s="41">
        <v>0</v>
      </c>
      <c r="HM33" s="41">
        <v>0</v>
      </c>
      <c r="HN33" s="41">
        <v>0</v>
      </c>
      <c r="HO33" s="41">
        <v>0</v>
      </c>
      <c r="HP33" s="41">
        <v>0</v>
      </c>
      <c r="HQ33" s="41">
        <v>0</v>
      </c>
      <c r="HR33" s="41">
        <v>0</v>
      </c>
      <c r="HS33" s="24">
        <v>1</v>
      </c>
      <c r="HT33" s="41">
        <v>3</v>
      </c>
      <c r="HU33" s="41" t="str">
        <f t="shared" si="4"/>
        <v>PUDT</v>
      </c>
      <c r="HV33" s="41">
        <v>818</v>
      </c>
      <c r="HW33" s="41">
        <v>48</v>
      </c>
      <c r="HX33" s="41">
        <v>0</v>
      </c>
      <c r="HY33" s="41">
        <v>50.6</v>
      </c>
      <c r="HZ33" s="42"/>
      <c r="IA33" s="41">
        <v>0</v>
      </c>
      <c r="IB33" s="41">
        <v>0</v>
      </c>
      <c r="IC33" s="42">
        <v>0</v>
      </c>
      <c r="ID33" s="42">
        <v>0</v>
      </c>
      <c r="IE33" s="41">
        <v>0</v>
      </c>
      <c r="IF33" s="43">
        <v>0</v>
      </c>
      <c r="IG33" s="41">
        <v>0</v>
      </c>
      <c r="IH33" s="41">
        <v>0</v>
      </c>
      <c r="II33" s="41">
        <v>0</v>
      </c>
      <c r="IJ33" s="41">
        <v>0</v>
      </c>
      <c r="IK33" s="41">
        <v>0</v>
      </c>
      <c r="IL33" s="41">
        <v>0</v>
      </c>
      <c r="IM33" s="41">
        <v>0</v>
      </c>
      <c r="IN33" s="41">
        <v>0</v>
      </c>
      <c r="IO33" s="41">
        <v>0</v>
      </c>
      <c r="IP33" s="41">
        <v>0</v>
      </c>
      <c r="IQ33" s="41">
        <v>0</v>
      </c>
      <c r="IR33" s="41">
        <v>0</v>
      </c>
      <c r="IS33" s="41">
        <v>0</v>
      </c>
      <c r="IT33" s="17">
        <v>1</v>
      </c>
      <c r="IU33" s="41">
        <v>4</v>
      </c>
      <c r="IV33" s="41" t="str">
        <f t="shared" si="5"/>
        <v>PUDS</v>
      </c>
      <c r="IW33" s="41">
        <v>818</v>
      </c>
      <c r="IX33" s="41">
        <v>48</v>
      </c>
      <c r="IY33" s="41">
        <v>0</v>
      </c>
      <c r="IZ33" s="41">
        <v>22</v>
      </c>
      <c r="JA33" s="42"/>
      <c r="JB33" s="41">
        <v>0</v>
      </c>
      <c r="JC33" s="41">
        <v>0</v>
      </c>
      <c r="JD33" s="42">
        <v>0</v>
      </c>
      <c r="JE33" s="42">
        <v>0</v>
      </c>
      <c r="JF33" s="41">
        <v>0</v>
      </c>
      <c r="JG33" s="41">
        <v>0</v>
      </c>
      <c r="JH33" s="41">
        <v>0</v>
      </c>
      <c r="JI33" s="41">
        <v>0</v>
      </c>
      <c r="JJ33" s="41">
        <v>0</v>
      </c>
      <c r="JK33" s="41">
        <v>0</v>
      </c>
      <c r="JL33" s="41">
        <v>0</v>
      </c>
      <c r="JM33" s="41">
        <v>0</v>
      </c>
      <c r="JN33" s="41">
        <v>0</v>
      </c>
      <c r="JO33" s="41">
        <v>0</v>
      </c>
      <c r="JP33" s="41">
        <v>0</v>
      </c>
      <c r="JQ33" s="41">
        <v>0</v>
      </c>
      <c r="JR33" s="41">
        <v>0</v>
      </c>
      <c r="JS33" s="41">
        <v>0</v>
      </c>
      <c r="JT33" s="41">
        <v>0</v>
      </c>
      <c r="JU33"/>
    </row>
    <row r="34" spans="1:281" ht="15.75">
      <c r="A34" s="25">
        <v>28</v>
      </c>
      <c r="B34" s="25">
        <v>20190301</v>
      </c>
      <c r="C34" s="25"/>
      <c r="D34" s="25" t="s">
        <v>132</v>
      </c>
      <c r="E34" s="25" t="s">
        <v>132</v>
      </c>
      <c r="F34" s="25" t="s">
        <v>133</v>
      </c>
      <c r="G34" s="25"/>
      <c r="H34" s="25">
        <v>100000028</v>
      </c>
      <c r="I34" s="25" t="s">
        <v>134</v>
      </c>
      <c r="J34" s="25" t="s">
        <v>135</v>
      </c>
      <c r="K34" s="25" t="s">
        <v>132</v>
      </c>
      <c r="L34" s="25">
        <v>4</v>
      </c>
      <c r="M34" s="25">
        <v>1</v>
      </c>
      <c r="N34" s="25">
        <v>1</v>
      </c>
      <c r="O34" s="45" t="s">
        <v>141</v>
      </c>
      <c r="P34" s="25">
        <v>100</v>
      </c>
      <c r="Q34" s="25">
        <v>20180301</v>
      </c>
      <c r="R34" s="25">
        <v>20180301</v>
      </c>
      <c r="S34" s="25" t="s">
        <v>137</v>
      </c>
      <c r="T34" s="25" t="s">
        <v>138</v>
      </c>
      <c r="U34" s="25">
        <v>20190301</v>
      </c>
      <c r="V34" s="25">
        <v>10</v>
      </c>
      <c r="W34" s="25">
        <v>10</v>
      </c>
      <c r="X34" s="25" t="s">
        <v>139</v>
      </c>
      <c r="Y34" s="25">
        <v>0</v>
      </c>
      <c r="Z34" s="25" t="s">
        <v>140</v>
      </c>
      <c r="AA34" s="25">
        <v>818</v>
      </c>
      <c r="AB34" s="41">
        <v>0</v>
      </c>
      <c r="AC34" s="41">
        <v>12</v>
      </c>
      <c r="AD34" s="41">
        <v>20180201</v>
      </c>
      <c r="AE34" s="41">
        <v>0</v>
      </c>
      <c r="AF34" s="26">
        <v>55000</v>
      </c>
      <c r="AG34" s="41">
        <v>158</v>
      </c>
      <c r="AH34" s="26">
        <v>57</v>
      </c>
      <c r="AI34" s="26">
        <v>0</v>
      </c>
      <c r="AJ34" s="26">
        <v>0</v>
      </c>
      <c r="AK34" s="26">
        <v>0</v>
      </c>
      <c r="AL34" s="26">
        <v>0</v>
      </c>
      <c r="AM34" s="26">
        <v>0</v>
      </c>
      <c r="AN34" s="26">
        <v>0</v>
      </c>
      <c r="AO34" s="26">
        <v>0</v>
      </c>
      <c r="AP34" s="26">
        <v>0</v>
      </c>
      <c r="AQ34" s="26">
        <v>0</v>
      </c>
      <c r="AR34" s="26">
        <v>0</v>
      </c>
      <c r="AS34" s="26">
        <v>0</v>
      </c>
      <c r="AT34" s="26">
        <v>0</v>
      </c>
      <c r="AU34" s="26">
        <v>0</v>
      </c>
      <c r="AV34" s="26">
        <v>0</v>
      </c>
      <c r="AW34" s="26">
        <v>0</v>
      </c>
      <c r="AX34" s="26">
        <v>0</v>
      </c>
      <c r="AY34" s="46">
        <v>1</v>
      </c>
      <c r="AZ34" s="25">
        <v>2</v>
      </c>
      <c r="BA34" s="41" t="s">
        <v>203</v>
      </c>
      <c r="BB34" s="41">
        <v>100</v>
      </c>
      <c r="BC34" s="41">
        <v>20180301</v>
      </c>
      <c r="BD34" s="41">
        <v>20180301</v>
      </c>
      <c r="BE34" s="41" t="s">
        <v>198</v>
      </c>
      <c r="BF34" s="41" t="s">
        <v>149</v>
      </c>
      <c r="BG34" s="41">
        <v>20180301</v>
      </c>
      <c r="BH34" s="41">
        <v>0</v>
      </c>
      <c r="BI34" s="41">
        <v>0</v>
      </c>
      <c r="BJ34" s="41"/>
      <c r="BK34" s="41">
        <v>0</v>
      </c>
      <c r="BL34" s="41" t="s">
        <v>140</v>
      </c>
      <c r="BM34" s="41">
        <v>818</v>
      </c>
      <c r="BN34" s="41">
        <v>0</v>
      </c>
      <c r="BO34" s="41">
        <v>12</v>
      </c>
      <c r="BP34" s="41">
        <v>20180201</v>
      </c>
      <c r="BQ34" s="41">
        <v>0</v>
      </c>
      <c r="BR34" s="41">
        <v>0</v>
      </c>
      <c r="BS34" s="41">
        <v>78</v>
      </c>
      <c r="BT34" s="25">
        <v>57</v>
      </c>
      <c r="BU34" s="25">
        <v>0</v>
      </c>
      <c r="BV34" s="25">
        <v>0</v>
      </c>
      <c r="BW34" s="25">
        <v>0</v>
      </c>
      <c r="BX34" s="25">
        <v>0</v>
      </c>
      <c r="BY34" s="25">
        <v>0</v>
      </c>
      <c r="BZ34" s="25">
        <v>0</v>
      </c>
      <c r="CA34" s="25">
        <v>0</v>
      </c>
      <c r="CB34" s="25">
        <v>0</v>
      </c>
      <c r="CC34" s="25">
        <v>0</v>
      </c>
      <c r="CD34" s="25">
        <v>0</v>
      </c>
      <c r="CE34" s="25">
        <v>0</v>
      </c>
      <c r="CF34" s="25">
        <v>0</v>
      </c>
      <c r="CG34" s="25">
        <v>0</v>
      </c>
      <c r="CH34" s="25">
        <v>0</v>
      </c>
      <c r="CI34" s="25">
        <v>0</v>
      </c>
      <c r="CJ34" s="25">
        <v>0</v>
      </c>
      <c r="CK34" s="22">
        <v>1</v>
      </c>
      <c r="CL34" s="25">
        <v>3</v>
      </c>
      <c r="CM34" s="41" t="s">
        <v>150</v>
      </c>
      <c r="CN34" s="41">
        <v>100</v>
      </c>
      <c r="CO34" s="41">
        <v>20180301</v>
      </c>
      <c r="CP34" s="41">
        <v>20180301</v>
      </c>
      <c r="CQ34" s="41" t="s">
        <v>198</v>
      </c>
      <c r="CR34" s="41" t="s">
        <v>200</v>
      </c>
      <c r="CS34" s="41">
        <v>20180301</v>
      </c>
      <c r="CT34" s="41">
        <v>0</v>
      </c>
      <c r="CU34" s="41">
        <v>0</v>
      </c>
      <c r="CV34" s="41"/>
      <c r="CW34" s="41">
        <v>0</v>
      </c>
      <c r="CX34" s="41" t="s">
        <v>140</v>
      </c>
      <c r="CY34" s="41">
        <v>818</v>
      </c>
      <c r="CZ34" s="41">
        <v>0</v>
      </c>
      <c r="DA34" s="41">
        <v>12</v>
      </c>
      <c r="DB34" s="41">
        <v>20180201</v>
      </c>
      <c r="DC34" s="41">
        <v>0</v>
      </c>
      <c r="DD34" s="41">
        <v>0</v>
      </c>
      <c r="DE34" s="41">
        <v>50</v>
      </c>
      <c r="DF34" s="25">
        <v>57</v>
      </c>
      <c r="DG34" s="25">
        <v>0</v>
      </c>
      <c r="DH34" s="25">
        <v>0</v>
      </c>
      <c r="DI34" s="25">
        <v>0</v>
      </c>
      <c r="DJ34" s="25">
        <v>0</v>
      </c>
      <c r="DK34" s="25">
        <v>0</v>
      </c>
      <c r="DL34" s="25">
        <v>0</v>
      </c>
      <c r="DM34" s="25">
        <v>0</v>
      </c>
      <c r="DN34" s="25">
        <v>0</v>
      </c>
      <c r="DO34" s="25">
        <v>0</v>
      </c>
      <c r="DP34" s="25">
        <v>0</v>
      </c>
      <c r="DQ34" s="25">
        <v>0</v>
      </c>
      <c r="DR34" s="25">
        <v>0</v>
      </c>
      <c r="DS34" s="25">
        <v>0</v>
      </c>
      <c r="DT34" s="25">
        <v>0</v>
      </c>
      <c r="DU34" s="25">
        <v>0</v>
      </c>
      <c r="DV34" s="25">
        <v>0</v>
      </c>
      <c r="DW34" s="23">
        <v>1</v>
      </c>
      <c r="DX34" s="25">
        <v>4</v>
      </c>
      <c r="DY34" s="41" t="s">
        <v>151</v>
      </c>
      <c r="DZ34" s="41">
        <v>100</v>
      </c>
      <c r="EA34" s="41">
        <v>20180301</v>
      </c>
      <c r="EB34" s="41">
        <v>20180301</v>
      </c>
      <c r="EC34" s="41" t="s">
        <v>198</v>
      </c>
      <c r="ED34" s="41" t="s">
        <v>201</v>
      </c>
      <c r="EE34" s="41">
        <v>20180301</v>
      </c>
      <c r="EF34" s="41">
        <v>0</v>
      </c>
      <c r="EG34" s="41">
        <v>0</v>
      </c>
      <c r="EH34" s="41"/>
      <c r="EI34" s="41">
        <v>0</v>
      </c>
      <c r="EJ34" s="41" t="s">
        <v>140</v>
      </c>
      <c r="EK34" s="41">
        <v>818</v>
      </c>
      <c r="EL34" s="41">
        <v>0</v>
      </c>
      <c r="EM34" s="41">
        <v>12</v>
      </c>
      <c r="EN34" s="41">
        <v>20180201</v>
      </c>
      <c r="EO34" s="41">
        <v>0</v>
      </c>
      <c r="EP34" s="41">
        <v>0</v>
      </c>
      <c r="EQ34" s="41">
        <v>22</v>
      </c>
      <c r="ER34" s="25">
        <v>57</v>
      </c>
      <c r="ES34" s="25">
        <v>0</v>
      </c>
      <c r="ET34" s="25">
        <v>0</v>
      </c>
      <c r="EU34" s="25">
        <v>0</v>
      </c>
      <c r="EV34" s="25">
        <v>0</v>
      </c>
      <c r="EW34" s="25">
        <v>0</v>
      </c>
      <c r="EX34" s="25">
        <v>0</v>
      </c>
      <c r="EY34" s="25">
        <v>0</v>
      </c>
      <c r="EZ34" s="25">
        <v>0</v>
      </c>
      <c r="FA34" s="25">
        <v>0</v>
      </c>
      <c r="FB34" s="25">
        <v>0</v>
      </c>
      <c r="FC34" s="25">
        <v>0</v>
      </c>
      <c r="FD34" s="25">
        <v>0</v>
      </c>
      <c r="FE34" s="25">
        <v>0</v>
      </c>
      <c r="FF34" s="25">
        <v>0</v>
      </c>
      <c r="FG34" s="25">
        <v>0</v>
      </c>
      <c r="FH34" s="25">
        <v>0</v>
      </c>
      <c r="FI34" s="25">
        <v>1</v>
      </c>
      <c r="FJ34" s="25">
        <v>1</v>
      </c>
      <c r="FK34" s="25">
        <v>1</v>
      </c>
      <c r="FL34" s="25">
        <v>57</v>
      </c>
      <c r="FM34" s="25" t="s">
        <v>137</v>
      </c>
      <c r="FN34" s="25">
        <v>19620101</v>
      </c>
      <c r="FP34" s="28">
        <v>4</v>
      </c>
      <c r="FQ34" s="47">
        <v>1</v>
      </c>
      <c r="FR34" s="41">
        <v>1</v>
      </c>
      <c r="FS34" s="41" t="str">
        <f t="shared" si="0"/>
        <v>MFSP</v>
      </c>
      <c r="FT34" s="41">
        <f t="shared" si="1"/>
        <v>818</v>
      </c>
      <c r="FU34" s="41">
        <f t="shared" si="2"/>
        <v>57</v>
      </c>
      <c r="FV34" s="41">
        <v>60500</v>
      </c>
      <c r="FW34" s="41">
        <v>173.8</v>
      </c>
      <c r="FX34" s="41"/>
      <c r="FY34" s="29">
        <v>0</v>
      </c>
      <c r="FZ34" s="29">
        <v>0</v>
      </c>
      <c r="GA34" s="30">
        <v>0</v>
      </c>
      <c r="GB34" s="30">
        <v>0</v>
      </c>
      <c r="GC34" s="29">
        <v>0</v>
      </c>
      <c r="GD34" s="41">
        <v>0</v>
      </c>
      <c r="GE34" s="29">
        <v>0</v>
      </c>
      <c r="GF34" s="29">
        <v>0</v>
      </c>
      <c r="GG34" s="29">
        <v>0</v>
      </c>
      <c r="GH34" s="29">
        <v>0</v>
      </c>
      <c r="GI34" s="29">
        <v>0</v>
      </c>
      <c r="GJ34" s="29">
        <v>0</v>
      </c>
      <c r="GK34" s="29">
        <v>0</v>
      </c>
      <c r="GL34" s="29">
        <v>0</v>
      </c>
      <c r="GM34" s="29">
        <v>0</v>
      </c>
      <c r="GN34" s="29">
        <v>0</v>
      </c>
      <c r="GO34" s="29">
        <v>0</v>
      </c>
      <c r="GP34" s="29">
        <v>0</v>
      </c>
      <c r="GQ34" s="29">
        <v>0</v>
      </c>
      <c r="GR34" s="18">
        <v>1</v>
      </c>
      <c r="GS34" s="41">
        <v>2</v>
      </c>
      <c r="GT34" s="41" t="str">
        <f t="shared" si="3"/>
        <v>PURO</v>
      </c>
      <c r="GU34" s="41">
        <v>818</v>
      </c>
      <c r="GV34" s="41">
        <v>49</v>
      </c>
      <c r="GW34" s="41">
        <v>0</v>
      </c>
      <c r="GX34" s="41">
        <v>85.8</v>
      </c>
      <c r="GY34" s="41"/>
      <c r="GZ34" s="41">
        <v>0</v>
      </c>
      <c r="HA34" s="41">
        <v>0</v>
      </c>
      <c r="HB34" s="42">
        <v>0</v>
      </c>
      <c r="HC34" s="42">
        <v>0</v>
      </c>
      <c r="HD34" s="41">
        <v>0</v>
      </c>
      <c r="HE34" s="41">
        <v>0</v>
      </c>
      <c r="HF34" s="41">
        <v>0</v>
      </c>
      <c r="HG34" s="41">
        <v>0</v>
      </c>
      <c r="HH34" s="41">
        <v>0</v>
      </c>
      <c r="HI34" s="41">
        <v>0</v>
      </c>
      <c r="HJ34" s="41">
        <v>0</v>
      </c>
      <c r="HK34" s="41">
        <v>0</v>
      </c>
      <c r="HL34" s="41">
        <v>0</v>
      </c>
      <c r="HM34" s="41">
        <v>0</v>
      </c>
      <c r="HN34" s="41">
        <v>0</v>
      </c>
      <c r="HO34" s="41">
        <v>0</v>
      </c>
      <c r="HP34" s="41">
        <v>0</v>
      </c>
      <c r="HQ34" s="41">
        <v>0</v>
      </c>
      <c r="HR34" s="41">
        <v>0</v>
      </c>
      <c r="HS34" s="24">
        <v>1</v>
      </c>
      <c r="HT34" s="41">
        <v>3</v>
      </c>
      <c r="HU34" s="41" t="str">
        <f t="shared" si="4"/>
        <v>PUDT</v>
      </c>
      <c r="HV34" s="41">
        <v>818</v>
      </c>
      <c r="HW34" s="41">
        <v>49</v>
      </c>
      <c r="HX34" s="41">
        <v>0</v>
      </c>
      <c r="HY34" s="41">
        <v>55</v>
      </c>
      <c r="HZ34" s="42"/>
      <c r="IA34" s="41">
        <v>0</v>
      </c>
      <c r="IB34" s="41">
        <v>0</v>
      </c>
      <c r="IC34" s="42">
        <v>0</v>
      </c>
      <c r="ID34" s="42">
        <v>0</v>
      </c>
      <c r="IE34" s="41">
        <v>0</v>
      </c>
      <c r="IF34" s="43">
        <v>0</v>
      </c>
      <c r="IG34" s="41">
        <v>0</v>
      </c>
      <c r="IH34" s="41">
        <v>0</v>
      </c>
      <c r="II34" s="41">
        <v>0</v>
      </c>
      <c r="IJ34" s="41">
        <v>0</v>
      </c>
      <c r="IK34" s="41">
        <v>0</v>
      </c>
      <c r="IL34" s="41">
        <v>0</v>
      </c>
      <c r="IM34" s="41">
        <v>0</v>
      </c>
      <c r="IN34" s="41">
        <v>0</v>
      </c>
      <c r="IO34" s="41">
        <v>0</v>
      </c>
      <c r="IP34" s="41">
        <v>0</v>
      </c>
      <c r="IQ34" s="41">
        <v>0</v>
      </c>
      <c r="IR34" s="41">
        <v>0</v>
      </c>
      <c r="IS34" s="41">
        <v>0</v>
      </c>
      <c r="IT34" s="17">
        <v>1</v>
      </c>
      <c r="IU34" s="41">
        <v>4</v>
      </c>
      <c r="IV34" s="41" t="str">
        <f t="shared" si="5"/>
        <v>PUDS</v>
      </c>
      <c r="IW34" s="41">
        <v>818</v>
      </c>
      <c r="IX34" s="41">
        <v>49</v>
      </c>
      <c r="IY34" s="41">
        <v>0</v>
      </c>
      <c r="IZ34" s="41">
        <v>24.2</v>
      </c>
      <c r="JA34" s="42"/>
      <c r="JB34" s="41">
        <v>0</v>
      </c>
      <c r="JC34" s="41">
        <v>0</v>
      </c>
      <c r="JD34" s="42">
        <v>0</v>
      </c>
      <c r="JE34" s="42">
        <v>0</v>
      </c>
      <c r="JF34" s="41">
        <v>0</v>
      </c>
      <c r="JG34" s="41">
        <v>0</v>
      </c>
      <c r="JH34" s="41">
        <v>0</v>
      </c>
      <c r="JI34" s="41">
        <v>0</v>
      </c>
      <c r="JJ34" s="41">
        <v>0</v>
      </c>
      <c r="JK34" s="41">
        <v>0</v>
      </c>
      <c r="JL34" s="41">
        <v>0</v>
      </c>
      <c r="JM34" s="41">
        <v>0</v>
      </c>
      <c r="JN34" s="41">
        <v>0</v>
      </c>
      <c r="JO34" s="41">
        <v>0</v>
      </c>
      <c r="JP34" s="41">
        <v>0</v>
      </c>
      <c r="JQ34" s="41">
        <v>0</v>
      </c>
      <c r="JR34" s="41">
        <v>0</v>
      </c>
      <c r="JS34" s="41">
        <v>0</v>
      </c>
      <c r="JT34" s="41">
        <v>0</v>
      </c>
      <c r="JU34"/>
    </row>
    <row r="35" spans="1:281" ht="15.75">
      <c r="A35" s="25">
        <v>29</v>
      </c>
      <c r="B35" s="25">
        <v>20190301</v>
      </c>
      <c r="C35" s="25"/>
      <c r="D35" s="25" t="s">
        <v>132</v>
      </c>
      <c r="E35" s="25" t="s">
        <v>132</v>
      </c>
      <c r="F35" s="25" t="s">
        <v>133</v>
      </c>
      <c r="G35" s="25"/>
      <c r="H35" s="25">
        <v>100000029</v>
      </c>
      <c r="I35" s="25" t="s">
        <v>134</v>
      </c>
      <c r="J35" s="25" t="s">
        <v>135</v>
      </c>
      <c r="K35" s="25" t="s">
        <v>132</v>
      </c>
      <c r="L35" s="25">
        <v>4</v>
      </c>
      <c r="M35" s="25">
        <v>1</v>
      </c>
      <c r="N35" s="25">
        <v>1</v>
      </c>
      <c r="O35" s="45" t="s">
        <v>141</v>
      </c>
      <c r="P35" s="25">
        <v>100</v>
      </c>
      <c r="Q35" s="25">
        <v>20180301</v>
      </c>
      <c r="R35" s="25">
        <v>20180301</v>
      </c>
      <c r="S35" s="25" t="s">
        <v>137</v>
      </c>
      <c r="T35" s="25" t="s">
        <v>138</v>
      </c>
      <c r="U35" s="25">
        <v>20190301</v>
      </c>
      <c r="V35" s="25">
        <v>10</v>
      </c>
      <c r="W35" s="25">
        <v>10</v>
      </c>
      <c r="X35" s="25" t="s">
        <v>139</v>
      </c>
      <c r="Y35" s="25">
        <v>0</v>
      </c>
      <c r="Z35" s="25" t="s">
        <v>140</v>
      </c>
      <c r="AA35" s="25">
        <v>818</v>
      </c>
      <c r="AB35" s="41">
        <v>0</v>
      </c>
      <c r="AC35" s="41">
        <v>12</v>
      </c>
      <c r="AD35" s="41">
        <v>20180201</v>
      </c>
      <c r="AE35" s="41">
        <v>0</v>
      </c>
      <c r="AF35" s="26">
        <v>60000</v>
      </c>
      <c r="AG35" s="41">
        <v>171</v>
      </c>
      <c r="AH35" s="26">
        <v>56</v>
      </c>
      <c r="AI35" s="26">
        <v>0</v>
      </c>
      <c r="AJ35" s="26">
        <v>0</v>
      </c>
      <c r="AK35" s="26">
        <v>0</v>
      </c>
      <c r="AL35" s="26">
        <v>0</v>
      </c>
      <c r="AM35" s="26">
        <v>0</v>
      </c>
      <c r="AN35" s="26">
        <v>0</v>
      </c>
      <c r="AO35" s="26">
        <v>0</v>
      </c>
      <c r="AP35" s="26">
        <v>0</v>
      </c>
      <c r="AQ35" s="26">
        <v>0</v>
      </c>
      <c r="AR35" s="26">
        <v>0</v>
      </c>
      <c r="AS35" s="26">
        <v>0</v>
      </c>
      <c r="AT35" s="26">
        <v>0</v>
      </c>
      <c r="AU35" s="26">
        <v>0</v>
      </c>
      <c r="AV35" s="26">
        <v>0</v>
      </c>
      <c r="AW35" s="26">
        <v>0</v>
      </c>
      <c r="AX35" s="26">
        <v>0</v>
      </c>
      <c r="AY35" s="46">
        <v>1</v>
      </c>
      <c r="AZ35" s="25">
        <v>2</v>
      </c>
      <c r="BA35" s="41" t="s">
        <v>203</v>
      </c>
      <c r="BB35" s="41">
        <v>100</v>
      </c>
      <c r="BC35" s="41">
        <v>20180301</v>
      </c>
      <c r="BD35" s="41">
        <v>20180301</v>
      </c>
      <c r="BE35" s="41" t="s">
        <v>198</v>
      </c>
      <c r="BF35" s="41" t="s">
        <v>149</v>
      </c>
      <c r="BG35" s="41">
        <v>20180301</v>
      </c>
      <c r="BH35" s="41">
        <v>0</v>
      </c>
      <c r="BI35" s="41">
        <v>0</v>
      </c>
      <c r="BJ35" s="41"/>
      <c r="BK35" s="41">
        <v>0</v>
      </c>
      <c r="BL35" s="41" t="s">
        <v>140</v>
      </c>
      <c r="BM35" s="41">
        <v>818</v>
      </c>
      <c r="BN35" s="41">
        <v>0</v>
      </c>
      <c r="BO35" s="41">
        <v>12</v>
      </c>
      <c r="BP35" s="41">
        <v>20180201</v>
      </c>
      <c r="BQ35" s="41">
        <v>0</v>
      </c>
      <c r="BR35" s="41">
        <v>0</v>
      </c>
      <c r="BS35" s="41">
        <v>85</v>
      </c>
      <c r="BT35" s="25">
        <v>56</v>
      </c>
      <c r="BU35" s="25">
        <v>0</v>
      </c>
      <c r="BV35" s="25">
        <v>0</v>
      </c>
      <c r="BW35" s="25">
        <v>0</v>
      </c>
      <c r="BX35" s="25">
        <v>0</v>
      </c>
      <c r="BY35" s="25">
        <v>0</v>
      </c>
      <c r="BZ35" s="25">
        <v>0</v>
      </c>
      <c r="CA35" s="25">
        <v>0</v>
      </c>
      <c r="CB35" s="25">
        <v>0</v>
      </c>
      <c r="CC35" s="25">
        <v>0</v>
      </c>
      <c r="CD35" s="25">
        <v>0</v>
      </c>
      <c r="CE35" s="25">
        <v>0</v>
      </c>
      <c r="CF35" s="25">
        <v>0</v>
      </c>
      <c r="CG35" s="25">
        <v>0</v>
      </c>
      <c r="CH35" s="25">
        <v>0</v>
      </c>
      <c r="CI35" s="25">
        <v>0</v>
      </c>
      <c r="CJ35" s="25">
        <v>0</v>
      </c>
      <c r="CK35" s="22">
        <v>1</v>
      </c>
      <c r="CL35" s="25">
        <v>3</v>
      </c>
      <c r="CM35" s="41" t="s">
        <v>150</v>
      </c>
      <c r="CN35" s="41">
        <v>100</v>
      </c>
      <c r="CO35" s="41">
        <v>20180301</v>
      </c>
      <c r="CP35" s="41">
        <v>20180301</v>
      </c>
      <c r="CQ35" s="41" t="s">
        <v>198</v>
      </c>
      <c r="CR35" s="41" t="s">
        <v>200</v>
      </c>
      <c r="CS35" s="41">
        <v>20180301</v>
      </c>
      <c r="CT35" s="41">
        <v>0</v>
      </c>
      <c r="CU35" s="41">
        <v>0</v>
      </c>
      <c r="CV35" s="41"/>
      <c r="CW35" s="41">
        <v>0</v>
      </c>
      <c r="CX35" s="41" t="s">
        <v>140</v>
      </c>
      <c r="CY35" s="41">
        <v>818</v>
      </c>
      <c r="CZ35" s="41">
        <v>0</v>
      </c>
      <c r="DA35" s="41">
        <v>12</v>
      </c>
      <c r="DB35" s="41">
        <v>20180201</v>
      </c>
      <c r="DC35" s="41">
        <v>0</v>
      </c>
      <c r="DD35" s="41">
        <v>0</v>
      </c>
      <c r="DE35" s="41">
        <v>54</v>
      </c>
      <c r="DF35" s="25">
        <v>56</v>
      </c>
      <c r="DG35" s="25">
        <v>0</v>
      </c>
      <c r="DH35" s="25">
        <v>0</v>
      </c>
      <c r="DI35" s="25">
        <v>0</v>
      </c>
      <c r="DJ35" s="25">
        <v>0</v>
      </c>
      <c r="DK35" s="25">
        <v>0</v>
      </c>
      <c r="DL35" s="25">
        <v>0</v>
      </c>
      <c r="DM35" s="25">
        <v>0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0</v>
      </c>
      <c r="DV35" s="25">
        <v>0</v>
      </c>
      <c r="DW35" s="23">
        <v>1</v>
      </c>
      <c r="DX35" s="25">
        <v>4</v>
      </c>
      <c r="DY35" s="41" t="s">
        <v>151</v>
      </c>
      <c r="DZ35" s="41">
        <v>100</v>
      </c>
      <c r="EA35" s="41">
        <v>20180301</v>
      </c>
      <c r="EB35" s="41">
        <v>20180301</v>
      </c>
      <c r="EC35" s="41" t="s">
        <v>198</v>
      </c>
      <c r="ED35" s="41" t="s">
        <v>201</v>
      </c>
      <c r="EE35" s="41">
        <v>20180301</v>
      </c>
      <c r="EF35" s="41">
        <v>0</v>
      </c>
      <c r="EG35" s="41">
        <v>0</v>
      </c>
      <c r="EH35" s="41"/>
      <c r="EI35" s="41">
        <v>0</v>
      </c>
      <c r="EJ35" s="41" t="s">
        <v>140</v>
      </c>
      <c r="EK35" s="41">
        <v>818</v>
      </c>
      <c r="EL35" s="41">
        <v>0</v>
      </c>
      <c r="EM35" s="41">
        <v>12</v>
      </c>
      <c r="EN35" s="41">
        <v>20180201</v>
      </c>
      <c r="EO35" s="41">
        <v>0</v>
      </c>
      <c r="EP35" s="41">
        <v>0</v>
      </c>
      <c r="EQ35" s="41">
        <v>23</v>
      </c>
      <c r="ER35" s="25">
        <v>56</v>
      </c>
      <c r="ES35" s="25">
        <v>0</v>
      </c>
      <c r="ET35" s="25">
        <v>0</v>
      </c>
      <c r="EU35" s="25">
        <v>0</v>
      </c>
      <c r="EV35" s="25">
        <v>0</v>
      </c>
      <c r="EW35" s="25">
        <v>0</v>
      </c>
      <c r="EX35" s="25">
        <v>0</v>
      </c>
      <c r="EY35" s="25">
        <v>0</v>
      </c>
      <c r="EZ35" s="25">
        <v>0</v>
      </c>
      <c r="FA35" s="25">
        <v>0</v>
      </c>
      <c r="FB35" s="25">
        <v>0</v>
      </c>
      <c r="FC35" s="25">
        <v>0</v>
      </c>
      <c r="FD35" s="25">
        <v>0</v>
      </c>
      <c r="FE35" s="25">
        <v>0</v>
      </c>
      <c r="FF35" s="25">
        <v>0</v>
      </c>
      <c r="FG35" s="25">
        <v>0</v>
      </c>
      <c r="FH35" s="25">
        <v>0</v>
      </c>
      <c r="FI35" s="25">
        <v>1</v>
      </c>
      <c r="FJ35" s="25">
        <v>1</v>
      </c>
      <c r="FK35" s="25">
        <v>1</v>
      </c>
      <c r="FL35" s="25">
        <v>56</v>
      </c>
      <c r="FM35" s="25" t="s">
        <v>137</v>
      </c>
      <c r="FN35" s="25">
        <v>19630101</v>
      </c>
      <c r="FP35" s="28">
        <v>4</v>
      </c>
      <c r="FQ35" s="47">
        <v>1</v>
      </c>
      <c r="FR35" s="41">
        <v>1</v>
      </c>
      <c r="FS35" s="41" t="str">
        <f t="shared" si="0"/>
        <v>MFSP</v>
      </c>
      <c r="FT35" s="41">
        <f t="shared" si="1"/>
        <v>818</v>
      </c>
      <c r="FU35" s="41">
        <f t="shared" si="2"/>
        <v>56</v>
      </c>
      <c r="FV35" s="41">
        <v>66000</v>
      </c>
      <c r="FW35" s="41">
        <v>188.1</v>
      </c>
      <c r="FX35" s="41"/>
      <c r="FY35" s="29">
        <v>0</v>
      </c>
      <c r="FZ35" s="29">
        <v>0</v>
      </c>
      <c r="GA35" s="30">
        <v>0</v>
      </c>
      <c r="GB35" s="30">
        <v>0</v>
      </c>
      <c r="GC35" s="29">
        <v>0</v>
      </c>
      <c r="GD35" s="41">
        <v>0</v>
      </c>
      <c r="GE35" s="29">
        <v>0</v>
      </c>
      <c r="GF35" s="29">
        <v>0</v>
      </c>
      <c r="GG35" s="29">
        <v>0</v>
      </c>
      <c r="GH35" s="29">
        <v>0</v>
      </c>
      <c r="GI35" s="29">
        <v>0</v>
      </c>
      <c r="GJ35" s="29">
        <v>0</v>
      </c>
      <c r="GK35" s="29">
        <v>0</v>
      </c>
      <c r="GL35" s="29">
        <v>0</v>
      </c>
      <c r="GM35" s="29">
        <v>0</v>
      </c>
      <c r="GN35" s="29">
        <v>0</v>
      </c>
      <c r="GO35" s="29">
        <v>0</v>
      </c>
      <c r="GP35" s="29">
        <v>0</v>
      </c>
      <c r="GQ35" s="29">
        <v>0</v>
      </c>
      <c r="GR35" s="18">
        <v>1</v>
      </c>
      <c r="GS35" s="41">
        <v>2</v>
      </c>
      <c r="GT35" s="41" t="str">
        <f t="shared" si="3"/>
        <v>PURO</v>
      </c>
      <c r="GU35" s="41">
        <v>818</v>
      </c>
      <c r="GV35" s="41">
        <v>50</v>
      </c>
      <c r="GW35" s="41">
        <v>0</v>
      </c>
      <c r="GX35" s="41">
        <v>93.5</v>
      </c>
      <c r="GY35" s="41"/>
      <c r="GZ35" s="41">
        <v>0</v>
      </c>
      <c r="HA35" s="41">
        <v>0</v>
      </c>
      <c r="HB35" s="42">
        <v>0</v>
      </c>
      <c r="HC35" s="42">
        <v>0</v>
      </c>
      <c r="HD35" s="41">
        <v>0</v>
      </c>
      <c r="HE35" s="41">
        <v>0</v>
      </c>
      <c r="HF35" s="41">
        <v>0</v>
      </c>
      <c r="HG35" s="41">
        <v>0</v>
      </c>
      <c r="HH35" s="41">
        <v>0</v>
      </c>
      <c r="HI35" s="41">
        <v>0</v>
      </c>
      <c r="HJ35" s="41">
        <v>0</v>
      </c>
      <c r="HK35" s="41">
        <v>0</v>
      </c>
      <c r="HL35" s="41">
        <v>0</v>
      </c>
      <c r="HM35" s="41">
        <v>0</v>
      </c>
      <c r="HN35" s="41">
        <v>0</v>
      </c>
      <c r="HO35" s="41">
        <v>0</v>
      </c>
      <c r="HP35" s="41">
        <v>0</v>
      </c>
      <c r="HQ35" s="41">
        <v>0</v>
      </c>
      <c r="HR35" s="41">
        <v>0</v>
      </c>
      <c r="HS35" s="24">
        <v>1</v>
      </c>
      <c r="HT35" s="41">
        <v>3</v>
      </c>
      <c r="HU35" s="41" t="str">
        <f t="shared" si="4"/>
        <v>PUDT</v>
      </c>
      <c r="HV35" s="41">
        <v>818</v>
      </c>
      <c r="HW35" s="41">
        <v>50</v>
      </c>
      <c r="HX35" s="41">
        <v>0</v>
      </c>
      <c r="HY35" s="41">
        <v>59.4</v>
      </c>
      <c r="HZ35" s="42"/>
      <c r="IA35" s="41">
        <v>0</v>
      </c>
      <c r="IB35" s="41">
        <v>0</v>
      </c>
      <c r="IC35" s="42">
        <v>0</v>
      </c>
      <c r="ID35" s="42">
        <v>0</v>
      </c>
      <c r="IE35" s="41">
        <v>0</v>
      </c>
      <c r="IF35" s="43">
        <v>0</v>
      </c>
      <c r="IG35" s="41">
        <v>0</v>
      </c>
      <c r="IH35" s="41">
        <v>0</v>
      </c>
      <c r="II35" s="41">
        <v>0</v>
      </c>
      <c r="IJ35" s="41">
        <v>0</v>
      </c>
      <c r="IK35" s="41">
        <v>0</v>
      </c>
      <c r="IL35" s="41">
        <v>0</v>
      </c>
      <c r="IM35" s="41">
        <v>0</v>
      </c>
      <c r="IN35" s="41">
        <v>0</v>
      </c>
      <c r="IO35" s="41">
        <v>0</v>
      </c>
      <c r="IP35" s="41">
        <v>0</v>
      </c>
      <c r="IQ35" s="41">
        <v>0</v>
      </c>
      <c r="IR35" s="41">
        <v>0</v>
      </c>
      <c r="IS35" s="41">
        <v>0</v>
      </c>
      <c r="IT35" s="17">
        <v>1</v>
      </c>
      <c r="IU35" s="41">
        <v>4</v>
      </c>
      <c r="IV35" s="41" t="str">
        <f t="shared" si="5"/>
        <v>PUDS</v>
      </c>
      <c r="IW35" s="41">
        <v>818</v>
      </c>
      <c r="IX35" s="41">
        <v>50</v>
      </c>
      <c r="IY35" s="41">
        <v>0</v>
      </c>
      <c r="IZ35" s="41">
        <v>25.3</v>
      </c>
      <c r="JA35" s="42"/>
      <c r="JB35" s="41">
        <v>0</v>
      </c>
      <c r="JC35" s="41">
        <v>0</v>
      </c>
      <c r="JD35" s="42">
        <v>0</v>
      </c>
      <c r="JE35" s="42">
        <v>0</v>
      </c>
      <c r="JF35" s="41">
        <v>0</v>
      </c>
      <c r="JG35" s="41">
        <v>0</v>
      </c>
      <c r="JH35" s="41">
        <v>0</v>
      </c>
      <c r="JI35" s="41">
        <v>0</v>
      </c>
      <c r="JJ35" s="41">
        <v>0</v>
      </c>
      <c r="JK35" s="41">
        <v>0</v>
      </c>
      <c r="JL35" s="41">
        <v>0</v>
      </c>
      <c r="JM35" s="41">
        <v>0</v>
      </c>
      <c r="JN35" s="41">
        <v>0</v>
      </c>
      <c r="JO35" s="41">
        <v>0</v>
      </c>
      <c r="JP35" s="41">
        <v>0</v>
      </c>
      <c r="JQ35" s="41">
        <v>0</v>
      </c>
      <c r="JR35" s="41">
        <v>0</v>
      </c>
      <c r="JS35" s="41">
        <v>0</v>
      </c>
      <c r="JT35" s="41">
        <v>0</v>
      </c>
      <c r="JU35"/>
    </row>
    <row r="36" spans="1:281" ht="15.75">
      <c r="A36" s="25">
        <v>30</v>
      </c>
      <c r="B36" s="25">
        <v>20190301</v>
      </c>
      <c r="C36" s="25"/>
      <c r="D36" s="25" t="s">
        <v>132</v>
      </c>
      <c r="E36" s="25" t="s">
        <v>132</v>
      </c>
      <c r="F36" s="25" t="s">
        <v>133</v>
      </c>
      <c r="G36" s="25"/>
      <c r="H36" s="25">
        <v>100000030</v>
      </c>
      <c r="I36" s="25" t="s">
        <v>134</v>
      </c>
      <c r="J36" s="25" t="s">
        <v>135</v>
      </c>
      <c r="K36" s="25" t="s">
        <v>132</v>
      </c>
      <c r="L36" s="25">
        <v>4</v>
      </c>
      <c r="M36" s="25">
        <v>1</v>
      </c>
      <c r="N36" s="25">
        <v>1</v>
      </c>
      <c r="O36" s="45" t="s">
        <v>141</v>
      </c>
      <c r="P36" s="25">
        <v>100</v>
      </c>
      <c r="Q36" s="25">
        <v>20180301</v>
      </c>
      <c r="R36" s="25">
        <v>20180301</v>
      </c>
      <c r="S36" s="25" t="s">
        <v>137</v>
      </c>
      <c r="T36" s="25" t="s">
        <v>142</v>
      </c>
      <c r="U36" s="25">
        <v>20190301</v>
      </c>
      <c r="V36" s="25">
        <v>10</v>
      </c>
      <c r="W36" s="25">
        <v>10</v>
      </c>
      <c r="X36" s="25" t="s">
        <v>139</v>
      </c>
      <c r="Y36" s="25">
        <v>0</v>
      </c>
      <c r="Z36" s="25" t="s">
        <v>140</v>
      </c>
      <c r="AA36" s="25">
        <v>818</v>
      </c>
      <c r="AB36" s="41">
        <v>0</v>
      </c>
      <c r="AC36" s="41">
        <v>12</v>
      </c>
      <c r="AD36" s="41">
        <v>20180201</v>
      </c>
      <c r="AE36" s="41">
        <v>0</v>
      </c>
      <c r="AF36" s="26">
        <v>65000</v>
      </c>
      <c r="AG36" s="41">
        <v>160</v>
      </c>
      <c r="AH36" s="26">
        <v>55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0</v>
      </c>
      <c r="AO36" s="26">
        <v>0</v>
      </c>
      <c r="AP36" s="26">
        <v>0</v>
      </c>
      <c r="AQ36" s="26">
        <v>0</v>
      </c>
      <c r="AR36" s="26">
        <v>0</v>
      </c>
      <c r="AS36" s="26">
        <v>0</v>
      </c>
      <c r="AT36" s="26">
        <v>0</v>
      </c>
      <c r="AU36" s="26">
        <v>0</v>
      </c>
      <c r="AV36" s="26">
        <v>0</v>
      </c>
      <c r="AW36" s="26">
        <v>0</v>
      </c>
      <c r="AX36" s="26">
        <v>0</v>
      </c>
      <c r="AY36" s="46">
        <v>1</v>
      </c>
      <c r="AZ36" s="25">
        <v>2</v>
      </c>
      <c r="BA36" s="41" t="s">
        <v>203</v>
      </c>
      <c r="BB36" s="41">
        <v>100</v>
      </c>
      <c r="BC36" s="41">
        <v>20180301</v>
      </c>
      <c r="BD36" s="41">
        <v>20180301</v>
      </c>
      <c r="BE36" s="41" t="s">
        <v>198</v>
      </c>
      <c r="BF36" s="41" t="s">
        <v>149</v>
      </c>
      <c r="BG36" s="41">
        <v>20180301</v>
      </c>
      <c r="BH36" s="41">
        <v>0</v>
      </c>
      <c r="BI36" s="41">
        <v>0</v>
      </c>
      <c r="BJ36" s="41"/>
      <c r="BK36" s="41">
        <v>0</v>
      </c>
      <c r="BL36" s="41" t="s">
        <v>140</v>
      </c>
      <c r="BM36" s="41">
        <v>818</v>
      </c>
      <c r="BN36" s="41">
        <v>0</v>
      </c>
      <c r="BO36" s="41">
        <v>12</v>
      </c>
      <c r="BP36" s="41">
        <v>20180201</v>
      </c>
      <c r="BQ36" s="41">
        <v>0</v>
      </c>
      <c r="BR36" s="41">
        <v>0</v>
      </c>
      <c r="BS36" s="41">
        <v>74</v>
      </c>
      <c r="BT36" s="25">
        <v>55</v>
      </c>
      <c r="BU36" s="25">
        <v>0</v>
      </c>
      <c r="BV36" s="25">
        <v>0</v>
      </c>
      <c r="BW36" s="25">
        <v>0</v>
      </c>
      <c r="BX36" s="25">
        <v>0</v>
      </c>
      <c r="BY36" s="25">
        <v>0</v>
      </c>
      <c r="BZ36" s="25">
        <v>0</v>
      </c>
      <c r="CA36" s="25">
        <v>0</v>
      </c>
      <c r="CB36" s="25">
        <v>0</v>
      </c>
      <c r="CC36" s="25">
        <v>0</v>
      </c>
      <c r="CD36" s="25">
        <v>0</v>
      </c>
      <c r="CE36" s="25">
        <v>0</v>
      </c>
      <c r="CF36" s="25">
        <v>0</v>
      </c>
      <c r="CG36" s="25">
        <v>0</v>
      </c>
      <c r="CH36" s="25">
        <v>0</v>
      </c>
      <c r="CI36" s="25">
        <v>0</v>
      </c>
      <c r="CJ36" s="25">
        <v>0</v>
      </c>
      <c r="CK36" s="22">
        <v>1</v>
      </c>
      <c r="CL36" s="25">
        <v>3</v>
      </c>
      <c r="CM36" s="41" t="s">
        <v>150</v>
      </c>
      <c r="CN36" s="41">
        <v>100</v>
      </c>
      <c r="CO36" s="41">
        <v>20180301</v>
      </c>
      <c r="CP36" s="41">
        <v>20180301</v>
      </c>
      <c r="CQ36" s="41" t="s">
        <v>198</v>
      </c>
      <c r="CR36" s="41" t="s">
        <v>200</v>
      </c>
      <c r="CS36" s="41">
        <v>20180301</v>
      </c>
      <c r="CT36" s="41">
        <v>0</v>
      </c>
      <c r="CU36" s="41">
        <v>0</v>
      </c>
      <c r="CV36" s="41"/>
      <c r="CW36" s="41">
        <v>0</v>
      </c>
      <c r="CX36" s="41" t="s">
        <v>140</v>
      </c>
      <c r="CY36" s="41">
        <v>818</v>
      </c>
      <c r="CZ36" s="41">
        <v>0</v>
      </c>
      <c r="DA36" s="41">
        <v>12</v>
      </c>
      <c r="DB36" s="41">
        <v>20180201</v>
      </c>
      <c r="DC36" s="41">
        <v>0</v>
      </c>
      <c r="DD36" s="41">
        <v>0</v>
      </c>
      <c r="DE36" s="41">
        <v>46</v>
      </c>
      <c r="DF36" s="25">
        <v>55</v>
      </c>
      <c r="DG36" s="25">
        <v>0</v>
      </c>
      <c r="DH36" s="25">
        <v>0</v>
      </c>
      <c r="DI36" s="25">
        <v>0</v>
      </c>
      <c r="DJ36" s="25">
        <v>0</v>
      </c>
      <c r="DK36" s="25">
        <v>0</v>
      </c>
      <c r="DL36" s="25">
        <v>0</v>
      </c>
      <c r="DM36" s="25">
        <v>0</v>
      </c>
      <c r="DN36" s="25">
        <v>0</v>
      </c>
      <c r="DO36" s="25">
        <v>0</v>
      </c>
      <c r="DP36" s="25">
        <v>0</v>
      </c>
      <c r="DQ36" s="25">
        <v>0</v>
      </c>
      <c r="DR36" s="25">
        <v>0</v>
      </c>
      <c r="DS36" s="25">
        <v>0</v>
      </c>
      <c r="DT36" s="25">
        <v>0</v>
      </c>
      <c r="DU36" s="25">
        <v>0</v>
      </c>
      <c r="DV36" s="25">
        <v>0</v>
      </c>
      <c r="DW36" s="23">
        <v>1</v>
      </c>
      <c r="DX36" s="25">
        <v>4</v>
      </c>
      <c r="DY36" s="41" t="s">
        <v>151</v>
      </c>
      <c r="DZ36" s="41">
        <v>100</v>
      </c>
      <c r="EA36" s="41">
        <v>20180301</v>
      </c>
      <c r="EB36" s="41">
        <v>20180301</v>
      </c>
      <c r="EC36" s="41" t="s">
        <v>198</v>
      </c>
      <c r="ED36" s="41" t="s">
        <v>201</v>
      </c>
      <c r="EE36" s="41">
        <v>20180301</v>
      </c>
      <c r="EF36" s="41">
        <v>0</v>
      </c>
      <c r="EG36" s="41">
        <v>0</v>
      </c>
      <c r="EH36" s="41"/>
      <c r="EI36" s="41">
        <v>0</v>
      </c>
      <c r="EJ36" s="41" t="s">
        <v>140</v>
      </c>
      <c r="EK36" s="41">
        <v>818</v>
      </c>
      <c r="EL36" s="41">
        <v>0</v>
      </c>
      <c r="EM36" s="41">
        <v>12</v>
      </c>
      <c r="EN36" s="41">
        <v>20180201</v>
      </c>
      <c r="EO36" s="41">
        <v>0</v>
      </c>
      <c r="EP36" s="41">
        <v>0</v>
      </c>
      <c r="EQ36" s="41">
        <v>20</v>
      </c>
      <c r="ER36" s="25">
        <v>55</v>
      </c>
      <c r="ES36" s="25">
        <v>0</v>
      </c>
      <c r="ET36" s="25">
        <v>0</v>
      </c>
      <c r="EU36" s="25">
        <v>0</v>
      </c>
      <c r="EV36" s="25">
        <v>0</v>
      </c>
      <c r="EW36" s="25">
        <v>0</v>
      </c>
      <c r="EX36" s="25">
        <v>0</v>
      </c>
      <c r="EY36" s="25">
        <v>0</v>
      </c>
      <c r="EZ36" s="25">
        <v>0</v>
      </c>
      <c r="FA36" s="25">
        <v>0</v>
      </c>
      <c r="FB36" s="25">
        <v>0</v>
      </c>
      <c r="FC36" s="25">
        <v>0</v>
      </c>
      <c r="FD36" s="25">
        <v>0</v>
      </c>
      <c r="FE36" s="25">
        <v>0</v>
      </c>
      <c r="FF36" s="25">
        <v>0</v>
      </c>
      <c r="FG36" s="25">
        <v>0</v>
      </c>
      <c r="FH36" s="25">
        <v>0</v>
      </c>
      <c r="FI36" s="25">
        <v>1</v>
      </c>
      <c r="FJ36" s="25">
        <v>1</v>
      </c>
      <c r="FK36" s="25">
        <v>1</v>
      </c>
      <c r="FL36" s="25">
        <v>55</v>
      </c>
      <c r="FM36" s="25" t="s">
        <v>137</v>
      </c>
      <c r="FN36" s="25">
        <v>19640101</v>
      </c>
      <c r="FP36" s="28">
        <v>4</v>
      </c>
      <c r="FQ36" s="47">
        <v>1</v>
      </c>
      <c r="FR36" s="41">
        <v>1</v>
      </c>
      <c r="FS36" s="41" t="str">
        <f t="shared" si="0"/>
        <v>MFSP</v>
      </c>
      <c r="FT36" s="41">
        <f t="shared" si="1"/>
        <v>818</v>
      </c>
      <c r="FU36" s="41">
        <f t="shared" si="2"/>
        <v>55</v>
      </c>
      <c r="FV36" s="41">
        <v>71500</v>
      </c>
      <c r="FW36" s="41">
        <v>176</v>
      </c>
      <c r="FX36" s="41"/>
      <c r="FY36" s="29">
        <v>0</v>
      </c>
      <c r="FZ36" s="29">
        <v>0</v>
      </c>
      <c r="GA36" s="30">
        <v>0</v>
      </c>
      <c r="GB36" s="30">
        <v>0</v>
      </c>
      <c r="GC36" s="29">
        <v>0</v>
      </c>
      <c r="GD36" s="41">
        <v>0</v>
      </c>
      <c r="GE36" s="29">
        <v>0</v>
      </c>
      <c r="GF36" s="29">
        <v>0</v>
      </c>
      <c r="GG36" s="29">
        <v>0</v>
      </c>
      <c r="GH36" s="29">
        <v>0</v>
      </c>
      <c r="GI36" s="29">
        <v>0</v>
      </c>
      <c r="GJ36" s="29">
        <v>0</v>
      </c>
      <c r="GK36" s="29">
        <v>0</v>
      </c>
      <c r="GL36" s="29">
        <v>0</v>
      </c>
      <c r="GM36" s="29">
        <v>0</v>
      </c>
      <c r="GN36" s="29">
        <v>0</v>
      </c>
      <c r="GO36" s="29">
        <v>0</v>
      </c>
      <c r="GP36" s="29">
        <v>0</v>
      </c>
      <c r="GQ36" s="29">
        <v>0</v>
      </c>
      <c r="GR36" s="18">
        <v>1</v>
      </c>
      <c r="GS36" s="41">
        <v>2</v>
      </c>
      <c r="GT36" s="41" t="str">
        <f t="shared" si="3"/>
        <v>PURO</v>
      </c>
      <c r="GU36" s="41">
        <v>818</v>
      </c>
      <c r="GV36" s="41">
        <v>51</v>
      </c>
      <c r="GW36" s="41">
        <v>0</v>
      </c>
      <c r="GX36" s="41">
        <v>81.400000000000006</v>
      </c>
      <c r="GY36" s="41"/>
      <c r="GZ36" s="41">
        <v>0</v>
      </c>
      <c r="HA36" s="41">
        <v>0</v>
      </c>
      <c r="HB36" s="42">
        <v>0</v>
      </c>
      <c r="HC36" s="42">
        <v>0</v>
      </c>
      <c r="HD36" s="41">
        <v>0</v>
      </c>
      <c r="HE36" s="41">
        <v>0</v>
      </c>
      <c r="HF36" s="41">
        <v>0</v>
      </c>
      <c r="HG36" s="41">
        <v>0</v>
      </c>
      <c r="HH36" s="41">
        <v>0</v>
      </c>
      <c r="HI36" s="41">
        <v>0</v>
      </c>
      <c r="HJ36" s="41">
        <v>0</v>
      </c>
      <c r="HK36" s="41">
        <v>0</v>
      </c>
      <c r="HL36" s="41">
        <v>0</v>
      </c>
      <c r="HM36" s="41">
        <v>0</v>
      </c>
      <c r="HN36" s="41">
        <v>0</v>
      </c>
      <c r="HO36" s="41">
        <v>0</v>
      </c>
      <c r="HP36" s="41">
        <v>0</v>
      </c>
      <c r="HQ36" s="41">
        <v>0</v>
      </c>
      <c r="HR36" s="41">
        <v>0</v>
      </c>
      <c r="HS36" s="24">
        <v>1</v>
      </c>
      <c r="HT36" s="41">
        <v>3</v>
      </c>
      <c r="HU36" s="41" t="str">
        <f t="shared" si="4"/>
        <v>PUDT</v>
      </c>
      <c r="HV36" s="41">
        <v>818</v>
      </c>
      <c r="HW36" s="41">
        <v>51</v>
      </c>
      <c r="HX36" s="41">
        <v>0</v>
      </c>
      <c r="HY36" s="41">
        <v>50.6</v>
      </c>
      <c r="HZ36" s="42"/>
      <c r="IA36" s="41">
        <v>0</v>
      </c>
      <c r="IB36" s="41">
        <v>0</v>
      </c>
      <c r="IC36" s="42">
        <v>0</v>
      </c>
      <c r="ID36" s="42">
        <v>0</v>
      </c>
      <c r="IE36" s="41">
        <v>0</v>
      </c>
      <c r="IF36" s="43">
        <v>0</v>
      </c>
      <c r="IG36" s="41">
        <v>0</v>
      </c>
      <c r="IH36" s="41">
        <v>0</v>
      </c>
      <c r="II36" s="41">
        <v>0</v>
      </c>
      <c r="IJ36" s="41">
        <v>0</v>
      </c>
      <c r="IK36" s="41">
        <v>0</v>
      </c>
      <c r="IL36" s="41">
        <v>0</v>
      </c>
      <c r="IM36" s="41">
        <v>0</v>
      </c>
      <c r="IN36" s="41">
        <v>0</v>
      </c>
      <c r="IO36" s="41">
        <v>0</v>
      </c>
      <c r="IP36" s="41">
        <v>0</v>
      </c>
      <c r="IQ36" s="41">
        <v>0</v>
      </c>
      <c r="IR36" s="41">
        <v>0</v>
      </c>
      <c r="IS36" s="41">
        <v>0</v>
      </c>
      <c r="IT36" s="17">
        <v>1</v>
      </c>
      <c r="IU36" s="41">
        <v>4</v>
      </c>
      <c r="IV36" s="41" t="str">
        <f t="shared" si="5"/>
        <v>PUDS</v>
      </c>
      <c r="IW36" s="41">
        <v>818</v>
      </c>
      <c r="IX36" s="41">
        <v>51</v>
      </c>
      <c r="IY36" s="41">
        <v>0</v>
      </c>
      <c r="IZ36" s="41">
        <v>22</v>
      </c>
      <c r="JA36" s="42"/>
      <c r="JB36" s="41">
        <v>0</v>
      </c>
      <c r="JC36" s="41">
        <v>0</v>
      </c>
      <c r="JD36" s="42">
        <v>0</v>
      </c>
      <c r="JE36" s="42">
        <v>0</v>
      </c>
      <c r="JF36" s="41">
        <v>0</v>
      </c>
      <c r="JG36" s="41">
        <v>0</v>
      </c>
      <c r="JH36" s="41">
        <v>0</v>
      </c>
      <c r="JI36" s="41">
        <v>0</v>
      </c>
      <c r="JJ36" s="41">
        <v>0</v>
      </c>
      <c r="JK36" s="41">
        <v>0</v>
      </c>
      <c r="JL36" s="41">
        <v>0</v>
      </c>
      <c r="JM36" s="41">
        <v>0</v>
      </c>
      <c r="JN36" s="41">
        <v>0</v>
      </c>
      <c r="JO36" s="41">
        <v>0</v>
      </c>
      <c r="JP36" s="41">
        <v>0</v>
      </c>
      <c r="JQ36" s="41">
        <v>0</v>
      </c>
      <c r="JR36" s="41">
        <v>0</v>
      </c>
      <c r="JS36" s="41">
        <v>0</v>
      </c>
      <c r="JT36" s="41">
        <v>0</v>
      </c>
      <c r="JU36"/>
    </row>
    <row r="37" spans="1:281" ht="15.75">
      <c r="A37" s="25">
        <v>31</v>
      </c>
      <c r="B37" s="25">
        <v>20190301</v>
      </c>
      <c r="C37" s="25"/>
      <c r="D37" s="25" t="s">
        <v>132</v>
      </c>
      <c r="E37" s="25" t="s">
        <v>132</v>
      </c>
      <c r="F37" s="25" t="s">
        <v>133</v>
      </c>
      <c r="G37" s="25"/>
      <c r="H37" s="25">
        <v>100000031</v>
      </c>
      <c r="I37" s="25" t="s">
        <v>134</v>
      </c>
      <c r="J37" s="25" t="s">
        <v>135</v>
      </c>
      <c r="K37" s="25" t="s">
        <v>132</v>
      </c>
      <c r="L37" s="25">
        <v>4</v>
      </c>
      <c r="M37" s="25">
        <v>1</v>
      </c>
      <c r="N37" s="25">
        <v>1</v>
      </c>
      <c r="O37" s="45" t="s">
        <v>141</v>
      </c>
      <c r="P37" s="25">
        <v>100</v>
      </c>
      <c r="Q37" s="25">
        <v>20180301</v>
      </c>
      <c r="R37" s="25">
        <v>20180301</v>
      </c>
      <c r="S37" s="25" t="s">
        <v>137</v>
      </c>
      <c r="T37" s="25" t="s">
        <v>142</v>
      </c>
      <c r="U37" s="25">
        <v>20190301</v>
      </c>
      <c r="V37" s="25">
        <v>10</v>
      </c>
      <c r="W37" s="25">
        <v>10</v>
      </c>
      <c r="X37" s="25" t="s">
        <v>139</v>
      </c>
      <c r="Y37" s="25">
        <v>0</v>
      </c>
      <c r="Z37" s="25" t="s">
        <v>140</v>
      </c>
      <c r="AA37" s="25">
        <v>818</v>
      </c>
      <c r="AB37" s="41">
        <v>0</v>
      </c>
      <c r="AC37" s="41">
        <v>12</v>
      </c>
      <c r="AD37" s="41">
        <v>20180201</v>
      </c>
      <c r="AE37" s="41">
        <v>0</v>
      </c>
      <c r="AF37" s="26">
        <v>70000</v>
      </c>
      <c r="AG37" s="41">
        <v>170</v>
      </c>
      <c r="AH37" s="26">
        <v>54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0</v>
      </c>
      <c r="AO37" s="26">
        <v>0</v>
      </c>
      <c r="AP37" s="26">
        <v>0</v>
      </c>
      <c r="AQ37" s="26">
        <v>0</v>
      </c>
      <c r="AR37" s="26">
        <v>0</v>
      </c>
      <c r="AS37" s="26">
        <v>0</v>
      </c>
      <c r="AT37" s="26">
        <v>0</v>
      </c>
      <c r="AU37" s="26">
        <v>0</v>
      </c>
      <c r="AV37" s="26">
        <v>0</v>
      </c>
      <c r="AW37" s="26">
        <v>0</v>
      </c>
      <c r="AX37" s="26">
        <v>0</v>
      </c>
      <c r="AY37" s="46">
        <v>1</v>
      </c>
      <c r="AZ37" s="25">
        <v>2</v>
      </c>
      <c r="BA37" s="41" t="s">
        <v>203</v>
      </c>
      <c r="BB37" s="41">
        <v>100</v>
      </c>
      <c r="BC37" s="41">
        <v>20180301</v>
      </c>
      <c r="BD37" s="41">
        <v>20180301</v>
      </c>
      <c r="BE37" s="41" t="s">
        <v>198</v>
      </c>
      <c r="BF37" s="41" t="s">
        <v>149</v>
      </c>
      <c r="BG37" s="41">
        <v>20180301</v>
      </c>
      <c r="BH37" s="41">
        <v>0</v>
      </c>
      <c r="BI37" s="41">
        <v>0</v>
      </c>
      <c r="BJ37" s="41"/>
      <c r="BK37" s="41">
        <v>0</v>
      </c>
      <c r="BL37" s="41" t="s">
        <v>140</v>
      </c>
      <c r="BM37" s="41">
        <v>818</v>
      </c>
      <c r="BN37" s="41">
        <v>0</v>
      </c>
      <c r="BO37" s="41">
        <v>12</v>
      </c>
      <c r="BP37" s="41">
        <v>20180201</v>
      </c>
      <c r="BQ37" s="41">
        <v>0</v>
      </c>
      <c r="BR37" s="41">
        <v>0</v>
      </c>
      <c r="BS37" s="41">
        <v>79</v>
      </c>
      <c r="BT37" s="25">
        <v>54</v>
      </c>
      <c r="BU37" s="25">
        <v>0</v>
      </c>
      <c r="BV37" s="25">
        <v>0</v>
      </c>
      <c r="BW37" s="25">
        <v>0</v>
      </c>
      <c r="BX37" s="25">
        <v>0</v>
      </c>
      <c r="BY37" s="25">
        <v>0</v>
      </c>
      <c r="BZ37" s="25">
        <v>0</v>
      </c>
      <c r="CA37" s="25">
        <v>0</v>
      </c>
      <c r="CB37" s="25">
        <v>0</v>
      </c>
      <c r="CC37" s="25">
        <v>0</v>
      </c>
      <c r="CD37" s="25">
        <v>0</v>
      </c>
      <c r="CE37" s="25">
        <v>0</v>
      </c>
      <c r="CF37" s="25">
        <v>0</v>
      </c>
      <c r="CG37" s="25">
        <v>0</v>
      </c>
      <c r="CH37" s="25">
        <v>0</v>
      </c>
      <c r="CI37" s="25">
        <v>0</v>
      </c>
      <c r="CJ37" s="25">
        <v>0</v>
      </c>
      <c r="CK37" s="22">
        <v>1</v>
      </c>
      <c r="CL37" s="25">
        <v>3</v>
      </c>
      <c r="CM37" s="41" t="s">
        <v>150</v>
      </c>
      <c r="CN37" s="41">
        <v>100</v>
      </c>
      <c r="CO37" s="41">
        <v>20180301</v>
      </c>
      <c r="CP37" s="41">
        <v>20180301</v>
      </c>
      <c r="CQ37" s="41" t="s">
        <v>198</v>
      </c>
      <c r="CR37" s="41" t="s">
        <v>200</v>
      </c>
      <c r="CS37" s="41">
        <v>20180301</v>
      </c>
      <c r="CT37" s="41">
        <v>0</v>
      </c>
      <c r="CU37" s="41">
        <v>0</v>
      </c>
      <c r="CV37" s="41"/>
      <c r="CW37" s="41">
        <v>0</v>
      </c>
      <c r="CX37" s="41" t="s">
        <v>140</v>
      </c>
      <c r="CY37" s="41">
        <v>818</v>
      </c>
      <c r="CZ37" s="41">
        <v>0</v>
      </c>
      <c r="DA37" s="41">
        <v>12</v>
      </c>
      <c r="DB37" s="41">
        <v>20180201</v>
      </c>
      <c r="DC37" s="41">
        <v>0</v>
      </c>
      <c r="DD37" s="41">
        <v>0</v>
      </c>
      <c r="DE37" s="41">
        <v>49</v>
      </c>
      <c r="DF37" s="25">
        <v>54</v>
      </c>
      <c r="DG37" s="25">
        <v>0</v>
      </c>
      <c r="DH37" s="25">
        <v>0</v>
      </c>
      <c r="DI37" s="25">
        <v>0</v>
      </c>
      <c r="DJ37" s="25">
        <v>0</v>
      </c>
      <c r="DK37" s="25">
        <v>0</v>
      </c>
      <c r="DL37" s="25">
        <v>0</v>
      </c>
      <c r="DM37" s="25">
        <v>0</v>
      </c>
      <c r="DN37" s="25">
        <v>0</v>
      </c>
      <c r="DO37" s="25">
        <v>0</v>
      </c>
      <c r="DP37" s="25">
        <v>0</v>
      </c>
      <c r="DQ37" s="25">
        <v>0</v>
      </c>
      <c r="DR37" s="25">
        <v>0</v>
      </c>
      <c r="DS37" s="25">
        <v>0</v>
      </c>
      <c r="DT37" s="25">
        <v>0</v>
      </c>
      <c r="DU37" s="25">
        <v>0</v>
      </c>
      <c r="DV37" s="25">
        <v>0</v>
      </c>
      <c r="DW37" s="23">
        <v>1</v>
      </c>
      <c r="DX37" s="25">
        <v>4</v>
      </c>
      <c r="DY37" s="41" t="s">
        <v>151</v>
      </c>
      <c r="DZ37" s="41">
        <v>100</v>
      </c>
      <c r="EA37" s="41">
        <v>20180301</v>
      </c>
      <c r="EB37" s="41">
        <v>20180301</v>
      </c>
      <c r="EC37" s="41" t="s">
        <v>198</v>
      </c>
      <c r="ED37" s="41" t="s">
        <v>201</v>
      </c>
      <c r="EE37" s="41">
        <v>20180301</v>
      </c>
      <c r="EF37" s="41">
        <v>0</v>
      </c>
      <c r="EG37" s="41">
        <v>0</v>
      </c>
      <c r="EH37" s="41"/>
      <c r="EI37" s="41">
        <v>0</v>
      </c>
      <c r="EJ37" s="41" t="s">
        <v>140</v>
      </c>
      <c r="EK37" s="41">
        <v>818</v>
      </c>
      <c r="EL37" s="41">
        <v>0</v>
      </c>
      <c r="EM37" s="41">
        <v>12</v>
      </c>
      <c r="EN37" s="41">
        <v>20180201</v>
      </c>
      <c r="EO37" s="41">
        <v>0</v>
      </c>
      <c r="EP37" s="41">
        <v>0</v>
      </c>
      <c r="EQ37" s="41">
        <v>22</v>
      </c>
      <c r="ER37" s="25">
        <v>54</v>
      </c>
      <c r="ES37" s="25">
        <v>0</v>
      </c>
      <c r="ET37" s="25">
        <v>0</v>
      </c>
      <c r="EU37" s="25">
        <v>0</v>
      </c>
      <c r="EV37" s="25">
        <v>0</v>
      </c>
      <c r="EW37" s="25">
        <v>0</v>
      </c>
      <c r="EX37" s="25">
        <v>0</v>
      </c>
      <c r="EY37" s="25">
        <v>0</v>
      </c>
      <c r="EZ37" s="25">
        <v>0</v>
      </c>
      <c r="FA37" s="25">
        <v>0</v>
      </c>
      <c r="FB37" s="25">
        <v>0</v>
      </c>
      <c r="FC37" s="25">
        <v>0</v>
      </c>
      <c r="FD37" s="25">
        <v>0</v>
      </c>
      <c r="FE37" s="25">
        <v>0</v>
      </c>
      <c r="FF37" s="25">
        <v>0</v>
      </c>
      <c r="FG37" s="25">
        <v>0</v>
      </c>
      <c r="FH37" s="25">
        <v>0</v>
      </c>
      <c r="FI37" s="25">
        <v>1</v>
      </c>
      <c r="FJ37" s="25">
        <v>1</v>
      </c>
      <c r="FK37" s="25">
        <v>1</v>
      </c>
      <c r="FL37" s="25">
        <v>54</v>
      </c>
      <c r="FM37" s="25" t="s">
        <v>137</v>
      </c>
      <c r="FN37" s="25">
        <v>19650101</v>
      </c>
      <c r="FP37" s="28">
        <v>4</v>
      </c>
      <c r="FQ37" s="47">
        <v>1</v>
      </c>
      <c r="FR37" s="41">
        <v>1</v>
      </c>
      <c r="FS37" s="41" t="str">
        <f t="shared" si="0"/>
        <v>MFSP</v>
      </c>
      <c r="FT37" s="41">
        <f t="shared" si="1"/>
        <v>818</v>
      </c>
      <c r="FU37" s="41">
        <f t="shared" si="2"/>
        <v>54</v>
      </c>
      <c r="FV37" s="41">
        <v>77000</v>
      </c>
      <c r="FW37" s="41">
        <v>187</v>
      </c>
      <c r="FX37" s="41"/>
      <c r="FY37" s="29">
        <v>0</v>
      </c>
      <c r="FZ37" s="29">
        <v>0</v>
      </c>
      <c r="GA37" s="30">
        <v>0</v>
      </c>
      <c r="GB37" s="30">
        <v>0</v>
      </c>
      <c r="GC37" s="29">
        <v>0</v>
      </c>
      <c r="GD37" s="41">
        <v>0</v>
      </c>
      <c r="GE37" s="29">
        <v>0</v>
      </c>
      <c r="GF37" s="29">
        <v>0</v>
      </c>
      <c r="GG37" s="29">
        <v>0</v>
      </c>
      <c r="GH37" s="29">
        <v>0</v>
      </c>
      <c r="GI37" s="29">
        <v>0</v>
      </c>
      <c r="GJ37" s="29">
        <v>0</v>
      </c>
      <c r="GK37" s="29">
        <v>0</v>
      </c>
      <c r="GL37" s="29">
        <v>0</v>
      </c>
      <c r="GM37" s="29">
        <v>0</v>
      </c>
      <c r="GN37" s="29">
        <v>0</v>
      </c>
      <c r="GO37" s="29">
        <v>0</v>
      </c>
      <c r="GP37" s="29">
        <v>0</v>
      </c>
      <c r="GQ37" s="29">
        <v>0</v>
      </c>
      <c r="GR37" s="18">
        <v>1</v>
      </c>
      <c r="GS37" s="41">
        <v>2</v>
      </c>
      <c r="GT37" s="41" t="str">
        <f t="shared" si="3"/>
        <v>PURO</v>
      </c>
      <c r="GU37" s="41">
        <v>818</v>
      </c>
      <c r="GV37" s="41">
        <v>52</v>
      </c>
      <c r="GW37" s="41">
        <v>0</v>
      </c>
      <c r="GX37" s="41">
        <v>86.9</v>
      </c>
      <c r="GY37" s="41"/>
      <c r="GZ37" s="41">
        <v>0</v>
      </c>
      <c r="HA37" s="41">
        <v>0</v>
      </c>
      <c r="HB37" s="42">
        <v>0</v>
      </c>
      <c r="HC37" s="42">
        <v>0</v>
      </c>
      <c r="HD37" s="41">
        <v>0</v>
      </c>
      <c r="HE37" s="41">
        <v>0</v>
      </c>
      <c r="HF37" s="41">
        <v>0</v>
      </c>
      <c r="HG37" s="41">
        <v>0</v>
      </c>
      <c r="HH37" s="41">
        <v>0</v>
      </c>
      <c r="HI37" s="41">
        <v>0</v>
      </c>
      <c r="HJ37" s="41">
        <v>0</v>
      </c>
      <c r="HK37" s="41">
        <v>0</v>
      </c>
      <c r="HL37" s="41">
        <v>0</v>
      </c>
      <c r="HM37" s="41">
        <v>0</v>
      </c>
      <c r="HN37" s="41">
        <v>0</v>
      </c>
      <c r="HO37" s="41">
        <v>0</v>
      </c>
      <c r="HP37" s="41">
        <v>0</v>
      </c>
      <c r="HQ37" s="41">
        <v>0</v>
      </c>
      <c r="HR37" s="41">
        <v>0</v>
      </c>
      <c r="HS37" s="24">
        <v>1</v>
      </c>
      <c r="HT37" s="41">
        <v>3</v>
      </c>
      <c r="HU37" s="41" t="str">
        <f t="shared" si="4"/>
        <v>PUDT</v>
      </c>
      <c r="HV37" s="41">
        <v>818</v>
      </c>
      <c r="HW37" s="41">
        <v>52</v>
      </c>
      <c r="HX37" s="41">
        <v>0</v>
      </c>
      <c r="HY37" s="41">
        <v>53.9</v>
      </c>
      <c r="HZ37" s="42"/>
      <c r="IA37" s="41">
        <v>0</v>
      </c>
      <c r="IB37" s="41">
        <v>0</v>
      </c>
      <c r="IC37" s="42">
        <v>0</v>
      </c>
      <c r="ID37" s="42">
        <v>0</v>
      </c>
      <c r="IE37" s="41">
        <v>0</v>
      </c>
      <c r="IF37" s="43">
        <v>0</v>
      </c>
      <c r="IG37" s="41">
        <v>0</v>
      </c>
      <c r="IH37" s="41">
        <v>0</v>
      </c>
      <c r="II37" s="41">
        <v>0</v>
      </c>
      <c r="IJ37" s="41">
        <v>0</v>
      </c>
      <c r="IK37" s="41">
        <v>0</v>
      </c>
      <c r="IL37" s="41">
        <v>0</v>
      </c>
      <c r="IM37" s="41">
        <v>0</v>
      </c>
      <c r="IN37" s="41">
        <v>0</v>
      </c>
      <c r="IO37" s="41">
        <v>0</v>
      </c>
      <c r="IP37" s="41">
        <v>0</v>
      </c>
      <c r="IQ37" s="41">
        <v>0</v>
      </c>
      <c r="IR37" s="41">
        <v>0</v>
      </c>
      <c r="IS37" s="41">
        <v>0</v>
      </c>
      <c r="IT37" s="17">
        <v>1</v>
      </c>
      <c r="IU37" s="41">
        <v>4</v>
      </c>
      <c r="IV37" s="41" t="str">
        <f t="shared" si="5"/>
        <v>PUDS</v>
      </c>
      <c r="IW37" s="41">
        <v>818</v>
      </c>
      <c r="IX37" s="41">
        <v>52</v>
      </c>
      <c r="IY37" s="41">
        <v>0</v>
      </c>
      <c r="IZ37" s="41">
        <v>24.2</v>
      </c>
      <c r="JA37" s="42"/>
      <c r="JB37" s="41">
        <v>0</v>
      </c>
      <c r="JC37" s="41">
        <v>0</v>
      </c>
      <c r="JD37" s="42">
        <v>0</v>
      </c>
      <c r="JE37" s="42">
        <v>0</v>
      </c>
      <c r="JF37" s="41">
        <v>0</v>
      </c>
      <c r="JG37" s="41">
        <v>0</v>
      </c>
      <c r="JH37" s="41">
        <v>0</v>
      </c>
      <c r="JI37" s="41">
        <v>0</v>
      </c>
      <c r="JJ37" s="41">
        <v>0</v>
      </c>
      <c r="JK37" s="41">
        <v>0</v>
      </c>
      <c r="JL37" s="41">
        <v>0</v>
      </c>
      <c r="JM37" s="41">
        <v>0</v>
      </c>
      <c r="JN37" s="41">
        <v>0</v>
      </c>
      <c r="JO37" s="41">
        <v>0</v>
      </c>
      <c r="JP37" s="41">
        <v>0</v>
      </c>
      <c r="JQ37" s="41">
        <v>0</v>
      </c>
      <c r="JR37" s="41">
        <v>0</v>
      </c>
      <c r="JS37" s="41">
        <v>0</v>
      </c>
      <c r="JT37" s="41">
        <v>0</v>
      </c>
      <c r="JU37"/>
    </row>
    <row r="38" spans="1:281" ht="15.75">
      <c r="A38" s="25">
        <v>32</v>
      </c>
      <c r="B38" s="25">
        <v>20190301</v>
      </c>
      <c r="C38" s="25"/>
      <c r="D38" s="25" t="s">
        <v>132</v>
      </c>
      <c r="E38" s="25" t="s">
        <v>132</v>
      </c>
      <c r="F38" s="25" t="s">
        <v>133</v>
      </c>
      <c r="G38" s="25"/>
      <c r="H38" s="25">
        <v>100000032</v>
      </c>
      <c r="I38" s="25" t="s">
        <v>134</v>
      </c>
      <c r="J38" s="25" t="s">
        <v>135</v>
      </c>
      <c r="K38" s="25" t="s">
        <v>132</v>
      </c>
      <c r="L38" s="25">
        <v>4</v>
      </c>
      <c r="M38" s="25">
        <v>1</v>
      </c>
      <c r="N38" s="25">
        <v>1</v>
      </c>
      <c r="O38" s="45" t="s">
        <v>146</v>
      </c>
      <c r="P38" s="25">
        <v>100</v>
      </c>
      <c r="Q38" s="25">
        <v>20180301</v>
      </c>
      <c r="R38" s="25">
        <v>20180301</v>
      </c>
      <c r="S38" s="25" t="s">
        <v>137</v>
      </c>
      <c r="T38" s="25" t="s">
        <v>142</v>
      </c>
      <c r="U38" s="25">
        <v>20190301</v>
      </c>
      <c r="V38" s="25">
        <v>6</v>
      </c>
      <c r="W38" s="25">
        <v>6</v>
      </c>
      <c r="X38" s="25" t="s">
        <v>139</v>
      </c>
      <c r="Y38" s="25">
        <v>0</v>
      </c>
      <c r="Z38" s="25" t="s">
        <v>140</v>
      </c>
      <c r="AA38" s="25">
        <v>818</v>
      </c>
      <c r="AB38" s="41">
        <v>0</v>
      </c>
      <c r="AC38" s="41">
        <v>12</v>
      </c>
      <c r="AD38" s="41">
        <v>20180201</v>
      </c>
      <c r="AE38" s="41">
        <v>0</v>
      </c>
      <c r="AF38" s="26">
        <v>5000</v>
      </c>
      <c r="AG38" s="41">
        <v>77</v>
      </c>
      <c r="AH38" s="26">
        <v>53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0</v>
      </c>
      <c r="AO38" s="26">
        <v>0</v>
      </c>
      <c r="AP38" s="26">
        <v>0</v>
      </c>
      <c r="AQ38" s="26">
        <v>0</v>
      </c>
      <c r="AR38" s="26">
        <v>0</v>
      </c>
      <c r="AS38" s="26">
        <v>0</v>
      </c>
      <c r="AT38" s="26">
        <v>0</v>
      </c>
      <c r="AU38" s="26">
        <v>0</v>
      </c>
      <c r="AV38" s="26">
        <v>0</v>
      </c>
      <c r="AW38" s="26">
        <v>0</v>
      </c>
      <c r="AX38" s="26">
        <v>0</v>
      </c>
      <c r="AY38" s="46">
        <v>1</v>
      </c>
      <c r="AZ38" s="25">
        <v>2</v>
      </c>
      <c r="BA38" s="41" t="s">
        <v>203</v>
      </c>
      <c r="BB38" s="41">
        <v>100</v>
      </c>
      <c r="BC38" s="41">
        <v>20180301</v>
      </c>
      <c r="BD38" s="41">
        <v>20180301</v>
      </c>
      <c r="BE38" s="41" t="s">
        <v>198</v>
      </c>
      <c r="BF38" s="41" t="s">
        <v>149</v>
      </c>
      <c r="BG38" s="41">
        <v>20180301</v>
      </c>
      <c r="BH38" s="41">
        <v>0</v>
      </c>
      <c r="BI38" s="41">
        <v>0</v>
      </c>
      <c r="BJ38" s="41"/>
      <c r="BK38" s="41">
        <v>0</v>
      </c>
      <c r="BL38" s="41" t="s">
        <v>140</v>
      </c>
      <c r="BM38" s="41">
        <v>818</v>
      </c>
      <c r="BN38" s="41">
        <v>0</v>
      </c>
      <c r="BO38" s="41">
        <v>12</v>
      </c>
      <c r="BP38" s="41">
        <v>20180201</v>
      </c>
      <c r="BQ38" s="41">
        <v>0</v>
      </c>
      <c r="BR38" s="41">
        <v>0</v>
      </c>
      <c r="BS38" s="41">
        <v>7</v>
      </c>
      <c r="BT38" s="25">
        <v>53</v>
      </c>
      <c r="BU38" s="25">
        <v>0</v>
      </c>
      <c r="BV38" s="25">
        <v>0</v>
      </c>
      <c r="BW38" s="25">
        <v>0</v>
      </c>
      <c r="BX38" s="25">
        <v>0</v>
      </c>
      <c r="BY38" s="25">
        <v>0</v>
      </c>
      <c r="BZ38" s="25">
        <v>0</v>
      </c>
      <c r="CA38" s="25">
        <v>0</v>
      </c>
      <c r="CB38" s="25">
        <v>0</v>
      </c>
      <c r="CC38" s="25">
        <v>0</v>
      </c>
      <c r="CD38" s="25">
        <v>0</v>
      </c>
      <c r="CE38" s="25">
        <v>0</v>
      </c>
      <c r="CF38" s="25">
        <v>0</v>
      </c>
      <c r="CG38" s="25">
        <v>0</v>
      </c>
      <c r="CH38" s="25">
        <v>0</v>
      </c>
      <c r="CI38" s="25">
        <v>0</v>
      </c>
      <c r="CJ38" s="25">
        <v>0</v>
      </c>
      <c r="CK38" s="22">
        <v>1</v>
      </c>
      <c r="CL38" s="25">
        <v>3</v>
      </c>
      <c r="CM38" s="41" t="s">
        <v>150</v>
      </c>
      <c r="CN38" s="41">
        <v>100</v>
      </c>
      <c r="CO38" s="41">
        <v>20180301</v>
      </c>
      <c r="CP38" s="41">
        <v>20180301</v>
      </c>
      <c r="CQ38" s="41" t="s">
        <v>198</v>
      </c>
      <c r="CR38" s="41" t="s">
        <v>200</v>
      </c>
      <c r="CS38" s="41">
        <v>20180301</v>
      </c>
      <c r="CT38" s="41">
        <v>0</v>
      </c>
      <c r="CU38" s="41">
        <v>0</v>
      </c>
      <c r="CV38" s="41"/>
      <c r="CW38" s="41">
        <v>0</v>
      </c>
      <c r="CX38" s="41" t="s">
        <v>140</v>
      </c>
      <c r="CY38" s="41">
        <v>818</v>
      </c>
      <c r="CZ38" s="41">
        <v>0</v>
      </c>
      <c r="DA38" s="41">
        <v>12</v>
      </c>
      <c r="DB38" s="41">
        <v>20180201</v>
      </c>
      <c r="DC38" s="41">
        <v>0</v>
      </c>
      <c r="DD38" s="41">
        <v>0</v>
      </c>
      <c r="DE38" s="41">
        <v>14</v>
      </c>
      <c r="DF38" s="25">
        <v>53</v>
      </c>
      <c r="DG38" s="25">
        <v>0</v>
      </c>
      <c r="DH38" s="25">
        <v>0</v>
      </c>
      <c r="DI38" s="25">
        <v>0</v>
      </c>
      <c r="DJ38" s="25">
        <v>0</v>
      </c>
      <c r="DK38" s="25">
        <v>0</v>
      </c>
      <c r="DL38" s="25">
        <v>0</v>
      </c>
      <c r="DM38" s="25">
        <v>0</v>
      </c>
      <c r="DN38" s="25">
        <v>0</v>
      </c>
      <c r="DO38" s="25">
        <v>0</v>
      </c>
      <c r="DP38" s="25">
        <v>0</v>
      </c>
      <c r="DQ38" s="25">
        <v>0</v>
      </c>
      <c r="DR38" s="25">
        <v>0</v>
      </c>
      <c r="DS38" s="25">
        <v>0</v>
      </c>
      <c r="DT38" s="25">
        <v>0</v>
      </c>
      <c r="DU38" s="25">
        <v>0</v>
      </c>
      <c r="DV38" s="25">
        <v>0</v>
      </c>
      <c r="DW38" s="23">
        <v>1</v>
      </c>
      <c r="DX38" s="25">
        <v>4</v>
      </c>
      <c r="DY38" s="41" t="s">
        <v>151</v>
      </c>
      <c r="DZ38" s="41">
        <v>100</v>
      </c>
      <c r="EA38" s="41">
        <v>20180301</v>
      </c>
      <c r="EB38" s="41">
        <v>20180301</v>
      </c>
      <c r="EC38" s="41" t="s">
        <v>198</v>
      </c>
      <c r="ED38" s="41" t="s">
        <v>201</v>
      </c>
      <c r="EE38" s="41">
        <v>20180301</v>
      </c>
      <c r="EF38" s="41">
        <v>0</v>
      </c>
      <c r="EG38" s="41">
        <v>0</v>
      </c>
      <c r="EH38" s="41"/>
      <c r="EI38" s="41">
        <v>0</v>
      </c>
      <c r="EJ38" s="41" t="s">
        <v>140</v>
      </c>
      <c r="EK38" s="41">
        <v>818</v>
      </c>
      <c r="EL38" s="41">
        <v>0</v>
      </c>
      <c r="EM38" s="41">
        <v>12</v>
      </c>
      <c r="EN38" s="41">
        <v>20180201</v>
      </c>
      <c r="EO38" s="41">
        <v>0</v>
      </c>
      <c r="EP38" s="41">
        <v>0</v>
      </c>
      <c r="EQ38" s="41">
        <v>8</v>
      </c>
      <c r="ER38" s="25">
        <v>53</v>
      </c>
      <c r="ES38" s="25">
        <v>0</v>
      </c>
      <c r="ET38" s="25">
        <v>0</v>
      </c>
      <c r="EU38" s="25">
        <v>0</v>
      </c>
      <c r="EV38" s="25">
        <v>0</v>
      </c>
      <c r="EW38" s="25">
        <v>0</v>
      </c>
      <c r="EX38" s="25">
        <v>0</v>
      </c>
      <c r="EY38" s="25">
        <v>0</v>
      </c>
      <c r="EZ38" s="25">
        <v>0</v>
      </c>
      <c r="FA38" s="25">
        <v>0</v>
      </c>
      <c r="FB38" s="25">
        <v>0</v>
      </c>
      <c r="FC38" s="25">
        <v>0</v>
      </c>
      <c r="FD38" s="25">
        <v>0</v>
      </c>
      <c r="FE38" s="25">
        <v>0</v>
      </c>
      <c r="FF38" s="25">
        <v>0</v>
      </c>
      <c r="FG38" s="25">
        <v>0</v>
      </c>
      <c r="FH38" s="25">
        <v>0</v>
      </c>
      <c r="FI38" s="25">
        <v>1</v>
      </c>
      <c r="FJ38" s="25">
        <v>1</v>
      </c>
      <c r="FK38" s="25">
        <v>1</v>
      </c>
      <c r="FL38" s="25">
        <v>53</v>
      </c>
      <c r="FM38" s="25" t="s">
        <v>137</v>
      </c>
      <c r="FN38" s="25">
        <v>19660101</v>
      </c>
      <c r="FP38" s="28">
        <v>4</v>
      </c>
      <c r="FQ38" s="47">
        <v>1</v>
      </c>
      <c r="FR38" s="41">
        <v>1</v>
      </c>
      <c r="FS38" s="41" t="str">
        <f t="shared" si="0"/>
        <v>MFPA</v>
      </c>
      <c r="FT38" s="41">
        <f t="shared" si="1"/>
        <v>818</v>
      </c>
      <c r="FU38" s="41">
        <f t="shared" si="2"/>
        <v>53</v>
      </c>
      <c r="FV38" s="41">
        <v>5300</v>
      </c>
      <c r="FW38" s="41">
        <v>81.62</v>
      </c>
      <c r="FX38" s="41"/>
      <c r="FY38" s="29">
        <v>0</v>
      </c>
      <c r="FZ38" s="29">
        <v>0</v>
      </c>
      <c r="GA38" s="30">
        <v>0</v>
      </c>
      <c r="GB38" s="30">
        <v>0</v>
      </c>
      <c r="GC38" s="29">
        <v>0</v>
      </c>
      <c r="GD38" s="41">
        <v>0</v>
      </c>
      <c r="GE38" s="29">
        <v>0</v>
      </c>
      <c r="GF38" s="29">
        <v>0</v>
      </c>
      <c r="GG38" s="29">
        <v>0</v>
      </c>
      <c r="GH38" s="29">
        <v>0</v>
      </c>
      <c r="GI38" s="29">
        <v>0</v>
      </c>
      <c r="GJ38" s="29">
        <v>0</v>
      </c>
      <c r="GK38" s="29">
        <v>0</v>
      </c>
      <c r="GL38" s="29">
        <v>0</v>
      </c>
      <c r="GM38" s="29">
        <v>0</v>
      </c>
      <c r="GN38" s="29">
        <v>0</v>
      </c>
      <c r="GO38" s="29">
        <v>0</v>
      </c>
      <c r="GP38" s="29">
        <v>0</v>
      </c>
      <c r="GQ38" s="29">
        <v>0</v>
      </c>
      <c r="GR38" s="18">
        <v>1</v>
      </c>
      <c r="GS38" s="41">
        <v>2</v>
      </c>
      <c r="GT38" s="41" t="str">
        <f t="shared" si="3"/>
        <v>PURO</v>
      </c>
      <c r="GU38" s="41">
        <v>818</v>
      </c>
      <c r="GV38" s="41">
        <v>53</v>
      </c>
      <c r="GW38" s="41">
        <v>0</v>
      </c>
      <c r="GX38" s="41">
        <v>7.42</v>
      </c>
      <c r="GY38" s="41"/>
      <c r="GZ38" s="41">
        <v>0</v>
      </c>
      <c r="HA38" s="41">
        <v>0</v>
      </c>
      <c r="HB38" s="42">
        <v>0</v>
      </c>
      <c r="HC38" s="42">
        <v>0</v>
      </c>
      <c r="HD38" s="41">
        <v>0</v>
      </c>
      <c r="HE38" s="41">
        <v>0</v>
      </c>
      <c r="HF38" s="41">
        <v>0</v>
      </c>
      <c r="HG38" s="41">
        <v>0</v>
      </c>
      <c r="HH38" s="41">
        <v>0</v>
      </c>
      <c r="HI38" s="41">
        <v>0</v>
      </c>
      <c r="HJ38" s="41">
        <v>0</v>
      </c>
      <c r="HK38" s="41">
        <v>0</v>
      </c>
      <c r="HL38" s="41">
        <v>0</v>
      </c>
      <c r="HM38" s="41">
        <v>0</v>
      </c>
      <c r="HN38" s="41">
        <v>0</v>
      </c>
      <c r="HO38" s="41">
        <v>0</v>
      </c>
      <c r="HP38" s="41">
        <v>0</v>
      </c>
      <c r="HQ38" s="41">
        <v>0</v>
      </c>
      <c r="HR38" s="41">
        <v>0</v>
      </c>
      <c r="HS38" s="24">
        <v>1</v>
      </c>
      <c r="HT38" s="41">
        <v>3</v>
      </c>
      <c r="HU38" s="41" t="str">
        <f t="shared" si="4"/>
        <v>PUDT</v>
      </c>
      <c r="HV38" s="41">
        <v>818</v>
      </c>
      <c r="HW38" s="41">
        <v>53</v>
      </c>
      <c r="HX38" s="41">
        <v>0</v>
      </c>
      <c r="HY38" s="41">
        <v>14.84</v>
      </c>
      <c r="HZ38" s="42"/>
      <c r="IA38" s="41">
        <v>0</v>
      </c>
      <c r="IB38" s="41">
        <v>0</v>
      </c>
      <c r="IC38" s="42">
        <v>0</v>
      </c>
      <c r="ID38" s="42">
        <v>0</v>
      </c>
      <c r="IE38" s="41">
        <v>0</v>
      </c>
      <c r="IF38" s="43">
        <v>0</v>
      </c>
      <c r="IG38" s="41">
        <v>0</v>
      </c>
      <c r="IH38" s="41">
        <v>0</v>
      </c>
      <c r="II38" s="41">
        <v>0</v>
      </c>
      <c r="IJ38" s="41">
        <v>0</v>
      </c>
      <c r="IK38" s="41">
        <v>0</v>
      </c>
      <c r="IL38" s="41">
        <v>0</v>
      </c>
      <c r="IM38" s="41">
        <v>0</v>
      </c>
      <c r="IN38" s="41">
        <v>0</v>
      </c>
      <c r="IO38" s="41">
        <v>0</v>
      </c>
      <c r="IP38" s="41">
        <v>0</v>
      </c>
      <c r="IQ38" s="41">
        <v>0</v>
      </c>
      <c r="IR38" s="41">
        <v>0</v>
      </c>
      <c r="IS38" s="41">
        <v>0</v>
      </c>
      <c r="IT38" s="17">
        <v>1</v>
      </c>
      <c r="IU38" s="41">
        <v>4</v>
      </c>
      <c r="IV38" s="41" t="str">
        <f t="shared" si="5"/>
        <v>PUDS</v>
      </c>
      <c r="IW38" s="41">
        <v>818</v>
      </c>
      <c r="IX38" s="41">
        <v>53</v>
      </c>
      <c r="IY38" s="41">
        <v>0</v>
      </c>
      <c r="IZ38" s="41">
        <v>8.48</v>
      </c>
      <c r="JA38" s="42"/>
      <c r="JB38" s="41">
        <v>0</v>
      </c>
      <c r="JC38" s="41">
        <v>0</v>
      </c>
      <c r="JD38" s="42">
        <v>0</v>
      </c>
      <c r="JE38" s="42">
        <v>0</v>
      </c>
      <c r="JF38" s="41">
        <v>0</v>
      </c>
      <c r="JG38" s="41">
        <v>0</v>
      </c>
      <c r="JH38" s="41">
        <v>0</v>
      </c>
      <c r="JI38" s="41">
        <v>0</v>
      </c>
      <c r="JJ38" s="41">
        <v>0</v>
      </c>
      <c r="JK38" s="41">
        <v>0</v>
      </c>
      <c r="JL38" s="41">
        <v>0</v>
      </c>
      <c r="JM38" s="41">
        <v>0</v>
      </c>
      <c r="JN38" s="41">
        <v>0</v>
      </c>
      <c r="JO38" s="41">
        <v>0</v>
      </c>
      <c r="JP38" s="41">
        <v>0</v>
      </c>
      <c r="JQ38" s="41">
        <v>0</v>
      </c>
      <c r="JR38" s="41">
        <v>0</v>
      </c>
      <c r="JS38" s="41">
        <v>0</v>
      </c>
      <c r="JT38" s="41">
        <v>0</v>
      </c>
      <c r="JU38"/>
    </row>
    <row r="39" spans="1:281" ht="15.75">
      <c r="A39" s="25">
        <v>33</v>
      </c>
      <c r="B39" s="25">
        <v>20190301</v>
      </c>
      <c r="C39" s="25"/>
      <c r="D39" s="25" t="s">
        <v>132</v>
      </c>
      <c r="E39" s="25" t="s">
        <v>132</v>
      </c>
      <c r="F39" s="25" t="s">
        <v>133</v>
      </c>
      <c r="G39" s="25"/>
      <c r="H39" s="25">
        <v>100000033</v>
      </c>
      <c r="I39" s="25" t="s">
        <v>134</v>
      </c>
      <c r="J39" s="25" t="s">
        <v>135</v>
      </c>
      <c r="K39" s="25" t="s">
        <v>132</v>
      </c>
      <c r="L39" s="25">
        <v>4</v>
      </c>
      <c r="M39" s="25">
        <v>1</v>
      </c>
      <c r="N39" s="25">
        <v>1</v>
      </c>
      <c r="O39" s="45" t="s">
        <v>146</v>
      </c>
      <c r="P39" s="25">
        <v>100</v>
      </c>
      <c r="Q39" s="25">
        <v>20180301</v>
      </c>
      <c r="R39" s="25">
        <v>20180301</v>
      </c>
      <c r="S39" s="25" t="s">
        <v>137</v>
      </c>
      <c r="T39" s="25" t="s">
        <v>142</v>
      </c>
      <c r="U39" s="25">
        <v>20190301</v>
      </c>
      <c r="V39" s="25">
        <v>6</v>
      </c>
      <c r="W39" s="25">
        <v>6</v>
      </c>
      <c r="X39" s="25" t="s">
        <v>139</v>
      </c>
      <c r="Y39" s="25">
        <v>0</v>
      </c>
      <c r="Z39" s="25" t="s">
        <v>140</v>
      </c>
      <c r="AA39" s="25">
        <v>818</v>
      </c>
      <c r="AB39" s="41">
        <v>0</v>
      </c>
      <c r="AC39" s="41">
        <v>12</v>
      </c>
      <c r="AD39" s="41">
        <v>20180201</v>
      </c>
      <c r="AE39" s="41">
        <v>0</v>
      </c>
      <c r="AF39" s="26">
        <v>10000</v>
      </c>
      <c r="AG39" s="41">
        <v>100</v>
      </c>
      <c r="AH39" s="26">
        <v>52</v>
      </c>
      <c r="AI39" s="26">
        <v>0</v>
      </c>
      <c r="AJ39" s="26">
        <v>0</v>
      </c>
      <c r="AK39" s="26">
        <v>0</v>
      </c>
      <c r="AL39" s="26">
        <v>0</v>
      </c>
      <c r="AM39" s="26">
        <v>0</v>
      </c>
      <c r="AN39" s="26">
        <v>0</v>
      </c>
      <c r="AO39" s="26">
        <v>0</v>
      </c>
      <c r="AP39" s="26">
        <v>0</v>
      </c>
      <c r="AQ39" s="26">
        <v>0</v>
      </c>
      <c r="AR39" s="26">
        <v>0</v>
      </c>
      <c r="AS39" s="26">
        <v>0</v>
      </c>
      <c r="AT39" s="26">
        <v>0</v>
      </c>
      <c r="AU39" s="26">
        <v>0</v>
      </c>
      <c r="AV39" s="26">
        <v>0</v>
      </c>
      <c r="AW39" s="26">
        <v>0</v>
      </c>
      <c r="AX39" s="26">
        <v>0</v>
      </c>
      <c r="AY39" s="46">
        <v>1</v>
      </c>
      <c r="AZ39" s="25">
        <v>2</v>
      </c>
      <c r="BA39" s="41" t="s">
        <v>203</v>
      </c>
      <c r="BB39" s="41">
        <v>100</v>
      </c>
      <c r="BC39" s="41">
        <v>20180301</v>
      </c>
      <c r="BD39" s="41">
        <v>20180301</v>
      </c>
      <c r="BE39" s="41" t="s">
        <v>198</v>
      </c>
      <c r="BF39" s="41" t="s">
        <v>149</v>
      </c>
      <c r="BG39" s="41">
        <v>20180301</v>
      </c>
      <c r="BH39" s="41">
        <v>0</v>
      </c>
      <c r="BI39" s="41">
        <v>0</v>
      </c>
      <c r="BJ39" s="41"/>
      <c r="BK39" s="41">
        <v>0</v>
      </c>
      <c r="BL39" s="41" t="s">
        <v>140</v>
      </c>
      <c r="BM39" s="41">
        <v>818</v>
      </c>
      <c r="BN39" s="41">
        <v>0</v>
      </c>
      <c r="BO39" s="41">
        <v>12</v>
      </c>
      <c r="BP39" s="41">
        <v>20180201</v>
      </c>
      <c r="BQ39" s="41">
        <v>0</v>
      </c>
      <c r="BR39" s="41">
        <v>0</v>
      </c>
      <c r="BS39" s="41">
        <v>7</v>
      </c>
      <c r="BT39" s="25">
        <v>52</v>
      </c>
      <c r="BU39" s="25">
        <v>0</v>
      </c>
      <c r="BV39" s="25">
        <v>0</v>
      </c>
      <c r="BW39" s="25">
        <v>0</v>
      </c>
      <c r="BX39" s="25">
        <v>0</v>
      </c>
      <c r="BY39" s="25">
        <v>0</v>
      </c>
      <c r="BZ39" s="25">
        <v>0</v>
      </c>
      <c r="CA39" s="25">
        <v>0</v>
      </c>
      <c r="CB39" s="25">
        <v>0</v>
      </c>
      <c r="CC39" s="25">
        <v>0</v>
      </c>
      <c r="CD39" s="25">
        <v>0</v>
      </c>
      <c r="CE39" s="25">
        <v>0</v>
      </c>
      <c r="CF39" s="25">
        <v>0</v>
      </c>
      <c r="CG39" s="25">
        <v>0</v>
      </c>
      <c r="CH39" s="25">
        <v>0</v>
      </c>
      <c r="CI39" s="25">
        <v>0</v>
      </c>
      <c r="CJ39" s="25">
        <v>0</v>
      </c>
      <c r="CK39" s="22">
        <v>1</v>
      </c>
      <c r="CL39" s="25">
        <v>3</v>
      </c>
      <c r="CM39" s="41" t="s">
        <v>150</v>
      </c>
      <c r="CN39" s="41">
        <v>100</v>
      </c>
      <c r="CO39" s="41">
        <v>20180301</v>
      </c>
      <c r="CP39" s="41">
        <v>20180301</v>
      </c>
      <c r="CQ39" s="41" t="s">
        <v>198</v>
      </c>
      <c r="CR39" s="41" t="s">
        <v>200</v>
      </c>
      <c r="CS39" s="41">
        <v>20180301</v>
      </c>
      <c r="CT39" s="41">
        <v>0</v>
      </c>
      <c r="CU39" s="41">
        <v>0</v>
      </c>
      <c r="CV39" s="41"/>
      <c r="CW39" s="41">
        <v>0</v>
      </c>
      <c r="CX39" s="41" t="s">
        <v>140</v>
      </c>
      <c r="CY39" s="41">
        <v>818</v>
      </c>
      <c r="CZ39" s="41">
        <v>0</v>
      </c>
      <c r="DA39" s="41">
        <v>12</v>
      </c>
      <c r="DB39" s="41">
        <v>20180201</v>
      </c>
      <c r="DC39" s="41">
        <v>0</v>
      </c>
      <c r="DD39" s="41">
        <v>0</v>
      </c>
      <c r="DE39" s="41">
        <v>16</v>
      </c>
      <c r="DF39" s="25">
        <v>52</v>
      </c>
      <c r="DG39" s="25">
        <v>0</v>
      </c>
      <c r="DH39" s="25">
        <v>0</v>
      </c>
      <c r="DI39" s="25">
        <v>0</v>
      </c>
      <c r="DJ39" s="25">
        <v>0</v>
      </c>
      <c r="DK39" s="25">
        <v>0</v>
      </c>
      <c r="DL39" s="25">
        <v>0</v>
      </c>
      <c r="DM39" s="25">
        <v>0</v>
      </c>
      <c r="DN39" s="25">
        <v>0</v>
      </c>
      <c r="DO39" s="25">
        <v>0</v>
      </c>
      <c r="DP39" s="25">
        <v>0</v>
      </c>
      <c r="DQ39" s="25">
        <v>0</v>
      </c>
      <c r="DR39" s="25">
        <v>0</v>
      </c>
      <c r="DS39" s="25">
        <v>0</v>
      </c>
      <c r="DT39" s="25">
        <v>0</v>
      </c>
      <c r="DU39" s="25">
        <v>0</v>
      </c>
      <c r="DV39" s="25">
        <v>0</v>
      </c>
      <c r="DW39" s="23">
        <v>1</v>
      </c>
      <c r="DX39" s="25">
        <v>4</v>
      </c>
      <c r="DY39" s="41" t="s">
        <v>151</v>
      </c>
      <c r="DZ39" s="41">
        <v>100</v>
      </c>
      <c r="EA39" s="41">
        <v>20180301</v>
      </c>
      <c r="EB39" s="41">
        <v>20180301</v>
      </c>
      <c r="EC39" s="41" t="s">
        <v>198</v>
      </c>
      <c r="ED39" s="41" t="s">
        <v>201</v>
      </c>
      <c r="EE39" s="41">
        <v>20180301</v>
      </c>
      <c r="EF39" s="41">
        <v>0</v>
      </c>
      <c r="EG39" s="41">
        <v>0</v>
      </c>
      <c r="EH39" s="41"/>
      <c r="EI39" s="41">
        <v>0</v>
      </c>
      <c r="EJ39" s="41" t="s">
        <v>140</v>
      </c>
      <c r="EK39" s="41">
        <v>818</v>
      </c>
      <c r="EL39" s="41">
        <v>0</v>
      </c>
      <c r="EM39" s="41">
        <v>12</v>
      </c>
      <c r="EN39" s="41">
        <v>20180201</v>
      </c>
      <c r="EO39" s="41">
        <v>0</v>
      </c>
      <c r="EP39" s="41">
        <v>0</v>
      </c>
      <c r="EQ39" s="41">
        <v>8</v>
      </c>
      <c r="ER39" s="25">
        <v>52</v>
      </c>
      <c r="ES39" s="25">
        <v>0</v>
      </c>
      <c r="ET39" s="25">
        <v>0</v>
      </c>
      <c r="EU39" s="25">
        <v>0</v>
      </c>
      <c r="EV39" s="25">
        <v>0</v>
      </c>
      <c r="EW39" s="25">
        <v>0</v>
      </c>
      <c r="EX39" s="25">
        <v>0</v>
      </c>
      <c r="EY39" s="25">
        <v>0</v>
      </c>
      <c r="EZ39" s="25">
        <v>0</v>
      </c>
      <c r="FA39" s="25">
        <v>0</v>
      </c>
      <c r="FB39" s="25">
        <v>0</v>
      </c>
      <c r="FC39" s="25">
        <v>0</v>
      </c>
      <c r="FD39" s="25">
        <v>0</v>
      </c>
      <c r="FE39" s="25">
        <v>0</v>
      </c>
      <c r="FF39" s="25">
        <v>0</v>
      </c>
      <c r="FG39" s="25">
        <v>0</v>
      </c>
      <c r="FH39" s="25">
        <v>0</v>
      </c>
      <c r="FI39" s="25">
        <v>1</v>
      </c>
      <c r="FJ39" s="25">
        <v>1</v>
      </c>
      <c r="FK39" s="25">
        <v>1</v>
      </c>
      <c r="FL39" s="25">
        <v>52</v>
      </c>
      <c r="FM39" s="25" t="s">
        <v>137</v>
      </c>
      <c r="FN39" s="25">
        <v>19670101</v>
      </c>
      <c r="FP39" s="28">
        <v>4</v>
      </c>
      <c r="FQ39" s="47">
        <v>1</v>
      </c>
      <c r="FR39" s="41">
        <v>1</v>
      </c>
      <c r="FS39" s="41" t="str">
        <f t="shared" si="0"/>
        <v>MFPA</v>
      </c>
      <c r="FT39" s="41">
        <f t="shared" si="1"/>
        <v>818</v>
      </c>
      <c r="FU39" s="41">
        <f t="shared" si="2"/>
        <v>52</v>
      </c>
      <c r="FV39" s="41">
        <v>10600</v>
      </c>
      <c r="FW39" s="41">
        <v>106</v>
      </c>
      <c r="FX39" s="41"/>
      <c r="FY39" s="29">
        <v>0</v>
      </c>
      <c r="FZ39" s="29">
        <v>0</v>
      </c>
      <c r="GA39" s="30">
        <v>0</v>
      </c>
      <c r="GB39" s="30">
        <v>0</v>
      </c>
      <c r="GC39" s="29">
        <v>0</v>
      </c>
      <c r="GD39" s="41">
        <v>0</v>
      </c>
      <c r="GE39" s="29">
        <v>0</v>
      </c>
      <c r="GF39" s="29">
        <v>0</v>
      </c>
      <c r="GG39" s="29">
        <v>0</v>
      </c>
      <c r="GH39" s="29">
        <v>0</v>
      </c>
      <c r="GI39" s="29">
        <v>0</v>
      </c>
      <c r="GJ39" s="29">
        <v>0</v>
      </c>
      <c r="GK39" s="29">
        <v>0</v>
      </c>
      <c r="GL39" s="29">
        <v>0</v>
      </c>
      <c r="GM39" s="29">
        <v>0</v>
      </c>
      <c r="GN39" s="29">
        <v>0</v>
      </c>
      <c r="GO39" s="29">
        <v>0</v>
      </c>
      <c r="GP39" s="29">
        <v>0</v>
      </c>
      <c r="GQ39" s="29">
        <v>0</v>
      </c>
      <c r="GR39" s="18">
        <v>1</v>
      </c>
      <c r="GS39" s="41">
        <v>2</v>
      </c>
      <c r="GT39" s="41" t="str">
        <f t="shared" si="3"/>
        <v>PURO</v>
      </c>
      <c r="GU39" s="41">
        <v>818</v>
      </c>
      <c r="GV39" s="41">
        <v>54</v>
      </c>
      <c r="GW39" s="41">
        <v>0</v>
      </c>
      <c r="GX39" s="41">
        <v>7.42</v>
      </c>
      <c r="GY39" s="41"/>
      <c r="GZ39" s="41">
        <v>0</v>
      </c>
      <c r="HA39" s="41">
        <v>0</v>
      </c>
      <c r="HB39" s="42">
        <v>0</v>
      </c>
      <c r="HC39" s="42">
        <v>0</v>
      </c>
      <c r="HD39" s="41">
        <v>0</v>
      </c>
      <c r="HE39" s="41">
        <v>0</v>
      </c>
      <c r="HF39" s="41">
        <v>0</v>
      </c>
      <c r="HG39" s="41">
        <v>0</v>
      </c>
      <c r="HH39" s="41">
        <v>0</v>
      </c>
      <c r="HI39" s="41">
        <v>0</v>
      </c>
      <c r="HJ39" s="41">
        <v>0</v>
      </c>
      <c r="HK39" s="41">
        <v>0</v>
      </c>
      <c r="HL39" s="41">
        <v>0</v>
      </c>
      <c r="HM39" s="41">
        <v>0</v>
      </c>
      <c r="HN39" s="41">
        <v>0</v>
      </c>
      <c r="HO39" s="41">
        <v>0</v>
      </c>
      <c r="HP39" s="41">
        <v>0</v>
      </c>
      <c r="HQ39" s="41">
        <v>0</v>
      </c>
      <c r="HR39" s="41">
        <v>0</v>
      </c>
      <c r="HS39" s="24">
        <v>1</v>
      </c>
      <c r="HT39" s="41">
        <v>3</v>
      </c>
      <c r="HU39" s="41" t="str">
        <f t="shared" si="4"/>
        <v>PUDT</v>
      </c>
      <c r="HV39" s="41">
        <v>818</v>
      </c>
      <c r="HW39" s="41">
        <v>54</v>
      </c>
      <c r="HX39" s="41">
        <v>0</v>
      </c>
      <c r="HY39" s="41">
        <v>16.96</v>
      </c>
      <c r="HZ39" s="42"/>
      <c r="IA39" s="41">
        <v>0</v>
      </c>
      <c r="IB39" s="41">
        <v>0</v>
      </c>
      <c r="IC39" s="42">
        <v>0</v>
      </c>
      <c r="ID39" s="42">
        <v>0</v>
      </c>
      <c r="IE39" s="41">
        <v>0</v>
      </c>
      <c r="IF39" s="43">
        <v>0</v>
      </c>
      <c r="IG39" s="41">
        <v>0</v>
      </c>
      <c r="IH39" s="41">
        <v>0</v>
      </c>
      <c r="II39" s="41">
        <v>0</v>
      </c>
      <c r="IJ39" s="41">
        <v>0</v>
      </c>
      <c r="IK39" s="41">
        <v>0</v>
      </c>
      <c r="IL39" s="41">
        <v>0</v>
      </c>
      <c r="IM39" s="41">
        <v>0</v>
      </c>
      <c r="IN39" s="41">
        <v>0</v>
      </c>
      <c r="IO39" s="41">
        <v>0</v>
      </c>
      <c r="IP39" s="41">
        <v>0</v>
      </c>
      <c r="IQ39" s="41">
        <v>0</v>
      </c>
      <c r="IR39" s="41">
        <v>0</v>
      </c>
      <c r="IS39" s="41">
        <v>0</v>
      </c>
      <c r="IT39" s="17">
        <v>1</v>
      </c>
      <c r="IU39" s="41">
        <v>4</v>
      </c>
      <c r="IV39" s="41" t="str">
        <f t="shared" si="5"/>
        <v>PUDS</v>
      </c>
      <c r="IW39" s="41">
        <v>818</v>
      </c>
      <c r="IX39" s="41">
        <v>54</v>
      </c>
      <c r="IY39" s="41">
        <v>0</v>
      </c>
      <c r="IZ39" s="41">
        <v>8.48</v>
      </c>
      <c r="JA39" s="42"/>
      <c r="JB39" s="41">
        <v>0</v>
      </c>
      <c r="JC39" s="41">
        <v>0</v>
      </c>
      <c r="JD39" s="42">
        <v>0</v>
      </c>
      <c r="JE39" s="42">
        <v>0</v>
      </c>
      <c r="JF39" s="41">
        <v>0</v>
      </c>
      <c r="JG39" s="41">
        <v>0</v>
      </c>
      <c r="JH39" s="41">
        <v>0</v>
      </c>
      <c r="JI39" s="41">
        <v>0</v>
      </c>
      <c r="JJ39" s="41">
        <v>0</v>
      </c>
      <c r="JK39" s="41">
        <v>0</v>
      </c>
      <c r="JL39" s="41">
        <v>0</v>
      </c>
      <c r="JM39" s="41">
        <v>0</v>
      </c>
      <c r="JN39" s="41">
        <v>0</v>
      </c>
      <c r="JO39" s="41">
        <v>0</v>
      </c>
      <c r="JP39" s="41">
        <v>0</v>
      </c>
      <c r="JQ39" s="41">
        <v>0</v>
      </c>
      <c r="JR39" s="41">
        <v>0</v>
      </c>
      <c r="JS39" s="41">
        <v>0</v>
      </c>
      <c r="JT39" s="41">
        <v>0</v>
      </c>
      <c r="JU39"/>
    </row>
    <row r="40" spans="1:281" ht="15.75">
      <c r="A40" s="25">
        <v>34</v>
      </c>
      <c r="B40" s="25">
        <v>20190301</v>
      </c>
      <c r="C40" s="25"/>
      <c r="D40" s="25" t="s">
        <v>132</v>
      </c>
      <c r="E40" s="25" t="s">
        <v>132</v>
      </c>
      <c r="F40" s="25" t="s">
        <v>133</v>
      </c>
      <c r="G40" s="25"/>
      <c r="H40" s="25">
        <v>100000034</v>
      </c>
      <c r="I40" s="25" t="s">
        <v>134</v>
      </c>
      <c r="J40" s="25" t="s">
        <v>135</v>
      </c>
      <c r="K40" s="25" t="s">
        <v>132</v>
      </c>
      <c r="L40" s="25">
        <v>4</v>
      </c>
      <c r="M40" s="25">
        <v>1</v>
      </c>
      <c r="N40" s="25">
        <v>1</v>
      </c>
      <c r="O40" s="45" t="s">
        <v>146</v>
      </c>
      <c r="P40" s="25">
        <v>100</v>
      </c>
      <c r="Q40" s="25">
        <v>20180301</v>
      </c>
      <c r="R40" s="25">
        <v>20180301</v>
      </c>
      <c r="S40" s="25" t="s">
        <v>137</v>
      </c>
      <c r="T40" s="25" t="s">
        <v>142</v>
      </c>
      <c r="U40" s="25">
        <v>20190301</v>
      </c>
      <c r="V40" s="25">
        <v>6</v>
      </c>
      <c r="W40" s="25">
        <v>6</v>
      </c>
      <c r="X40" s="25" t="s">
        <v>139</v>
      </c>
      <c r="Y40" s="25">
        <v>0</v>
      </c>
      <c r="Z40" s="25" t="s">
        <v>140</v>
      </c>
      <c r="AA40" s="25">
        <v>818</v>
      </c>
      <c r="AB40" s="41">
        <v>0</v>
      </c>
      <c r="AC40" s="41">
        <v>12</v>
      </c>
      <c r="AD40" s="41">
        <v>20180201</v>
      </c>
      <c r="AE40" s="41">
        <v>0</v>
      </c>
      <c r="AF40" s="26">
        <v>15000</v>
      </c>
      <c r="AG40" s="41">
        <v>122</v>
      </c>
      <c r="AH40" s="26">
        <v>51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0</v>
      </c>
      <c r="AO40" s="26">
        <v>0</v>
      </c>
      <c r="AP40" s="26">
        <v>0</v>
      </c>
      <c r="AQ40" s="26">
        <v>0</v>
      </c>
      <c r="AR40" s="26">
        <v>0</v>
      </c>
      <c r="AS40" s="26">
        <v>0</v>
      </c>
      <c r="AT40" s="26">
        <v>0</v>
      </c>
      <c r="AU40" s="26">
        <v>0</v>
      </c>
      <c r="AV40" s="26">
        <v>0</v>
      </c>
      <c r="AW40" s="26">
        <v>0</v>
      </c>
      <c r="AX40" s="26">
        <v>0</v>
      </c>
      <c r="AY40" s="46">
        <v>1</v>
      </c>
      <c r="AZ40" s="25">
        <v>2</v>
      </c>
      <c r="BA40" s="41" t="s">
        <v>203</v>
      </c>
      <c r="BB40" s="41">
        <v>100</v>
      </c>
      <c r="BC40" s="41">
        <v>20180301</v>
      </c>
      <c r="BD40" s="41">
        <v>20180301</v>
      </c>
      <c r="BE40" s="41" t="s">
        <v>198</v>
      </c>
      <c r="BF40" s="41" t="s">
        <v>149</v>
      </c>
      <c r="BG40" s="41">
        <v>20180301</v>
      </c>
      <c r="BH40" s="41">
        <v>0</v>
      </c>
      <c r="BI40" s="41">
        <v>0</v>
      </c>
      <c r="BJ40" s="41"/>
      <c r="BK40" s="41">
        <v>0</v>
      </c>
      <c r="BL40" s="41" t="s">
        <v>140</v>
      </c>
      <c r="BM40" s="41">
        <v>818</v>
      </c>
      <c r="BN40" s="41">
        <v>0</v>
      </c>
      <c r="BO40" s="41">
        <v>12</v>
      </c>
      <c r="BP40" s="41">
        <v>20180201</v>
      </c>
      <c r="BQ40" s="41">
        <v>0</v>
      </c>
      <c r="BR40" s="41">
        <v>0</v>
      </c>
      <c r="BS40" s="41">
        <v>8</v>
      </c>
      <c r="BT40" s="25">
        <v>51</v>
      </c>
      <c r="BU40" s="25">
        <v>0</v>
      </c>
      <c r="BV40" s="25">
        <v>0</v>
      </c>
      <c r="BW40" s="25">
        <v>0</v>
      </c>
      <c r="BX40" s="25">
        <v>0</v>
      </c>
      <c r="BY40" s="25">
        <v>0</v>
      </c>
      <c r="BZ40" s="25">
        <v>0</v>
      </c>
      <c r="CA40" s="25">
        <v>0</v>
      </c>
      <c r="CB40" s="25">
        <v>0</v>
      </c>
      <c r="CC40" s="25">
        <v>0</v>
      </c>
      <c r="CD40" s="25">
        <v>0</v>
      </c>
      <c r="CE40" s="25">
        <v>0</v>
      </c>
      <c r="CF40" s="25">
        <v>0</v>
      </c>
      <c r="CG40" s="25">
        <v>0</v>
      </c>
      <c r="CH40" s="25">
        <v>0</v>
      </c>
      <c r="CI40" s="25">
        <v>0</v>
      </c>
      <c r="CJ40" s="25">
        <v>0</v>
      </c>
      <c r="CK40" s="22">
        <v>1</v>
      </c>
      <c r="CL40" s="25">
        <v>3</v>
      </c>
      <c r="CM40" s="41" t="s">
        <v>150</v>
      </c>
      <c r="CN40" s="41">
        <v>100</v>
      </c>
      <c r="CO40" s="41">
        <v>20180301</v>
      </c>
      <c r="CP40" s="41">
        <v>20180301</v>
      </c>
      <c r="CQ40" s="41" t="s">
        <v>198</v>
      </c>
      <c r="CR40" s="41" t="s">
        <v>200</v>
      </c>
      <c r="CS40" s="41">
        <v>20180301</v>
      </c>
      <c r="CT40" s="41">
        <v>0</v>
      </c>
      <c r="CU40" s="41">
        <v>0</v>
      </c>
      <c r="CV40" s="41"/>
      <c r="CW40" s="41">
        <v>0</v>
      </c>
      <c r="CX40" s="41" t="s">
        <v>140</v>
      </c>
      <c r="CY40" s="41">
        <v>818</v>
      </c>
      <c r="CZ40" s="41">
        <v>0</v>
      </c>
      <c r="DA40" s="41">
        <v>12</v>
      </c>
      <c r="DB40" s="41">
        <v>20180201</v>
      </c>
      <c r="DC40" s="41">
        <v>0</v>
      </c>
      <c r="DD40" s="41">
        <v>0</v>
      </c>
      <c r="DE40" s="41">
        <v>18</v>
      </c>
      <c r="DF40" s="25">
        <v>51</v>
      </c>
      <c r="DG40" s="25">
        <v>0</v>
      </c>
      <c r="DH40" s="25">
        <v>0</v>
      </c>
      <c r="DI40" s="25">
        <v>0</v>
      </c>
      <c r="DJ40" s="25">
        <v>0</v>
      </c>
      <c r="DK40" s="25">
        <v>0</v>
      </c>
      <c r="DL40" s="25">
        <v>0</v>
      </c>
      <c r="DM40" s="25">
        <v>0</v>
      </c>
      <c r="DN40" s="25">
        <v>0</v>
      </c>
      <c r="DO40" s="25">
        <v>0</v>
      </c>
      <c r="DP40" s="25">
        <v>0</v>
      </c>
      <c r="DQ40" s="25">
        <v>0</v>
      </c>
      <c r="DR40" s="25">
        <v>0</v>
      </c>
      <c r="DS40" s="25">
        <v>0</v>
      </c>
      <c r="DT40" s="25">
        <v>0</v>
      </c>
      <c r="DU40" s="25">
        <v>0</v>
      </c>
      <c r="DV40" s="25">
        <v>0</v>
      </c>
      <c r="DW40" s="23">
        <v>1</v>
      </c>
      <c r="DX40" s="25">
        <v>4</v>
      </c>
      <c r="DY40" s="41" t="s">
        <v>151</v>
      </c>
      <c r="DZ40" s="41">
        <v>100</v>
      </c>
      <c r="EA40" s="41">
        <v>20180301</v>
      </c>
      <c r="EB40" s="41">
        <v>20180301</v>
      </c>
      <c r="EC40" s="41" t="s">
        <v>198</v>
      </c>
      <c r="ED40" s="41" t="s">
        <v>201</v>
      </c>
      <c r="EE40" s="41">
        <v>20180301</v>
      </c>
      <c r="EF40" s="41">
        <v>0</v>
      </c>
      <c r="EG40" s="41">
        <v>0</v>
      </c>
      <c r="EH40" s="41"/>
      <c r="EI40" s="41">
        <v>0</v>
      </c>
      <c r="EJ40" s="41" t="s">
        <v>140</v>
      </c>
      <c r="EK40" s="41">
        <v>818</v>
      </c>
      <c r="EL40" s="41">
        <v>0</v>
      </c>
      <c r="EM40" s="41">
        <v>12</v>
      </c>
      <c r="EN40" s="41">
        <v>20180201</v>
      </c>
      <c r="EO40" s="41">
        <v>0</v>
      </c>
      <c r="EP40" s="41">
        <v>0</v>
      </c>
      <c r="EQ40" s="41">
        <v>9</v>
      </c>
      <c r="ER40" s="25">
        <v>51</v>
      </c>
      <c r="ES40" s="25">
        <v>0</v>
      </c>
      <c r="ET40" s="25">
        <v>0</v>
      </c>
      <c r="EU40" s="25">
        <v>0</v>
      </c>
      <c r="EV40" s="25">
        <v>0</v>
      </c>
      <c r="EW40" s="25">
        <v>0</v>
      </c>
      <c r="EX40" s="25">
        <v>0</v>
      </c>
      <c r="EY40" s="25">
        <v>0</v>
      </c>
      <c r="EZ40" s="25">
        <v>0</v>
      </c>
      <c r="FA40" s="25">
        <v>0</v>
      </c>
      <c r="FB40" s="25">
        <v>0</v>
      </c>
      <c r="FC40" s="25">
        <v>0</v>
      </c>
      <c r="FD40" s="25">
        <v>0</v>
      </c>
      <c r="FE40" s="25">
        <v>0</v>
      </c>
      <c r="FF40" s="25">
        <v>0</v>
      </c>
      <c r="FG40" s="25">
        <v>0</v>
      </c>
      <c r="FH40" s="25">
        <v>0</v>
      </c>
      <c r="FI40" s="25">
        <v>1</v>
      </c>
      <c r="FJ40" s="25">
        <v>1</v>
      </c>
      <c r="FK40" s="25">
        <v>1</v>
      </c>
      <c r="FL40" s="25">
        <v>51</v>
      </c>
      <c r="FM40" s="25" t="s">
        <v>137</v>
      </c>
      <c r="FN40" s="25">
        <v>19680101</v>
      </c>
      <c r="FP40" s="28">
        <v>4</v>
      </c>
      <c r="FQ40" s="47">
        <v>1</v>
      </c>
      <c r="FR40" s="41">
        <v>1</v>
      </c>
      <c r="FS40" s="41" t="str">
        <f t="shared" si="0"/>
        <v>MFPA</v>
      </c>
      <c r="FT40" s="41">
        <f t="shared" si="1"/>
        <v>818</v>
      </c>
      <c r="FU40" s="41">
        <f t="shared" si="2"/>
        <v>51</v>
      </c>
      <c r="FV40" s="41">
        <v>15900</v>
      </c>
      <c r="FW40" s="41">
        <v>129.32</v>
      </c>
      <c r="FX40" s="41"/>
      <c r="FY40" s="29">
        <v>0</v>
      </c>
      <c r="FZ40" s="29">
        <v>0</v>
      </c>
      <c r="GA40" s="30">
        <v>0</v>
      </c>
      <c r="GB40" s="30">
        <v>0</v>
      </c>
      <c r="GC40" s="29">
        <v>0</v>
      </c>
      <c r="GD40" s="41">
        <v>0</v>
      </c>
      <c r="GE40" s="29">
        <v>0</v>
      </c>
      <c r="GF40" s="29">
        <v>0</v>
      </c>
      <c r="GG40" s="29">
        <v>0</v>
      </c>
      <c r="GH40" s="29">
        <v>0</v>
      </c>
      <c r="GI40" s="29">
        <v>0</v>
      </c>
      <c r="GJ40" s="29">
        <v>0</v>
      </c>
      <c r="GK40" s="29">
        <v>0</v>
      </c>
      <c r="GL40" s="29">
        <v>0</v>
      </c>
      <c r="GM40" s="29">
        <v>0</v>
      </c>
      <c r="GN40" s="29">
        <v>0</v>
      </c>
      <c r="GO40" s="29">
        <v>0</v>
      </c>
      <c r="GP40" s="29">
        <v>0</v>
      </c>
      <c r="GQ40" s="29">
        <v>0</v>
      </c>
      <c r="GR40" s="18">
        <v>1</v>
      </c>
      <c r="GS40" s="41">
        <v>2</v>
      </c>
      <c r="GT40" s="41" t="str">
        <f t="shared" si="3"/>
        <v>PURO</v>
      </c>
      <c r="GU40" s="41">
        <v>818</v>
      </c>
      <c r="GV40" s="41">
        <v>55</v>
      </c>
      <c r="GW40" s="41">
        <v>0</v>
      </c>
      <c r="GX40" s="41">
        <v>8.48</v>
      </c>
      <c r="GY40" s="41"/>
      <c r="GZ40" s="41">
        <v>0</v>
      </c>
      <c r="HA40" s="41">
        <v>0</v>
      </c>
      <c r="HB40" s="42">
        <v>0</v>
      </c>
      <c r="HC40" s="42">
        <v>0</v>
      </c>
      <c r="HD40" s="41">
        <v>0</v>
      </c>
      <c r="HE40" s="41">
        <v>0</v>
      </c>
      <c r="HF40" s="41">
        <v>0</v>
      </c>
      <c r="HG40" s="41">
        <v>0</v>
      </c>
      <c r="HH40" s="41">
        <v>0</v>
      </c>
      <c r="HI40" s="41">
        <v>0</v>
      </c>
      <c r="HJ40" s="41">
        <v>0</v>
      </c>
      <c r="HK40" s="41">
        <v>0</v>
      </c>
      <c r="HL40" s="41">
        <v>0</v>
      </c>
      <c r="HM40" s="41">
        <v>0</v>
      </c>
      <c r="HN40" s="41">
        <v>0</v>
      </c>
      <c r="HO40" s="41">
        <v>0</v>
      </c>
      <c r="HP40" s="41">
        <v>0</v>
      </c>
      <c r="HQ40" s="41">
        <v>0</v>
      </c>
      <c r="HR40" s="41">
        <v>0</v>
      </c>
      <c r="HS40" s="24">
        <v>1</v>
      </c>
      <c r="HT40" s="41">
        <v>3</v>
      </c>
      <c r="HU40" s="41" t="str">
        <f t="shared" si="4"/>
        <v>PUDT</v>
      </c>
      <c r="HV40" s="41">
        <v>818</v>
      </c>
      <c r="HW40" s="41">
        <v>55</v>
      </c>
      <c r="HX40" s="41">
        <v>0</v>
      </c>
      <c r="HY40" s="41">
        <v>19.079999999999998</v>
      </c>
      <c r="HZ40" s="42"/>
      <c r="IA40" s="41">
        <v>0</v>
      </c>
      <c r="IB40" s="41">
        <v>0</v>
      </c>
      <c r="IC40" s="42">
        <v>0</v>
      </c>
      <c r="ID40" s="42">
        <v>0</v>
      </c>
      <c r="IE40" s="41">
        <v>0</v>
      </c>
      <c r="IF40" s="43">
        <v>0</v>
      </c>
      <c r="IG40" s="41">
        <v>0</v>
      </c>
      <c r="IH40" s="41">
        <v>0</v>
      </c>
      <c r="II40" s="41">
        <v>0</v>
      </c>
      <c r="IJ40" s="41">
        <v>0</v>
      </c>
      <c r="IK40" s="41">
        <v>0</v>
      </c>
      <c r="IL40" s="41">
        <v>0</v>
      </c>
      <c r="IM40" s="41">
        <v>0</v>
      </c>
      <c r="IN40" s="41">
        <v>0</v>
      </c>
      <c r="IO40" s="41">
        <v>0</v>
      </c>
      <c r="IP40" s="41">
        <v>0</v>
      </c>
      <c r="IQ40" s="41">
        <v>0</v>
      </c>
      <c r="IR40" s="41">
        <v>0</v>
      </c>
      <c r="IS40" s="41">
        <v>0</v>
      </c>
      <c r="IT40" s="17">
        <v>1</v>
      </c>
      <c r="IU40" s="41">
        <v>4</v>
      </c>
      <c r="IV40" s="41" t="str">
        <f t="shared" si="5"/>
        <v>PUDS</v>
      </c>
      <c r="IW40" s="41">
        <v>818</v>
      </c>
      <c r="IX40" s="41">
        <v>55</v>
      </c>
      <c r="IY40" s="41">
        <v>0</v>
      </c>
      <c r="IZ40" s="41">
        <v>9.5399999999999991</v>
      </c>
      <c r="JA40" s="42"/>
      <c r="JB40" s="41">
        <v>0</v>
      </c>
      <c r="JC40" s="41">
        <v>0</v>
      </c>
      <c r="JD40" s="42">
        <v>0</v>
      </c>
      <c r="JE40" s="42">
        <v>0</v>
      </c>
      <c r="JF40" s="41">
        <v>0</v>
      </c>
      <c r="JG40" s="41">
        <v>0</v>
      </c>
      <c r="JH40" s="41">
        <v>0</v>
      </c>
      <c r="JI40" s="41">
        <v>0</v>
      </c>
      <c r="JJ40" s="41">
        <v>0</v>
      </c>
      <c r="JK40" s="41">
        <v>0</v>
      </c>
      <c r="JL40" s="41">
        <v>0</v>
      </c>
      <c r="JM40" s="41">
        <v>0</v>
      </c>
      <c r="JN40" s="41">
        <v>0</v>
      </c>
      <c r="JO40" s="41">
        <v>0</v>
      </c>
      <c r="JP40" s="41">
        <v>0</v>
      </c>
      <c r="JQ40" s="41">
        <v>0</v>
      </c>
      <c r="JR40" s="41">
        <v>0</v>
      </c>
      <c r="JS40" s="41">
        <v>0</v>
      </c>
      <c r="JT40" s="41">
        <v>0</v>
      </c>
      <c r="JU40"/>
    </row>
    <row r="41" spans="1:281" ht="15.75">
      <c r="A41" s="25">
        <v>35</v>
      </c>
      <c r="B41" s="25">
        <v>20190301</v>
      </c>
      <c r="C41" s="25"/>
      <c r="D41" s="25" t="s">
        <v>132</v>
      </c>
      <c r="E41" s="25" t="s">
        <v>132</v>
      </c>
      <c r="F41" s="25" t="s">
        <v>133</v>
      </c>
      <c r="G41" s="25"/>
      <c r="H41" s="25">
        <v>100000035</v>
      </c>
      <c r="I41" s="25" t="s">
        <v>134</v>
      </c>
      <c r="J41" s="25" t="s">
        <v>135</v>
      </c>
      <c r="K41" s="25" t="s">
        <v>132</v>
      </c>
      <c r="L41" s="25">
        <v>4</v>
      </c>
      <c r="M41" s="25">
        <v>1</v>
      </c>
      <c r="N41" s="25">
        <v>1</v>
      </c>
      <c r="O41" s="45" t="s">
        <v>146</v>
      </c>
      <c r="P41" s="25">
        <v>100</v>
      </c>
      <c r="Q41" s="25">
        <v>20180301</v>
      </c>
      <c r="R41" s="25">
        <v>20180301</v>
      </c>
      <c r="S41" s="25" t="s">
        <v>137</v>
      </c>
      <c r="T41" s="25" t="s">
        <v>143</v>
      </c>
      <c r="U41" s="25">
        <v>20190301</v>
      </c>
      <c r="V41" s="25">
        <v>6</v>
      </c>
      <c r="W41" s="25">
        <v>6</v>
      </c>
      <c r="X41" s="25" t="s">
        <v>139</v>
      </c>
      <c r="Y41" s="25">
        <v>0</v>
      </c>
      <c r="Z41" s="25" t="s">
        <v>140</v>
      </c>
      <c r="AA41" s="25">
        <v>818</v>
      </c>
      <c r="AB41" s="41">
        <v>0</v>
      </c>
      <c r="AC41" s="41">
        <v>12</v>
      </c>
      <c r="AD41" s="41">
        <v>20180201</v>
      </c>
      <c r="AE41" s="41">
        <v>0</v>
      </c>
      <c r="AF41" s="26">
        <v>20000</v>
      </c>
      <c r="AG41" s="41">
        <v>122</v>
      </c>
      <c r="AH41" s="26">
        <v>50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0</v>
      </c>
      <c r="AO41" s="26">
        <v>0</v>
      </c>
      <c r="AP41" s="26">
        <v>0</v>
      </c>
      <c r="AQ41" s="26">
        <v>0</v>
      </c>
      <c r="AR41" s="26">
        <v>0</v>
      </c>
      <c r="AS41" s="26">
        <v>0</v>
      </c>
      <c r="AT41" s="26">
        <v>0</v>
      </c>
      <c r="AU41" s="26">
        <v>0</v>
      </c>
      <c r="AV41" s="26">
        <v>0</v>
      </c>
      <c r="AW41" s="26">
        <v>0</v>
      </c>
      <c r="AX41" s="26">
        <v>0</v>
      </c>
      <c r="AY41" s="46">
        <v>1</v>
      </c>
      <c r="AZ41" s="25">
        <v>2</v>
      </c>
      <c r="BA41" s="41" t="s">
        <v>203</v>
      </c>
      <c r="BB41" s="41">
        <v>100</v>
      </c>
      <c r="BC41" s="41">
        <v>20180301</v>
      </c>
      <c r="BD41" s="41">
        <v>20180301</v>
      </c>
      <c r="BE41" s="41" t="s">
        <v>198</v>
      </c>
      <c r="BF41" s="41" t="s">
        <v>149</v>
      </c>
      <c r="BG41" s="41">
        <v>20180301</v>
      </c>
      <c r="BH41" s="41">
        <v>0</v>
      </c>
      <c r="BI41" s="41">
        <v>0</v>
      </c>
      <c r="BJ41" s="41"/>
      <c r="BK41" s="41">
        <v>0</v>
      </c>
      <c r="BL41" s="41" t="s">
        <v>140</v>
      </c>
      <c r="BM41" s="41">
        <v>818</v>
      </c>
      <c r="BN41" s="41">
        <v>0</v>
      </c>
      <c r="BO41" s="41">
        <v>12</v>
      </c>
      <c r="BP41" s="41">
        <v>20180201</v>
      </c>
      <c r="BQ41" s="41">
        <v>0</v>
      </c>
      <c r="BR41" s="41">
        <v>0</v>
      </c>
      <c r="BS41" s="41">
        <v>7</v>
      </c>
      <c r="BT41" s="25">
        <v>50</v>
      </c>
      <c r="BU41" s="25">
        <v>0</v>
      </c>
      <c r="BV41" s="25">
        <v>0</v>
      </c>
      <c r="BW41" s="25">
        <v>0</v>
      </c>
      <c r="BX41" s="25">
        <v>0</v>
      </c>
      <c r="BY41" s="25">
        <v>0</v>
      </c>
      <c r="BZ41" s="25">
        <v>0</v>
      </c>
      <c r="CA41" s="25">
        <v>0</v>
      </c>
      <c r="CB41" s="25">
        <v>0</v>
      </c>
      <c r="CC41" s="25">
        <v>0</v>
      </c>
      <c r="CD41" s="25">
        <v>0</v>
      </c>
      <c r="CE41" s="25">
        <v>0</v>
      </c>
      <c r="CF41" s="25">
        <v>0</v>
      </c>
      <c r="CG41" s="25">
        <v>0</v>
      </c>
      <c r="CH41" s="25">
        <v>0</v>
      </c>
      <c r="CI41" s="25">
        <v>0</v>
      </c>
      <c r="CJ41" s="25">
        <v>0</v>
      </c>
      <c r="CK41" s="22">
        <v>1</v>
      </c>
      <c r="CL41" s="25">
        <v>3</v>
      </c>
      <c r="CM41" s="41" t="s">
        <v>150</v>
      </c>
      <c r="CN41" s="41">
        <v>100</v>
      </c>
      <c r="CO41" s="41">
        <v>20180301</v>
      </c>
      <c r="CP41" s="41">
        <v>20180301</v>
      </c>
      <c r="CQ41" s="41" t="s">
        <v>198</v>
      </c>
      <c r="CR41" s="41" t="s">
        <v>200</v>
      </c>
      <c r="CS41" s="41">
        <v>20180301</v>
      </c>
      <c r="CT41" s="41">
        <v>0</v>
      </c>
      <c r="CU41" s="41">
        <v>0</v>
      </c>
      <c r="CV41" s="41"/>
      <c r="CW41" s="41">
        <v>0</v>
      </c>
      <c r="CX41" s="41" t="s">
        <v>140</v>
      </c>
      <c r="CY41" s="41">
        <v>818</v>
      </c>
      <c r="CZ41" s="41">
        <v>0</v>
      </c>
      <c r="DA41" s="41">
        <v>12</v>
      </c>
      <c r="DB41" s="41">
        <v>20180201</v>
      </c>
      <c r="DC41" s="41">
        <v>0</v>
      </c>
      <c r="DD41" s="41">
        <v>0</v>
      </c>
      <c r="DE41" s="41">
        <v>17</v>
      </c>
      <c r="DF41" s="25">
        <v>50</v>
      </c>
      <c r="DG41" s="25">
        <v>0</v>
      </c>
      <c r="DH41" s="25">
        <v>0</v>
      </c>
      <c r="DI41" s="25">
        <v>0</v>
      </c>
      <c r="DJ41" s="25">
        <v>0</v>
      </c>
      <c r="DK41" s="25">
        <v>0</v>
      </c>
      <c r="DL41" s="25">
        <v>0</v>
      </c>
      <c r="DM41" s="25">
        <v>0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0</v>
      </c>
      <c r="DV41" s="25">
        <v>0</v>
      </c>
      <c r="DW41" s="23">
        <v>1</v>
      </c>
      <c r="DX41" s="25">
        <v>4</v>
      </c>
      <c r="DY41" s="41" t="s">
        <v>151</v>
      </c>
      <c r="DZ41" s="41">
        <v>100</v>
      </c>
      <c r="EA41" s="41">
        <v>20180301</v>
      </c>
      <c r="EB41" s="41">
        <v>20180301</v>
      </c>
      <c r="EC41" s="41" t="s">
        <v>198</v>
      </c>
      <c r="ED41" s="41" t="s">
        <v>201</v>
      </c>
      <c r="EE41" s="41">
        <v>20180301</v>
      </c>
      <c r="EF41" s="41">
        <v>0</v>
      </c>
      <c r="EG41" s="41">
        <v>0</v>
      </c>
      <c r="EH41" s="41"/>
      <c r="EI41" s="41">
        <v>0</v>
      </c>
      <c r="EJ41" s="41" t="s">
        <v>140</v>
      </c>
      <c r="EK41" s="41">
        <v>818</v>
      </c>
      <c r="EL41" s="41">
        <v>0</v>
      </c>
      <c r="EM41" s="41">
        <v>12</v>
      </c>
      <c r="EN41" s="41">
        <v>20180201</v>
      </c>
      <c r="EO41" s="41">
        <v>0</v>
      </c>
      <c r="EP41" s="41">
        <v>0</v>
      </c>
      <c r="EQ41" s="41">
        <v>9</v>
      </c>
      <c r="ER41" s="25">
        <v>50</v>
      </c>
      <c r="ES41" s="25">
        <v>0</v>
      </c>
      <c r="ET41" s="25">
        <v>0</v>
      </c>
      <c r="EU41" s="25">
        <v>0</v>
      </c>
      <c r="EV41" s="25">
        <v>0</v>
      </c>
      <c r="EW41" s="25">
        <v>0</v>
      </c>
      <c r="EX41" s="25">
        <v>0</v>
      </c>
      <c r="EY41" s="25">
        <v>0</v>
      </c>
      <c r="EZ41" s="25">
        <v>0</v>
      </c>
      <c r="FA41" s="25">
        <v>0</v>
      </c>
      <c r="FB41" s="25">
        <v>0</v>
      </c>
      <c r="FC41" s="25">
        <v>0</v>
      </c>
      <c r="FD41" s="25">
        <v>0</v>
      </c>
      <c r="FE41" s="25">
        <v>0</v>
      </c>
      <c r="FF41" s="25">
        <v>0</v>
      </c>
      <c r="FG41" s="25">
        <v>0</v>
      </c>
      <c r="FH41" s="25">
        <v>0</v>
      </c>
      <c r="FI41" s="25">
        <v>1</v>
      </c>
      <c r="FJ41" s="25">
        <v>1</v>
      </c>
      <c r="FK41" s="25">
        <v>1</v>
      </c>
      <c r="FL41" s="25">
        <v>50</v>
      </c>
      <c r="FM41" s="25" t="s">
        <v>137</v>
      </c>
      <c r="FN41" s="25">
        <v>19690101</v>
      </c>
      <c r="FP41" s="28">
        <v>4</v>
      </c>
      <c r="FQ41" s="47">
        <v>1</v>
      </c>
      <c r="FR41" s="41">
        <v>1</v>
      </c>
      <c r="FS41" s="41" t="str">
        <f t="shared" si="0"/>
        <v>MFPA</v>
      </c>
      <c r="FT41" s="41">
        <f t="shared" si="1"/>
        <v>818</v>
      </c>
      <c r="FU41" s="41">
        <f t="shared" si="2"/>
        <v>50</v>
      </c>
      <c r="FV41" s="41">
        <v>21200</v>
      </c>
      <c r="FW41" s="41">
        <v>129.32</v>
      </c>
      <c r="FX41" s="41"/>
      <c r="FY41" s="29">
        <v>0</v>
      </c>
      <c r="FZ41" s="29">
        <v>0</v>
      </c>
      <c r="GA41" s="30">
        <v>0</v>
      </c>
      <c r="GB41" s="30">
        <v>0</v>
      </c>
      <c r="GC41" s="29">
        <v>0</v>
      </c>
      <c r="GD41" s="41">
        <v>0</v>
      </c>
      <c r="GE41" s="29">
        <v>0</v>
      </c>
      <c r="GF41" s="29">
        <v>0</v>
      </c>
      <c r="GG41" s="29">
        <v>0</v>
      </c>
      <c r="GH41" s="29">
        <v>0</v>
      </c>
      <c r="GI41" s="29">
        <v>0</v>
      </c>
      <c r="GJ41" s="29">
        <v>0</v>
      </c>
      <c r="GK41" s="29">
        <v>0</v>
      </c>
      <c r="GL41" s="29">
        <v>0</v>
      </c>
      <c r="GM41" s="29">
        <v>0</v>
      </c>
      <c r="GN41" s="29">
        <v>0</v>
      </c>
      <c r="GO41" s="29">
        <v>0</v>
      </c>
      <c r="GP41" s="29">
        <v>0</v>
      </c>
      <c r="GQ41" s="29">
        <v>0</v>
      </c>
      <c r="GR41" s="18">
        <v>1</v>
      </c>
      <c r="GS41" s="41">
        <v>2</v>
      </c>
      <c r="GT41" s="41" t="str">
        <f t="shared" si="3"/>
        <v>PURO</v>
      </c>
      <c r="GU41" s="41">
        <v>818</v>
      </c>
      <c r="GV41" s="41">
        <v>56</v>
      </c>
      <c r="GW41" s="41">
        <v>0</v>
      </c>
      <c r="GX41" s="41">
        <v>7.42</v>
      </c>
      <c r="GY41" s="41"/>
      <c r="GZ41" s="41">
        <v>0</v>
      </c>
      <c r="HA41" s="41">
        <v>0</v>
      </c>
      <c r="HB41" s="42">
        <v>0</v>
      </c>
      <c r="HC41" s="42">
        <v>0</v>
      </c>
      <c r="HD41" s="41">
        <v>0</v>
      </c>
      <c r="HE41" s="41">
        <v>0</v>
      </c>
      <c r="HF41" s="41">
        <v>0</v>
      </c>
      <c r="HG41" s="41">
        <v>0</v>
      </c>
      <c r="HH41" s="41">
        <v>0</v>
      </c>
      <c r="HI41" s="41">
        <v>0</v>
      </c>
      <c r="HJ41" s="41">
        <v>0</v>
      </c>
      <c r="HK41" s="41">
        <v>0</v>
      </c>
      <c r="HL41" s="41">
        <v>0</v>
      </c>
      <c r="HM41" s="41">
        <v>0</v>
      </c>
      <c r="HN41" s="41">
        <v>0</v>
      </c>
      <c r="HO41" s="41">
        <v>0</v>
      </c>
      <c r="HP41" s="41">
        <v>0</v>
      </c>
      <c r="HQ41" s="41">
        <v>0</v>
      </c>
      <c r="HR41" s="41">
        <v>0</v>
      </c>
      <c r="HS41" s="24">
        <v>1</v>
      </c>
      <c r="HT41" s="41">
        <v>3</v>
      </c>
      <c r="HU41" s="41" t="str">
        <f t="shared" si="4"/>
        <v>PUDT</v>
      </c>
      <c r="HV41" s="41">
        <v>818</v>
      </c>
      <c r="HW41" s="41">
        <v>56</v>
      </c>
      <c r="HX41" s="41">
        <v>0</v>
      </c>
      <c r="HY41" s="41">
        <v>18.02</v>
      </c>
      <c r="HZ41" s="42"/>
      <c r="IA41" s="41">
        <v>0</v>
      </c>
      <c r="IB41" s="41">
        <v>0</v>
      </c>
      <c r="IC41" s="42">
        <v>0</v>
      </c>
      <c r="ID41" s="42">
        <v>0</v>
      </c>
      <c r="IE41" s="41">
        <v>0</v>
      </c>
      <c r="IF41" s="43">
        <v>0</v>
      </c>
      <c r="IG41" s="41">
        <v>0</v>
      </c>
      <c r="IH41" s="41">
        <v>0</v>
      </c>
      <c r="II41" s="41">
        <v>0</v>
      </c>
      <c r="IJ41" s="41">
        <v>0</v>
      </c>
      <c r="IK41" s="41">
        <v>0</v>
      </c>
      <c r="IL41" s="41">
        <v>0</v>
      </c>
      <c r="IM41" s="41">
        <v>0</v>
      </c>
      <c r="IN41" s="41">
        <v>0</v>
      </c>
      <c r="IO41" s="41">
        <v>0</v>
      </c>
      <c r="IP41" s="41">
        <v>0</v>
      </c>
      <c r="IQ41" s="41">
        <v>0</v>
      </c>
      <c r="IR41" s="41">
        <v>0</v>
      </c>
      <c r="IS41" s="41">
        <v>0</v>
      </c>
      <c r="IT41" s="17">
        <v>1</v>
      </c>
      <c r="IU41" s="41">
        <v>4</v>
      </c>
      <c r="IV41" s="41" t="str">
        <f t="shared" si="5"/>
        <v>PUDS</v>
      </c>
      <c r="IW41" s="41">
        <v>818</v>
      </c>
      <c r="IX41" s="41">
        <v>56</v>
      </c>
      <c r="IY41" s="41">
        <v>0</v>
      </c>
      <c r="IZ41" s="41">
        <v>9.5399999999999991</v>
      </c>
      <c r="JA41" s="42"/>
      <c r="JB41" s="41">
        <v>0</v>
      </c>
      <c r="JC41" s="41">
        <v>0</v>
      </c>
      <c r="JD41" s="42">
        <v>0</v>
      </c>
      <c r="JE41" s="42">
        <v>0</v>
      </c>
      <c r="JF41" s="41">
        <v>0</v>
      </c>
      <c r="JG41" s="41">
        <v>0</v>
      </c>
      <c r="JH41" s="41">
        <v>0</v>
      </c>
      <c r="JI41" s="41">
        <v>0</v>
      </c>
      <c r="JJ41" s="41">
        <v>0</v>
      </c>
      <c r="JK41" s="41">
        <v>0</v>
      </c>
      <c r="JL41" s="41">
        <v>0</v>
      </c>
      <c r="JM41" s="41">
        <v>0</v>
      </c>
      <c r="JN41" s="41">
        <v>0</v>
      </c>
      <c r="JO41" s="41">
        <v>0</v>
      </c>
      <c r="JP41" s="41">
        <v>0</v>
      </c>
      <c r="JQ41" s="41">
        <v>0</v>
      </c>
      <c r="JR41" s="41">
        <v>0</v>
      </c>
      <c r="JS41" s="41">
        <v>0</v>
      </c>
      <c r="JT41" s="41">
        <v>0</v>
      </c>
      <c r="JU41"/>
    </row>
    <row r="42" spans="1:281" ht="15.75">
      <c r="A42" s="25">
        <v>36</v>
      </c>
      <c r="B42" s="25">
        <v>20190301</v>
      </c>
      <c r="C42" s="25"/>
      <c r="D42" s="25" t="s">
        <v>132</v>
      </c>
      <c r="E42" s="25" t="s">
        <v>132</v>
      </c>
      <c r="F42" s="25" t="s">
        <v>133</v>
      </c>
      <c r="G42" s="25"/>
      <c r="H42" s="25">
        <v>100000036</v>
      </c>
      <c r="I42" s="25" t="s">
        <v>134</v>
      </c>
      <c r="J42" s="25" t="s">
        <v>135</v>
      </c>
      <c r="K42" s="25" t="s">
        <v>132</v>
      </c>
      <c r="L42" s="25">
        <v>4</v>
      </c>
      <c r="M42" s="25">
        <v>1</v>
      </c>
      <c r="N42" s="25">
        <v>1</v>
      </c>
      <c r="O42" s="45" t="s">
        <v>146</v>
      </c>
      <c r="P42" s="25">
        <v>100</v>
      </c>
      <c r="Q42" s="25">
        <v>20180301</v>
      </c>
      <c r="R42" s="25">
        <v>20180301</v>
      </c>
      <c r="S42" s="25" t="s">
        <v>137</v>
      </c>
      <c r="T42" s="25" t="s">
        <v>143</v>
      </c>
      <c r="U42" s="25">
        <v>20190301</v>
      </c>
      <c r="V42" s="25">
        <v>6</v>
      </c>
      <c r="W42" s="25">
        <v>6</v>
      </c>
      <c r="X42" s="25" t="s">
        <v>139</v>
      </c>
      <c r="Y42" s="25">
        <v>0</v>
      </c>
      <c r="Z42" s="25" t="s">
        <v>140</v>
      </c>
      <c r="AA42" s="25">
        <v>818</v>
      </c>
      <c r="AB42" s="41">
        <v>0</v>
      </c>
      <c r="AC42" s="41">
        <v>12</v>
      </c>
      <c r="AD42" s="41">
        <v>20180201</v>
      </c>
      <c r="AE42" s="41">
        <v>0</v>
      </c>
      <c r="AF42" s="26">
        <v>25000</v>
      </c>
      <c r="AG42" s="41">
        <v>140</v>
      </c>
      <c r="AH42" s="26">
        <v>49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0</v>
      </c>
      <c r="AO42" s="26">
        <v>0</v>
      </c>
      <c r="AP42" s="26">
        <v>0</v>
      </c>
      <c r="AQ42" s="26">
        <v>0</v>
      </c>
      <c r="AR42" s="26">
        <v>0</v>
      </c>
      <c r="AS42" s="26">
        <v>0</v>
      </c>
      <c r="AT42" s="26">
        <v>0</v>
      </c>
      <c r="AU42" s="26">
        <v>0</v>
      </c>
      <c r="AV42" s="26">
        <v>0</v>
      </c>
      <c r="AW42" s="26">
        <v>0</v>
      </c>
      <c r="AX42" s="26">
        <v>0</v>
      </c>
      <c r="AY42" s="46">
        <v>1</v>
      </c>
      <c r="AZ42" s="25">
        <v>2</v>
      </c>
      <c r="BA42" s="41" t="s">
        <v>203</v>
      </c>
      <c r="BB42" s="41">
        <v>100</v>
      </c>
      <c r="BC42" s="41">
        <v>20180301</v>
      </c>
      <c r="BD42" s="41">
        <v>20180301</v>
      </c>
      <c r="BE42" s="41" t="s">
        <v>198</v>
      </c>
      <c r="BF42" s="41" t="s">
        <v>149</v>
      </c>
      <c r="BG42" s="41">
        <v>20180301</v>
      </c>
      <c r="BH42" s="41">
        <v>0</v>
      </c>
      <c r="BI42" s="41">
        <v>0</v>
      </c>
      <c r="BJ42" s="41"/>
      <c r="BK42" s="41">
        <v>0</v>
      </c>
      <c r="BL42" s="41" t="s">
        <v>140</v>
      </c>
      <c r="BM42" s="41">
        <v>818</v>
      </c>
      <c r="BN42" s="41">
        <v>0</v>
      </c>
      <c r="BO42" s="41">
        <v>12</v>
      </c>
      <c r="BP42" s="41">
        <v>20180201</v>
      </c>
      <c r="BQ42" s="41">
        <v>0</v>
      </c>
      <c r="BR42" s="41">
        <v>0</v>
      </c>
      <c r="BS42" s="41">
        <v>7</v>
      </c>
      <c r="BT42" s="25">
        <v>49</v>
      </c>
      <c r="BU42" s="25">
        <v>0</v>
      </c>
      <c r="BV42" s="25">
        <v>0</v>
      </c>
      <c r="BW42" s="25">
        <v>0</v>
      </c>
      <c r="BX42" s="25">
        <v>0</v>
      </c>
      <c r="BY42" s="25">
        <v>0</v>
      </c>
      <c r="BZ42" s="25">
        <v>0</v>
      </c>
      <c r="CA42" s="25">
        <v>0</v>
      </c>
      <c r="CB42" s="25">
        <v>0</v>
      </c>
      <c r="CC42" s="25">
        <v>0</v>
      </c>
      <c r="CD42" s="25">
        <v>0</v>
      </c>
      <c r="CE42" s="25">
        <v>0</v>
      </c>
      <c r="CF42" s="25">
        <v>0</v>
      </c>
      <c r="CG42" s="25">
        <v>0</v>
      </c>
      <c r="CH42" s="25">
        <v>0</v>
      </c>
      <c r="CI42" s="25">
        <v>0</v>
      </c>
      <c r="CJ42" s="25">
        <v>0</v>
      </c>
      <c r="CK42" s="22">
        <v>1</v>
      </c>
      <c r="CL42" s="25">
        <v>3</v>
      </c>
      <c r="CM42" s="41" t="s">
        <v>150</v>
      </c>
      <c r="CN42" s="41">
        <v>100</v>
      </c>
      <c r="CO42" s="41">
        <v>20180301</v>
      </c>
      <c r="CP42" s="41">
        <v>20180301</v>
      </c>
      <c r="CQ42" s="41" t="s">
        <v>198</v>
      </c>
      <c r="CR42" s="41" t="s">
        <v>200</v>
      </c>
      <c r="CS42" s="41">
        <v>20180301</v>
      </c>
      <c r="CT42" s="41">
        <v>0</v>
      </c>
      <c r="CU42" s="41">
        <v>0</v>
      </c>
      <c r="CV42" s="41"/>
      <c r="CW42" s="41">
        <v>0</v>
      </c>
      <c r="CX42" s="41" t="s">
        <v>140</v>
      </c>
      <c r="CY42" s="41">
        <v>818</v>
      </c>
      <c r="CZ42" s="41">
        <v>0</v>
      </c>
      <c r="DA42" s="41">
        <v>12</v>
      </c>
      <c r="DB42" s="41">
        <v>20180201</v>
      </c>
      <c r="DC42" s="41">
        <v>0</v>
      </c>
      <c r="DD42" s="41">
        <v>0</v>
      </c>
      <c r="DE42" s="41">
        <v>19</v>
      </c>
      <c r="DF42" s="25">
        <v>49</v>
      </c>
      <c r="DG42" s="25">
        <v>0</v>
      </c>
      <c r="DH42" s="25">
        <v>0</v>
      </c>
      <c r="DI42" s="25">
        <v>0</v>
      </c>
      <c r="DJ42" s="25">
        <v>0</v>
      </c>
      <c r="DK42" s="25">
        <v>0</v>
      </c>
      <c r="DL42" s="25">
        <v>0</v>
      </c>
      <c r="DM42" s="25">
        <v>0</v>
      </c>
      <c r="DN42" s="25">
        <v>0</v>
      </c>
      <c r="DO42" s="25">
        <v>0</v>
      </c>
      <c r="DP42" s="25">
        <v>0</v>
      </c>
      <c r="DQ42" s="25">
        <v>0</v>
      </c>
      <c r="DR42" s="25">
        <v>0</v>
      </c>
      <c r="DS42" s="25">
        <v>0</v>
      </c>
      <c r="DT42" s="25">
        <v>0</v>
      </c>
      <c r="DU42" s="25">
        <v>0</v>
      </c>
      <c r="DV42" s="25">
        <v>0</v>
      </c>
      <c r="DW42" s="23">
        <v>1</v>
      </c>
      <c r="DX42" s="25">
        <v>4</v>
      </c>
      <c r="DY42" s="41" t="s">
        <v>151</v>
      </c>
      <c r="DZ42" s="41">
        <v>100</v>
      </c>
      <c r="EA42" s="41">
        <v>20180301</v>
      </c>
      <c r="EB42" s="41">
        <v>20180301</v>
      </c>
      <c r="EC42" s="41" t="s">
        <v>198</v>
      </c>
      <c r="ED42" s="41" t="s">
        <v>201</v>
      </c>
      <c r="EE42" s="41">
        <v>20180301</v>
      </c>
      <c r="EF42" s="41">
        <v>0</v>
      </c>
      <c r="EG42" s="41">
        <v>0</v>
      </c>
      <c r="EH42" s="41"/>
      <c r="EI42" s="41">
        <v>0</v>
      </c>
      <c r="EJ42" s="41" t="s">
        <v>140</v>
      </c>
      <c r="EK42" s="41">
        <v>818</v>
      </c>
      <c r="EL42" s="41">
        <v>0</v>
      </c>
      <c r="EM42" s="41">
        <v>12</v>
      </c>
      <c r="EN42" s="41">
        <v>20180201</v>
      </c>
      <c r="EO42" s="41">
        <v>0</v>
      </c>
      <c r="EP42" s="41">
        <v>0</v>
      </c>
      <c r="EQ42" s="41">
        <v>9</v>
      </c>
      <c r="ER42" s="25">
        <v>49</v>
      </c>
      <c r="ES42" s="25">
        <v>0</v>
      </c>
      <c r="ET42" s="25">
        <v>0</v>
      </c>
      <c r="EU42" s="25">
        <v>0</v>
      </c>
      <c r="EV42" s="25">
        <v>0</v>
      </c>
      <c r="EW42" s="25">
        <v>0</v>
      </c>
      <c r="EX42" s="25">
        <v>0</v>
      </c>
      <c r="EY42" s="25">
        <v>0</v>
      </c>
      <c r="EZ42" s="25">
        <v>0</v>
      </c>
      <c r="FA42" s="25">
        <v>0</v>
      </c>
      <c r="FB42" s="25">
        <v>0</v>
      </c>
      <c r="FC42" s="25">
        <v>0</v>
      </c>
      <c r="FD42" s="25">
        <v>0</v>
      </c>
      <c r="FE42" s="25">
        <v>0</v>
      </c>
      <c r="FF42" s="25">
        <v>0</v>
      </c>
      <c r="FG42" s="25">
        <v>0</v>
      </c>
      <c r="FH42" s="25">
        <v>0</v>
      </c>
      <c r="FI42" s="25">
        <v>1</v>
      </c>
      <c r="FJ42" s="25">
        <v>1</v>
      </c>
      <c r="FK42" s="25">
        <v>1</v>
      </c>
      <c r="FL42" s="25">
        <v>49</v>
      </c>
      <c r="FM42" s="25" t="s">
        <v>137</v>
      </c>
      <c r="FN42" s="25">
        <v>19700101</v>
      </c>
      <c r="FP42" s="28">
        <v>4</v>
      </c>
      <c r="FQ42" s="47">
        <v>1</v>
      </c>
      <c r="FR42" s="41">
        <v>1</v>
      </c>
      <c r="FS42" s="41" t="str">
        <f t="shared" si="0"/>
        <v>MFPA</v>
      </c>
      <c r="FT42" s="41">
        <f t="shared" si="1"/>
        <v>818</v>
      </c>
      <c r="FU42" s="41">
        <f t="shared" si="2"/>
        <v>49</v>
      </c>
      <c r="FV42" s="41">
        <v>26500</v>
      </c>
      <c r="FW42" s="41">
        <v>148.4</v>
      </c>
      <c r="FX42" s="41"/>
      <c r="FY42" s="29">
        <v>0</v>
      </c>
      <c r="FZ42" s="29">
        <v>0</v>
      </c>
      <c r="GA42" s="30">
        <v>0</v>
      </c>
      <c r="GB42" s="30">
        <v>0</v>
      </c>
      <c r="GC42" s="29">
        <v>0</v>
      </c>
      <c r="GD42" s="41">
        <v>0</v>
      </c>
      <c r="GE42" s="29">
        <v>0</v>
      </c>
      <c r="GF42" s="29">
        <v>0</v>
      </c>
      <c r="GG42" s="29">
        <v>0</v>
      </c>
      <c r="GH42" s="29">
        <v>0</v>
      </c>
      <c r="GI42" s="29">
        <v>0</v>
      </c>
      <c r="GJ42" s="29">
        <v>0</v>
      </c>
      <c r="GK42" s="29">
        <v>0</v>
      </c>
      <c r="GL42" s="29">
        <v>0</v>
      </c>
      <c r="GM42" s="29">
        <v>0</v>
      </c>
      <c r="GN42" s="29">
        <v>0</v>
      </c>
      <c r="GO42" s="29">
        <v>0</v>
      </c>
      <c r="GP42" s="29">
        <v>0</v>
      </c>
      <c r="GQ42" s="29">
        <v>0</v>
      </c>
      <c r="GR42" s="18">
        <v>1</v>
      </c>
      <c r="GS42" s="41">
        <v>2</v>
      </c>
      <c r="GT42" s="41" t="str">
        <f t="shared" si="3"/>
        <v>PURO</v>
      </c>
      <c r="GU42" s="41">
        <v>818</v>
      </c>
      <c r="GV42" s="41">
        <v>57</v>
      </c>
      <c r="GW42" s="41">
        <v>0</v>
      </c>
      <c r="GX42" s="41">
        <v>7.42</v>
      </c>
      <c r="GY42" s="41"/>
      <c r="GZ42" s="41">
        <v>0</v>
      </c>
      <c r="HA42" s="41">
        <v>0</v>
      </c>
      <c r="HB42" s="42">
        <v>0</v>
      </c>
      <c r="HC42" s="42">
        <v>0</v>
      </c>
      <c r="HD42" s="41">
        <v>0</v>
      </c>
      <c r="HE42" s="41">
        <v>0</v>
      </c>
      <c r="HF42" s="41">
        <v>0</v>
      </c>
      <c r="HG42" s="41">
        <v>0</v>
      </c>
      <c r="HH42" s="41">
        <v>0</v>
      </c>
      <c r="HI42" s="41">
        <v>0</v>
      </c>
      <c r="HJ42" s="41">
        <v>0</v>
      </c>
      <c r="HK42" s="41">
        <v>0</v>
      </c>
      <c r="HL42" s="41">
        <v>0</v>
      </c>
      <c r="HM42" s="41">
        <v>0</v>
      </c>
      <c r="HN42" s="41">
        <v>0</v>
      </c>
      <c r="HO42" s="41">
        <v>0</v>
      </c>
      <c r="HP42" s="41">
        <v>0</v>
      </c>
      <c r="HQ42" s="41">
        <v>0</v>
      </c>
      <c r="HR42" s="41">
        <v>0</v>
      </c>
      <c r="HS42" s="24">
        <v>1</v>
      </c>
      <c r="HT42" s="41">
        <v>3</v>
      </c>
      <c r="HU42" s="41" t="str">
        <f t="shared" si="4"/>
        <v>PUDT</v>
      </c>
      <c r="HV42" s="41">
        <v>818</v>
      </c>
      <c r="HW42" s="41">
        <v>57</v>
      </c>
      <c r="HX42" s="41">
        <v>0</v>
      </c>
      <c r="HY42" s="41">
        <v>20.14</v>
      </c>
      <c r="HZ42" s="42"/>
      <c r="IA42" s="41">
        <v>0</v>
      </c>
      <c r="IB42" s="41">
        <v>0</v>
      </c>
      <c r="IC42" s="42">
        <v>0</v>
      </c>
      <c r="ID42" s="42">
        <v>0</v>
      </c>
      <c r="IE42" s="41">
        <v>0</v>
      </c>
      <c r="IF42" s="43">
        <v>0</v>
      </c>
      <c r="IG42" s="41">
        <v>0</v>
      </c>
      <c r="IH42" s="41">
        <v>0</v>
      </c>
      <c r="II42" s="41">
        <v>0</v>
      </c>
      <c r="IJ42" s="41">
        <v>0</v>
      </c>
      <c r="IK42" s="41">
        <v>0</v>
      </c>
      <c r="IL42" s="41">
        <v>0</v>
      </c>
      <c r="IM42" s="41">
        <v>0</v>
      </c>
      <c r="IN42" s="41">
        <v>0</v>
      </c>
      <c r="IO42" s="41">
        <v>0</v>
      </c>
      <c r="IP42" s="41">
        <v>0</v>
      </c>
      <c r="IQ42" s="41">
        <v>0</v>
      </c>
      <c r="IR42" s="41">
        <v>0</v>
      </c>
      <c r="IS42" s="41">
        <v>0</v>
      </c>
      <c r="IT42" s="17">
        <v>1</v>
      </c>
      <c r="IU42" s="41">
        <v>4</v>
      </c>
      <c r="IV42" s="41" t="str">
        <f t="shared" si="5"/>
        <v>PUDS</v>
      </c>
      <c r="IW42" s="41">
        <v>818</v>
      </c>
      <c r="IX42" s="41">
        <v>57</v>
      </c>
      <c r="IY42" s="41">
        <v>0</v>
      </c>
      <c r="IZ42" s="41">
        <v>9.5399999999999991</v>
      </c>
      <c r="JA42" s="42"/>
      <c r="JB42" s="41">
        <v>0</v>
      </c>
      <c r="JC42" s="41">
        <v>0</v>
      </c>
      <c r="JD42" s="42">
        <v>0</v>
      </c>
      <c r="JE42" s="42">
        <v>0</v>
      </c>
      <c r="JF42" s="41">
        <v>0</v>
      </c>
      <c r="JG42" s="41">
        <v>0</v>
      </c>
      <c r="JH42" s="41">
        <v>0</v>
      </c>
      <c r="JI42" s="41">
        <v>0</v>
      </c>
      <c r="JJ42" s="41">
        <v>0</v>
      </c>
      <c r="JK42" s="41">
        <v>0</v>
      </c>
      <c r="JL42" s="41">
        <v>0</v>
      </c>
      <c r="JM42" s="41">
        <v>0</v>
      </c>
      <c r="JN42" s="41">
        <v>0</v>
      </c>
      <c r="JO42" s="41">
        <v>0</v>
      </c>
      <c r="JP42" s="41">
        <v>0</v>
      </c>
      <c r="JQ42" s="41">
        <v>0</v>
      </c>
      <c r="JR42" s="41">
        <v>0</v>
      </c>
      <c r="JS42" s="41">
        <v>0</v>
      </c>
      <c r="JT42" s="41">
        <v>0</v>
      </c>
      <c r="JU42"/>
    </row>
    <row r="43" spans="1:281" ht="15.75">
      <c r="A43" s="25">
        <v>37</v>
      </c>
      <c r="B43" s="25">
        <v>20190301</v>
      </c>
      <c r="C43" s="25"/>
      <c r="D43" s="25" t="s">
        <v>132</v>
      </c>
      <c r="E43" s="25" t="s">
        <v>132</v>
      </c>
      <c r="F43" s="25" t="s">
        <v>133</v>
      </c>
      <c r="G43" s="25"/>
      <c r="H43" s="25">
        <v>100000037</v>
      </c>
      <c r="I43" s="25" t="s">
        <v>134</v>
      </c>
      <c r="J43" s="25" t="s">
        <v>135</v>
      </c>
      <c r="K43" s="25" t="s">
        <v>132</v>
      </c>
      <c r="L43" s="25">
        <v>4</v>
      </c>
      <c r="M43" s="25">
        <v>1</v>
      </c>
      <c r="N43" s="25">
        <v>1</v>
      </c>
      <c r="O43" s="45" t="s">
        <v>146</v>
      </c>
      <c r="P43" s="25">
        <v>100</v>
      </c>
      <c r="Q43" s="25">
        <v>20180301</v>
      </c>
      <c r="R43" s="25">
        <v>20180301</v>
      </c>
      <c r="S43" s="25" t="s">
        <v>137</v>
      </c>
      <c r="T43" s="25" t="s">
        <v>143</v>
      </c>
      <c r="U43" s="25">
        <v>20190301</v>
      </c>
      <c r="V43" s="25">
        <v>6</v>
      </c>
      <c r="W43" s="25">
        <v>6</v>
      </c>
      <c r="X43" s="25" t="s">
        <v>139</v>
      </c>
      <c r="Y43" s="25">
        <v>0</v>
      </c>
      <c r="Z43" s="25" t="s">
        <v>140</v>
      </c>
      <c r="AA43" s="25">
        <v>818</v>
      </c>
      <c r="AB43" s="41">
        <v>0</v>
      </c>
      <c r="AC43" s="41">
        <v>12</v>
      </c>
      <c r="AD43" s="41">
        <v>20180201</v>
      </c>
      <c r="AE43" s="41">
        <v>0</v>
      </c>
      <c r="AF43" s="26">
        <v>30000</v>
      </c>
      <c r="AG43" s="41">
        <v>157</v>
      </c>
      <c r="AH43" s="26">
        <v>48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0</v>
      </c>
      <c r="AP43" s="26">
        <v>0</v>
      </c>
      <c r="AQ43" s="26">
        <v>0</v>
      </c>
      <c r="AR43" s="26">
        <v>0</v>
      </c>
      <c r="AS43" s="26">
        <v>0</v>
      </c>
      <c r="AT43" s="26">
        <v>0</v>
      </c>
      <c r="AU43" s="26">
        <v>0</v>
      </c>
      <c r="AV43" s="26">
        <v>0</v>
      </c>
      <c r="AW43" s="26">
        <v>0</v>
      </c>
      <c r="AX43" s="26">
        <v>0</v>
      </c>
      <c r="AY43" s="46">
        <v>1</v>
      </c>
      <c r="AZ43" s="25">
        <v>2</v>
      </c>
      <c r="BA43" s="41" t="s">
        <v>203</v>
      </c>
      <c r="BB43" s="41">
        <v>100</v>
      </c>
      <c r="BC43" s="41">
        <v>20180301</v>
      </c>
      <c r="BD43" s="41">
        <v>20180301</v>
      </c>
      <c r="BE43" s="41" t="s">
        <v>198</v>
      </c>
      <c r="BF43" s="41" t="s">
        <v>149</v>
      </c>
      <c r="BG43" s="41">
        <v>20180301</v>
      </c>
      <c r="BH43" s="41">
        <v>0</v>
      </c>
      <c r="BI43" s="41">
        <v>0</v>
      </c>
      <c r="BJ43" s="41"/>
      <c r="BK43" s="41">
        <v>0</v>
      </c>
      <c r="BL43" s="41" t="s">
        <v>140</v>
      </c>
      <c r="BM43" s="41">
        <v>818</v>
      </c>
      <c r="BN43" s="41">
        <v>0</v>
      </c>
      <c r="BO43" s="41">
        <v>12</v>
      </c>
      <c r="BP43" s="41">
        <v>20180201</v>
      </c>
      <c r="BQ43" s="41">
        <v>0</v>
      </c>
      <c r="BR43" s="41">
        <v>0</v>
      </c>
      <c r="BS43" s="41">
        <v>7</v>
      </c>
      <c r="BT43" s="25">
        <v>48</v>
      </c>
      <c r="BU43" s="25">
        <v>0</v>
      </c>
      <c r="BV43" s="25">
        <v>0</v>
      </c>
      <c r="BW43" s="25">
        <v>0</v>
      </c>
      <c r="BX43" s="25">
        <v>0</v>
      </c>
      <c r="BY43" s="25">
        <v>0</v>
      </c>
      <c r="BZ43" s="25">
        <v>0</v>
      </c>
      <c r="CA43" s="25">
        <v>0</v>
      </c>
      <c r="CB43" s="25">
        <v>0</v>
      </c>
      <c r="CC43" s="25">
        <v>0</v>
      </c>
      <c r="CD43" s="25">
        <v>0</v>
      </c>
      <c r="CE43" s="25">
        <v>0</v>
      </c>
      <c r="CF43" s="25">
        <v>0</v>
      </c>
      <c r="CG43" s="25">
        <v>0</v>
      </c>
      <c r="CH43" s="25">
        <v>0</v>
      </c>
      <c r="CI43" s="25">
        <v>0</v>
      </c>
      <c r="CJ43" s="25">
        <v>0</v>
      </c>
      <c r="CK43" s="22">
        <v>1</v>
      </c>
      <c r="CL43" s="25">
        <v>3</v>
      </c>
      <c r="CM43" s="41" t="s">
        <v>150</v>
      </c>
      <c r="CN43" s="41">
        <v>100</v>
      </c>
      <c r="CO43" s="41">
        <v>20180301</v>
      </c>
      <c r="CP43" s="41">
        <v>20180301</v>
      </c>
      <c r="CQ43" s="41" t="s">
        <v>198</v>
      </c>
      <c r="CR43" s="41" t="s">
        <v>200</v>
      </c>
      <c r="CS43" s="41">
        <v>20180301</v>
      </c>
      <c r="CT43" s="41">
        <v>0</v>
      </c>
      <c r="CU43" s="41">
        <v>0</v>
      </c>
      <c r="CV43" s="41"/>
      <c r="CW43" s="41">
        <v>0</v>
      </c>
      <c r="CX43" s="41" t="s">
        <v>140</v>
      </c>
      <c r="CY43" s="41">
        <v>818</v>
      </c>
      <c r="CZ43" s="41">
        <v>0</v>
      </c>
      <c r="DA43" s="41">
        <v>12</v>
      </c>
      <c r="DB43" s="41">
        <v>20180201</v>
      </c>
      <c r="DC43" s="41">
        <v>0</v>
      </c>
      <c r="DD43" s="41">
        <v>0</v>
      </c>
      <c r="DE43" s="41">
        <v>20</v>
      </c>
      <c r="DF43" s="25">
        <v>48</v>
      </c>
      <c r="DG43" s="25">
        <v>0</v>
      </c>
      <c r="DH43" s="25">
        <v>0</v>
      </c>
      <c r="DI43" s="25">
        <v>0</v>
      </c>
      <c r="DJ43" s="25">
        <v>0</v>
      </c>
      <c r="DK43" s="25">
        <v>0</v>
      </c>
      <c r="DL43" s="25">
        <v>0</v>
      </c>
      <c r="DM43" s="25">
        <v>0</v>
      </c>
      <c r="DN43" s="25">
        <v>0</v>
      </c>
      <c r="DO43" s="25">
        <v>0</v>
      </c>
      <c r="DP43" s="25">
        <v>0</v>
      </c>
      <c r="DQ43" s="25">
        <v>0</v>
      </c>
      <c r="DR43" s="25">
        <v>0</v>
      </c>
      <c r="DS43" s="25">
        <v>0</v>
      </c>
      <c r="DT43" s="25">
        <v>0</v>
      </c>
      <c r="DU43" s="25">
        <v>0</v>
      </c>
      <c r="DV43" s="25">
        <v>0</v>
      </c>
      <c r="DW43" s="23">
        <v>1</v>
      </c>
      <c r="DX43" s="25">
        <v>4</v>
      </c>
      <c r="DY43" s="41" t="s">
        <v>151</v>
      </c>
      <c r="DZ43" s="41">
        <v>100</v>
      </c>
      <c r="EA43" s="41">
        <v>20180301</v>
      </c>
      <c r="EB43" s="41">
        <v>20180301</v>
      </c>
      <c r="EC43" s="41" t="s">
        <v>198</v>
      </c>
      <c r="ED43" s="41" t="s">
        <v>201</v>
      </c>
      <c r="EE43" s="41">
        <v>20180301</v>
      </c>
      <c r="EF43" s="41">
        <v>0</v>
      </c>
      <c r="EG43" s="41">
        <v>0</v>
      </c>
      <c r="EH43" s="41"/>
      <c r="EI43" s="41">
        <v>0</v>
      </c>
      <c r="EJ43" s="41" t="s">
        <v>140</v>
      </c>
      <c r="EK43" s="41">
        <v>818</v>
      </c>
      <c r="EL43" s="41">
        <v>0</v>
      </c>
      <c r="EM43" s="41">
        <v>12</v>
      </c>
      <c r="EN43" s="41">
        <v>20180201</v>
      </c>
      <c r="EO43" s="41">
        <v>0</v>
      </c>
      <c r="EP43" s="41">
        <v>0</v>
      </c>
      <c r="EQ43" s="41">
        <v>9</v>
      </c>
      <c r="ER43" s="25">
        <v>48</v>
      </c>
      <c r="ES43" s="25">
        <v>0</v>
      </c>
      <c r="ET43" s="25">
        <v>0</v>
      </c>
      <c r="EU43" s="25">
        <v>0</v>
      </c>
      <c r="EV43" s="25">
        <v>0</v>
      </c>
      <c r="EW43" s="25">
        <v>0</v>
      </c>
      <c r="EX43" s="25">
        <v>0</v>
      </c>
      <c r="EY43" s="25">
        <v>0</v>
      </c>
      <c r="EZ43" s="25">
        <v>0</v>
      </c>
      <c r="FA43" s="25">
        <v>0</v>
      </c>
      <c r="FB43" s="25">
        <v>0</v>
      </c>
      <c r="FC43" s="25">
        <v>0</v>
      </c>
      <c r="FD43" s="25">
        <v>0</v>
      </c>
      <c r="FE43" s="25">
        <v>0</v>
      </c>
      <c r="FF43" s="25">
        <v>0</v>
      </c>
      <c r="FG43" s="25">
        <v>0</v>
      </c>
      <c r="FH43" s="25">
        <v>0</v>
      </c>
      <c r="FI43" s="25">
        <v>1</v>
      </c>
      <c r="FJ43" s="25">
        <v>1</v>
      </c>
      <c r="FK43" s="25">
        <v>1</v>
      </c>
      <c r="FL43" s="25">
        <v>48</v>
      </c>
      <c r="FM43" s="25" t="s">
        <v>137</v>
      </c>
      <c r="FN43" s="25">
        <v>19710101</v>
      </c>
      <c r="FP43" s="28">
        <v>4</v>
      </c>
      <c r="FQ43" s="47">
        <v>1</v>
      </c>
      <c r="FR43" s="41">
        <v>1</v>
      </c>
      <c r="FS43" s="41" t="str">
        <f t="shared" si="0"/>
        <v>MFPA</v>
      </c>
      <c r="FT43" s="41">
        <f t="shared" si="1"/>
        <v>818</v>
      </c>
      <c r="FU43" s="41">
        <f t="shared" si="2"/>
        <v>48</v>
      </c>
      <c r="FV43" s="41">
        <v>31800</v>
      </c>
      <c r="FW43" s="41">
        <v>166.42</v>
      </c>
      <c r="FX43" s="41"/>
      <c r="FY43" s="29">
        <v>0</v>
      </c>
      <c r="FZ43" s="29">
        <v>0</v>
      </c>
      <c r="GA43" s="30">
        <v>0</v>
      </c>
      <c r="GB43" s="30">
        <v>0</v>
      </c>
      <c r="GC43" s="29">
        <v>0</v>
      </c>
      <c r="GD43" s="41">
        <v>0</v>
      </c>
      <c r="GE43" s="29">
        <v>0</v>
      </c>
      <c r="GF43" s="29">
        <v>0</v>
      </c>
      <c r="GG43" s="29">
        <v>0</v>
      </c>
      <c r="GH43" s="29">
        <v>0</v>
      </c>
      <c r="GI43" s="29">
        <v>0</v>
      </c>
      <c r="GJ43" s="29">
        <v>0</v>
      </c>
      <c r="GK43" s="29">
        <v>0</v>
      </c>
      <c r="GL43" s="29">
        <v>0</v>
      </c>
      <c r="GM43" s="29">
        <v>0</v>
      </c>
      <c r="GN43" s="29">
        <v>0</v>
      </c>
      <c r="GO43" s="29">
        <v>0</v>
      </c>
      <c r="GP43" s="29">
        <v>0</v>
      </c>
      <c r="GQ43" s="29">
        <v>0</v>
      </c>
      <c r="GR43" s="18">
        <v>1</v>
      </c>
      <c r="GS43" s="41">
        <v>2</v>
      </c>
      <c r="GT43" s="41" t="str">
        <f t="shared" si="3"/>
        <v>PURO</v>
      </c>
      <c r="GU43" s="41">
        <v>818</v>
      </c>
      <c r="GV43" s="41">
        <v>58</v>
      </c>
      <c r="GW43" s="41">
        <v>0</v>
      </c>
      <c r="GX43" s="41">
        <v>7.42</v>
      </c>
      <c r="GY43" s="41"/>
      <c r="GZ43" s="41">
        <v>0</v>
      </c>
      <c r="HA43" s="41">
        <v>0</v>
      </c>
      <c r="HB43" s="42">
        <v>0</v>
      </c>
      <c r="HC43" s="42">
        <v>0</v>
      </c>
      <c r="HD43" s="41">
        <v>0</v>
      </c>
      <c r="HE43" s="41">
        <v>0</v>
      </c>
      <c r="HF43" s="41">
        <v>0</v>
      </c>
      <c r="HG43" s="41">
        <v>0</v>
      </c>
      <c r="HH43" s="41">
        <v>0</v>
      </c>
      <c r="HI43" s="41">
        <v>0</v>
      </c>
      <c r="HJ43" s="41">
        <v>0</v>
      </c>
      <c r="HK43" s="41">
        <v>0</v>
      </c>
      <c r="HL43" s="41">
        <v>0</v>
      </c>
      <c r="HM43" s="41">
        <v>0</v>
      </c>
      <c r="HN43" s="41">
        <v>0</v>
      </c>
      <c r="HO43" s="41">
        <v>0</v>
      </c>
      <c r="HP43" s="41">
        <v>0</v>
      </c>
      <c r="HQ43" s="41">
        <v>0</v>
      </c>
      <c r="HR43" s="41">
        <v>0</v>
      </c>
      <c r="HS43" s="24">
        <v>1</v>
      </c>
      <c r="HT43" s="41">
        <v>3</v>
      </c>
      <c r="HU43" s="41" t="str">
        <f t="shared" si="4"/>
        <v>PUDT</v>
      </c>
      <c r="HV43" s="41">
        <v>818</v>
      </c>
      <c r="HW43" s="41">
        <v>58</v>
      </c>
      <c r="HX43" s="41">
        <v>0</v>
      </c>
      <c r="HY43" s="41">
        <v>21.2</v>
      </c>
      <c r="HZ43" s="42"/>
      <c r="IA43" s="41">
        <v>0</v>
      </c>
      <c r="IB43" s="41">
        <v>0</v>
      </c>
      <c r="IC43" s="42">
        <v>0</v>
      </c>
      <c r="ID43" s="42">
        <v>0</v>
      </c>
      <c r="IE43" s="41">
        <v>0</v>
      </c>
      <c r="IF43" s="43">
        <v>0</v>
      </c>
      <c r="IG43" s="41">
        <v>0</v>
      </c>
      <c r="IH43" s="41">
        <v>0</v>
      </c>
      <c r="II43" s="41">
        <v>0</v>
      </c>
      <c r="IJ43" s="41">
        <v>0</v>
      </c>
      <c r="IK43" s="41">
        <v>0</v>
      </c>
      <c r="IL43" s="41">
        <v>0</v>
      </c>
      <c r="IM43" s="41">
        <v>0</v>
      </c>
      <c r="IN43" s="41">
        <v>0</v>
      </c>
      <c r="IO43" s="41">
        <v>0</v>
      </c>
      <c r="IP43" s="41">
        <v>0</v>
      </c>
      <c r="IQ43" s="41">
        <v>0</v>
      </c>
      <c r="IR43" s="41">
        <v>0</v>
      </c>
      <c r="IS43" s="41">
        <v>0</v>
      </c>
      <c r="IT43" s="17">
        <v>1</v>
      </c>
      <c r="IU43" s="41">
        <v>4</v>
      </c>
      <c r="IV43" s="41" t="str">
        <f t="shared" si="5"/>
        <v>PUDS</v>
      </c>
      <c r="IW43" s="41">
        <v>818</v>
      </c>
      <c r="IX43" s="41">
        <v>58</v>
      </c>
      <c r="IY43" s="41">
        <v>0</v>
      </c>
      <c r="IZ43" s="41">
        <v>9.5399999999999991</v>
      </c>
      <c r="JA43" s="42"/>
      <c r="JB43" s="41">
        <v>0</v>
      </c>
      <c r="JC43" s="41">
        <v>0</v>
      </c>
      <c r="JD43" s="42">
        <v>0</v>
      </c>
      <c r="JE43" s="42">
        <v>0</v>
      </c>
      <c r="JF43" s="41">
        <v>0</v>
      </c>
      <c r="JG43" s="41">
        <v>0</v>
      </c>
      <c r="JH43" s="41">
        <v>0</v>
      </c>
      <c r="JI43" s="41">
        <v>0</v>
      </c>
      <c r="JJ43" s="41">
        <v>0</v>
      </c>
      <c r="JK43" s="41">
        <v>0</v>
      </c>
      <c r="JL43" s="41">
        <v>0</v>
      </c>
      <c r="JM43" s="41">
        <v>0</v>
      </c>
      <c r="JN43" s="41">
        <v>0</v>
      </c>
      <c r="JO43" s="41">
        <v>0</v>
      </c>
      <c r="JP43" s="41">
        <v>0</v>
      </c>
      <c r="JQ43" s="41">
        <v>0</v>
      </c>
      <c r="JR43" s="41">
        <v>0</v>
      </c>
      <c r="JS43" s="41">
        <v>0</v>
      </c>
      <c r="JT43" s="41">
        <v>0</v>
      </c>
      <c r="JU43"/>
    </row>
    <row r="44" spans="1:281" ht="15.75">
      <c r="A44" s="25">
        <v>38</v>
      </c>
      <c r="B44" s="25">
        <v>20190301</v>
      </c>
      <c r="C44" s="25"/>
      <c r="D44" s="25" t="s">
        <v>132</v>
      </c>
      <c r="E44" s="25" t="s">
        <v>132</v>
      </c>
      <c r="F44" s="25" t="s">
        <v>133</v>
      </c>
      <c r="G44" s="25"/>
      <c r="H44" s="25">
        <v>100000038</v>
      </c>
      <c r="I44" s="25" t="s">
        <v>134</v>
      </c>
      <c r="J44" s="25" t="s">
        <v>135</v>
      </c>
      <c r="K44" s="25" t="s">
        <v>132</v>
      </c>
      <c r="L44" s="25">
        <v>4</v>
      </c>
      <c r="M44" s="25">
        <v>1</v>
      </c>
      <c r="N44" s="25">
        <v>1</v>
      </c>
      <c r="O44" s="45" t="s">
        <v>146</v>
      </c>
      <c r="P44" s="25">
        <v>100</v>
      </c>
      <c r="Q44" s="25">
        <v>20180301</v>
      </c>
      <c r="R44" s="25">
        <v>20180301</v>
      </c>
      <c r="S44" s="25" t="s">
        <v>137</v>
      </c>
      <c r="T44" s="25" t="s">
        <v>143</v>
      </c>
      <c r="U44" s="25">
        <v>20190301</v>
      </c>
      <c r="V44" s="25">
        <v>6</v>
      </c>
      <c r="W44" s="25">
        <v>6</v>
      </c>
      <c r="X44" s="25" t="s">
        <v>139</v>
      </c>
      <c r="Y44" s="25">
        <v>0</v>
      </c>
      <c r="Z44" s="25" t="s">
        <v>140</v>
      </c>
      <c r="AA44" s="25">
        <v>818</v>
      </c>
      <c r="AB44" s="41">
        <v>0</v>
      </c>
      <c r="AC44" s="41">
        <v>12</v>
      </c>
      <c r="AD44" s="41">
        <v>20180201</v>
      </c>
      <c r="AE44" s="41">
        <v>0</v>
      </c>
      <c r="AF44" s="26">
        <v>35000</v>
      </c>
      <c r="AG44" s="41">
        <v>174</v>
      </c>
      <c r="AH44" s="26">
        <v>47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0</v>
      </c>
      <c r="AP44" s="26">
        <v>0</v>
      </c>
      <c r="AQ44" s="26">
        <v>0</v>
      </c>
      <c r="AR44" s="26">
        <v>0</v>
      </c>
      <c r="AS44" s="26">
        <v>0</v>
      </c>
      <c r="AT44" s="26">
        <v>0</v>
      </c>
      <c r="AU44" s="26">
        <v>0</v>
      </c>
      <c r="AV44" s="26">
        <v>0</v>
      </c>
      <c r="AW44" s="26">
        <v>0</v>
      </c>
      <c r="AX44" s="26">
        <v>0</v>
      </c>
      <c r="AY44" s="46">
        <v>1</v>
      </c>
      <c r="AZ44" s="25">
        <v>2</v>
      </c>
      <c r="BA44" s="41" t="s">
        <v>203</v>
      </c>
      <c r="BB44" s="41">
        <v>100</v>
      </c>
      <c r="BC44" s="41">
        <v>20180301</v>
      </c>
      <c r="BD44" s="41">
        <v>20180301</v>
      </c>
      <c r="BE44" s="41" t="s">
        <v>198</v>
      </c>
      <c r="BF44" s="41" t="s">
        <v>149</v>
      </c>
      <c r="BG44" s="41">
        <v>20180301</v>
      </c>
      <c r="BH44" s="41">
        <v>0</v>
      </c>
      <c r="BI44" s="41">
        <v>0</v>
      </c>
      <c r="BJ44" s="41"/>
      <c r="BK44" s="41">
        <v>0</v>
      </c>
      <c r="BL44" s="41" t="s">
        <v>140</v>
      </c>
      <c r="BM44" s="41">
        <v>818</v>
      </c>
      <c r="BN44" s="41">
        <v>0</v>
      </c>
      <c r="BO44" s="41">
        <v>12</v>
      </c>
      <c r="BP44" s="41">
        <v>20180201</v>
      </c>
      <c r="BQ44" s="41">
        <v>0</v>
      </c>
      <c r="BR44" s="41">
        <v>0</v>
      </c>
      <c r="BS44" s="41">
        <v>7</v>
      </c>
      <c r="BT44" s="25">
        <v>47</v>
      </c>
      <c r="BU44" s="25">
        <v>0</v>
      </c>
      <c r="BV44" s="25">
        <v>0</v>
      </c>
      <c r="BW44" s="25">
        <v>0</v>
      </c>
      <c r="BX44" s="25">
        <v>0</v>
      </c>
      <c r="BY44" s="25">
        <v>0</v>
      </c>
      <c r="BZ44" s="25">
        <v>0</v>
      </c>
      <c r="CA44" s="25">
        <v>0</v>
      </c>
      <c r="CB44" s="25">
        <v>0</v>
      </c>
      <c r="CC44" s="25">
        <v>0</v>
      </c>
      <c r="CD44" s="25">
        <v>0</v>
      </c>
      <c r="CE44" s="25">
        <v>0</v>
      </c>
      <c r="CF44" s="25">
        <v>0</v>
      </c>
      <c r="CG44" s="25">
        <v>0</v>
      </c>
      <c r="CH44" s="25">
        <v>0</v>
      </c>
      <c r="CI44" s="25">
        <v>0</v>
      </c>
      <c r="CJ44" s="25">
        <v>0</v>
      </c>
      <c r="CK44" s="22">
        <v>1</v>
      </c>
      <c r="CL44" s="25">
        <v>3</v>
      </c>
      <c r="CM44" s="41" t="s">
        <v>150</v>
      </c>
      <c r="CN44" s="41">
        <v>100</v>
      </c>
      <c r="CO44" s="41">
        <v>20180301</v>
      </c>
      <c r="CP44" s="41">
        <v>20180301</v>
      </c>
      <c r="CQ44" s="41" t="s">
        <v>198</v>
      </c>
      <c r="CR44" s="41" t="s">
        <v>200</v>
      </c>
      <c r="CS44" s="41">
        <v>20180301</v>
      </c>
      <c r="CT44" s="41">
        <v>0</v>
      </c>
      <c r="CU44" s="41">
        <v>0</v>
      </c>
      <c r="CV44" s="41"/>
      <c r="CW44" s="41">
        <v>0</v>
      </c>
      <c r="CX44" s="41" t="s">
        <v>140</v>
      </c>
      <c r="CY44" s="41">
        <v>818</v>
      </c>
      <c r="CZ44" s="41">
        <v>0</v>
      </c>
      <c r="DA44" s="41">
        <v>12</v>
      </c>
      <c r="DB44" s="41">
        <v>20180201</v>
      </c>
      <c r="DC44" s="41">
        <v>0</v>
      </c>
      <c r="DD44" s="41">
        <v>0</v>
      </c>
      <c r="DE44" s="41">
        <v>22</v>
      </c>
      <c r="DF44" s="25">
        <v>47</v>
      </c>
      <c r="DG44" s="25">
        <v>0</v>
      </c>
      <c r="DH44" s="25">
        <v>0</v>
      </c>
      <c r="DI44" s="25">
        <v>0</v>
      </c>
      <c r="DJ44" s="25">
        <v>0</v>
      </c>
      <c r="DK44" s="25">
        <v>0</v>
      </c>
      <c r="DL44" s="25">
        <v>0</v>
      </c>
      <c r="DM44" s="25">
        <v>0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0</v>
      </c>
      <c r="DV44" s="25">
        <v>0</v>
      </c>
      <c r="DW44" s="23">
        <v>1</v>
      </c>
      <c r="DX44" s="25">
        <v>4</v>
      </c>
      <c r="DY44" s="41" t="s">
        <v>151</v>
      </c>
      <c r="DZ44" s="41">
        <v>100</v>
      </c>
      <c r="EA44" s="41">
        <v>20180301</v>
      </c>
      <c r="EB44" s="41">
        <v>20180301</v>
      </c>
      <c r="EC44" s="41" t="s">
        <v>198</v>
      </c>
      <c r="ED44" s="41" t="s">
        <v>201</v>
      </c>
      <c r="EE44" s="41">
        <v>20180301</v>
      </c>
      <c r="EF44" s="41">
        <v>0</v>
      </c>
      <c r="EG44" s="41">
        <v>0</v>
      </c>
      <c r="EH44" s="41"/>
      <c r="EI44" s="41">
        <v>0</v>
      </c>
      <c r="EJ44" s="41" t="s">
        <v>140</v>
      </c>
      <c r="EK44" s="41">
        <v>818</v>
      </c>
      <c r="EL44" s="41">
        <v>0</v>
      </c>
      <c r="EM44" s="41">
        <v>12</v>
      </c>
      <c r="EN44" s="41">
        <v>20180201</v>
      </c>
      <c r="EO44" s="41">
        <v>0</v>
      </c>
      <c r="EP44" s="41">
        <v>0</v>
      </c>
      <c r="EQ44" s="41">
        <v>10</v>
      </c>
      <c r="ER44" s="25">
        <v>47</v>
      </c>
      <c r="ES44" s="25">
        <v>0</v>
      </c>
      <c r="ET44" s="25">
        <v>0</v>
      </c>
      <c r="EU44" s="25">
        <v>0</v>
      </c>
      <c r="EV44" s="25">
        <v>0</v>
      </c>
      <c r="EW44" s="25">
        <v>0</v>
      </c>
      <c r="EX44" s="25">
        <v>0</v>
      </c>
      <c r="EY44" s="25">
        <v>0</v>
      </c>
      <c r="EZ44" s="25">
        <v>0</v>
      </c>
      <c r="FA44" s="25">
        <v>0</v>
      </c>
      <c r="FB44" s="25">
        <v>0</v>
      </c>
      <c r="FC44" s="25">
        <v>0</v>
      </c>
      <c r="FD44" s="25">
        <v>0</v>
      </c>
      <c r="FE44" s="25">
        <v>0</v>
      </c>
      <c r="FF44" s="25">
        <v>0</v>
      </c>
      <c r="FG44" s="25">
        <v>0</v>
      </c>
      <c r="FH44" s="25">
        <v>0</v>
      </c>
      <c r="FI44" s="25">
        <v>1</v>
      </c>
      <c r="FJ44" s="25">
        <v>1</v>
      </c>
      <c r="FK44" s="25">
        <v>1</v>
      </c>
      <c r="FL44" s="25">
        <v>47</v>
      </c>
      <c r="FM44" s="25" t="s">
        <v>137</v>
      </c>
      <c r="FN44" s="25">
        <v>19720101</v>
      </c>
      <c r="FP44" s="28">
        <v>4</v>
      </c>
      <c r="FQ44" s="47">
        <v>1</v>
      </c>
      <c r="FR44" s="41">
        <v>1</v>
      </c>
      <c r="FS44" s="41" t="str">
        <f t="shared" si="0"/>
        <v>MFPA</v>
      </c>
      <c r="FT44" s="41">
        <f t="shared" si="1"/>
        <v>818</v>
      </c>
      <c r="FU44" s="41">
        <f t="shared" si="2"/>
        <v>47</v>
      </c>
      <c r="FV44" s="41">
        <v>37100</v>
      </c>
      <c r="FW44" s="41">
        <v>184.44</v>
      </c>
      <c r="FX44" s="41"/>
      <c r="FY44" s="29">
        <v>0</v>
      </c>
      <c r="FZ44" s="29">
        <v>0</v>
      </c>
      <c r="GA44" s="30">
        <v>0</v>
      </c>
      <c r="GB44" s="30">
        <v>0</v>
      </c>
      <c r="GC44" s="29">
        <v>0</v>
      </c>
      <c r="GD44" s="41">
        <v>0</v>
      </c>
      <c r="GE44" s="29">
        <v>0</v>
      </c>
      <c r="GF44" s="29">
        <v>0</v>
      </c>
      <c r="GG44" s="29">
        <v>0</v>
      </c>
      <c r="GH44" s="29">
        <v>0</v>
      </c>
      <c r="GI44" s="29">
        <v>0</v>
      </c>
      <c r="GJ44" s="29">
        <v>0</v>
      </c>
      <c r="GK44" s="29">
        <v>0</v>
      </c>
      <c r="GL44" s="29">
        <v>0</v>
      </c>
      <c r="GM44" s="29">
        <v>0</v>
      </c>
      <c r="GN44" s="29">
        <v>0</v>
      </c>
      <c r="GO44" s="29">
        <v>0</v>
      </c>
      <c r="GP44" s="29">
        <v>0</v>
      </c>
      <c r="GQ44" s="29">
        <v>0</v>
      </c>
      <c r="GR44" s="18">
        <v>1</v>
      </c>
      <c r="GS44" s="41">
        <v>2</v>
      </c>
      <c r="GT44" s="41" t="str">
        <f t="shared" si="3"/>
        <v>PURO</v>
      </c>
      <c r="GU44" s="41">
        <v>818</v>
      </c>
      <c r="GV44" s="41">
        <v>59</v>
      </c>
      <c r="GW44" s="41">
        <v>0</v>
      </c>
      <c r="GX44" s="41">
        <v>7.42</v>
      </c>
      <c r="GY44" s="41"/>
      <c r="GZ44" s="41">
        <v>0</v>
      </c>
      <c r="HA44" s="41">
        <v>0</v>
      </c>
      <c r="HB44" s="42">
        <v>0</v>
      </c>
      <c r="HC44" s="42">
        <v>0</v>
      </c>
      <c r="HD44" s="41">
        <v>0</v>
      </c>
      <c r="HE44" s="41">
        <v>0</v>
      </c>
      <c r="HF44" s="41">
        <v>0</v>
      </c>
      <c r="HG44" s="41">
        <v>0</v>
      </c>
      <c r="HH44" s="41">
        <v>0</v>
      </c>
      <c r="HI44" s="41">
        <v>0</v>
      </c>
      <c r="HJ44" s="41">
        <v>0</v>
      </c>
      <c r="HK44" s="41">
        <v>0</v>
      </c>
      <c r="HL44" s="41">
        <v>0</v>
      </c>
      <c r="HM44" s="41">
        <v>0</v>
      </c>
      <c r="HN44" s="41">
        <v>0</v>
      </c>
      <c r="HO44" s="41">
        <v>0</v>
      </c>
      <c r="HP44" s="41">
        <v>0</v>
      </c>
      <c r="HQ44" s="41">
        <v>0</v>
      </c>
      <c r="HR44" s="41">
        <v>0</v>
      </c>
      <c r="HS44" s="24">
        <v>1</v>
      </c>
      <c r="HT44" s="41">
        <v>3</v>
      </c>
      <c r="HU44" s="41" t="str">
        <f t="shared" si="4"/>
        <v>PUDT</v>
      </c>
      <c r="HV44" s="41">
        <v>818</v>
      </c>
      <c r="HW44" s="41">
        <v>59</v>
      </c>
      <c r="HX44" s="41">
        <v>0</v>
      </c>
      <c r="HY44" s="41">
        <v>23.32</v>
      </c>
      <c r="HZ44" s="42"/>
      <c r="IA44" s="41">
        <v>0</v>
      </c>
      <c r="IB44" s="41">
        <v>0</v>
      </c>
      <c r="IC44" s="42">
        <v>0</v>
      </c>
      <c r="ID44" s="42">
        <v>0</v>
      </c>
      <c r="IE44" s="41">
        <v>0</v>
      </c>
      <c r="IF44" s="43">
        <v>0</v>
      </c>
      <c r="IG44" s="41">
        <v>0</v>
      </c>
      <c r="IH44" s="41">
        <v>0</v>
      </c>
      <c r="II44" s="41">
        <v>0</v>
      </c>
      <c r="IJ44" s="41">
        <v>0</v>
      </c>
      <c r="IK44" s="41">
        <v>0</v>
      </c>
      <c r="IL44" s="41">
        <v>0</v>
      </c>
      <c r="IM44" s="41">
        <v>0</v>
      </c>
      <c r="IN44" s="41">
        <v>0</v>
      </c>
      <c r="IO44" s="41">
        <v>0</v>
      </c>
      <c r="IP44" s="41">
        <v>0</v>
      </c>
      <c r="IQ44" s="41">
        <v>0</v>
      </c>
      <c r="IR44" s="41">
        <v>0</v>
      </c>
      <c r="IS44" s="41">
        <v>0</v>
      </c>
      <c r="IT44" s="17">
        <v>1</v>
      </c>
      <c r="IU44" s="41">
        <v>4</v>
      </c>
      <c r="IV44" s="41" t="str">
        <f t="shared" si="5"/>
        <v>PUDS</v>
      </c>
      <c r="IW44" s="41">
        <v>818</v>
      </c>
      <c r="IX44" s="41">
        <v>59</v>
      </c>
      <c r="IY44" s="41">
        <v>0</v>
      </c>
      <c r="IZ44" s="41">
        <v>10.6</v>
      </c>
      <c r="JA44" s="42"/>
      <c r="JB44" s="41">
        <v>0</v>
      </c>
      <c r="JC44" s="41">
        <v>0</v>
      </c>
      <c r="JD44" s="42">
        <v>0</v>
      </c>
      <c r="JE44" s="42">
        <v>0</v>
      </c>
      <c r="JF44" s="41">
        <v>0</v>
      </c>
      <c r="JG44" s="41">
        <v>0</v>
      </c>
      <c r="JH44" s="41">
        <v>0</v>
      </c>
      <c r="JI44" s="41">
        <v>0</v>
      </c>
      <c r="JJ44" s="41">
        <v>0</v>
      </c>
      <c r="JK44" s="41">
        <v>0</v>
      </c>
      <c r="JL44" s="41">
        <v>0</v>
      </c>
      <c r="JM44" s="41">
        <v>0</v>
      </c>
      <c r="JN44" s="41">
        <v>0</v>
      </c>
      <c r="JO44" s="41">
        <v>0</v>
      </c>
      <c r="JP44" s="41">
        <v>0</v>
      </c>
      <c r="JQ44" s="41">
        <v>0</v>
      </c>
      <c r="JR44" s="41">
        <v>0</v>
      </c>
      <c r="JS44" s="41">
        <v>0</v>
      </c>
      <c r="JT44" s="41">
        <v>0</v>
      </c>
      <c r="JU44"/>
    </row>
    <row r="45" spans="1:281" ht="15.75">
      <c r="A45" s="25">
        <v>39</v>
      </c>
      <c r="B45" s="25">
        <v>20190301</v>
      </c>
      <c r="C45" s="25"/>
      <c r="D45" s="25" t="s">
        <v>132</v>
      </c>
      <c r="E45" s="25" t="s">
        <v>132</v>
      </c>
      <c r="F45" s="25" t="s">
        <v>133</v>
      </c>
      <c r="G45" s="25"/>
      <c r="H45" s="25">
        <v>100000039</v>
      </c>
      <c r="I45" s="25" t="s">
        <v>134</v>
      </c>
      <c r="J45" s="25" t="s">
        <v>135</v>
      </c>
      <c r="K45" s="25" t="s">
        <v>132</v>
      </c>
      <c r="L45" s="25">
        <v>4</v>
      </c>
      <c r="M45" s="25">
        <v>1</v>
      </c>
      <c r="N45" s="25">
        <v>1</v>
      </c>
      <c r="O45" s="45" t="s">
        <v>146</v>
      </c>
      <c r="P45" s="25">
        <v>100</v>
      </c>
      <c r="Q45" s="25">
        <v>20180301</v>
      </c>
      <c r="R45" s="25">
        <v>20180301</v>
      </c>
      <c r="S45" s="25" t="s">
        <v>137</v>
      </c>
      <c r="T45" s="25" t="s">
        <v>143</v>
      </c>
      <c r="U45" s="25">
        <v>20190301</v>
      </c>
      <c r="V45" s="25">
        <v>6</v>
      </c>
      <c r="W45" s="25">
        <v>6</v>
      </c>
      <c r="X45" s="25" t="s">
        <v>139</v>
      </c>
      <c r="Y45" s="25">
        <v>0</v>
      </c>
      <c r="Z45" s="25" t="s">
        <v>140</v>
      </c>
      <c r="AA45" s="25">
        <v>818</v>
      </c>
      <c r="AB45" s="41">
        <v>0</v>
      </c>
      <c r="AC45" s="41">
        <v>12</v>
      </c>
      <c r="AD45" s="41">
        <v>20180201</v>
      </c>
      <c r="AE45" s="41">
        <v>0</v>
      </c>
      <c r="AF45" s="26">
        <v>40000</v>
      </c>
      <c r="AG45" s="41">
        <v>191</v>
      </c>
      <c r="AH45" s="26">
        <v>46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  <c r="AP45" s="26">
        <v>0</v>
      </c>
      <c r="AQ45" s="26">
        <v>0</v>
      </c>
      <c r="AR45" s="26">
        <v>0</v>
      </c>
      <c r="AS45" s="26">
        <v>0</v>
      </c>
      <c r="AT45" s="26">
        <v>0</v>
      </c>
      <c r="AU45" s="26">
        <v>0</v>
      </c>
      <c r="AV45" s="26">
        <v>0</v>
      </c>
      <c r="AW45" s="26">
        <v>0</v>
      </c>
      <c r="AX45" s="26">
        <v>0</v>
      </c>
      <c r="AY45" s="46">
        <v>1</v>
      </c>
      <c r="AZ45" s="25">
        <v>2</v>
      </c>
      <c r="BA45" s="41" t="s">
        <v>203</v>
      </c>
      <c r="BB45" s="41">
        <v>100</v>
      </c>
      <c r="BC45" s="41">
        <v>20180301</v>
      </c>
      <c r="BD45" s="41">
        <v>20180301</v>
      </c>
      <c r="BE45" s="41" t="s">
        <v>198</v>
      </c>
      <c r="BF45" s="41" t="s">
        <v>149</v>
      </c>
      <c r="BG45" s="41">
        <v>20180301</v>
      </c>
      <c r="BH45" s="41">
        <v>0</v>
      </c>
      <c r="BI45" s="41">
        <v>0</v>
      </c>
      <c r="BJ45" s="41"/>
      <c r="BK45" s="41">
        <v>0</v>
      </c>
      <c r="BL45" s="41" t="s">
        <v>140</v>
      </c>
      <c r="BM45" s="41">
        <v>818</v>
      </c>
      <c r="BN45" s="41">
        <v>0</v>
      </c>
      <c r="BO45" s="41">
        <v>12</v>
      </c>
      <c r="BP45" s="41">
        <v>20180201</v>
      </c>
      <c r="BQ45" s="41">
        <v>0</v>
      </c>
      <c r="BR45" s="41">
        <v>0</v>
      </c>
      <c r="BS45" s="41">
        <v>7</v>
      </c>
      <c r="BT45" s="25">
        <v>46</v>
      </c>
      <c r="BU45" s="25">
        <v>0</v>
      </c>
      <c r="BV45" s="25">
        <v>0</v>
      </c>
      <c r="BW45" s="25">
        <v>0</v>
      </c>
      <c r="BX45" s="25">
        <v>0</v>
      </c>
      <c r="BY45" s="25">
        <v>0</v>
      </c>
      <c r="BZ45" s="25">
        <v>0</v>
      </c>
      <c r="CA45" s="25">
        <v>0</v>
      </c>
      <c r="CB45" s="25">
        <v>0</v>
      </c>
      <c r="CC45" s="25">
        <v>0</v>
      </c>
      <c r="CD45" s="25">
        <v>0</v>
      </c>
      <c r="CE45" s="25">
        <v>0</v>
      </c>
      <c r="CF45" s="25">
        <v>0</v>
      </c>
      <c r="CG45" s="25">
        <v>0</v>
      </c>
      <c r="CH45" s="25">
        <v>0</v>
      </c>
      <c r="CI45" s="25">
        <v>0</v>
      </c>
      <c r="CJ45" s="25">
        <v>0</v>
      </c>
      <c r="CK45" s="22">
        <v>1</v>
      </c>
      <c r="CL45" s="25">
        <v>3</v>
      </c>
      <c r="CM45" s="41" t="s">
        <v>150</v>
      </c>
      <c r="CN45" s="41">
        <v>100</v>
      </c>
      <c r="CO45" s="41">
        <v>20180301</v>
      </c>
      <c r="CP45" s="41">
        <v>20180301</v>
      </c>
      <c r="CQ45" s="41" t="s">
        <v>198</v>
      </c>
      <c r="CR45" s="41" t="s">
        <v>200</v>
      </c>
      <c r="CS45" s="41">
        <v>20180301</v>
      </c>
      <c r="CT45" s="41">
        <v>0</v>
      </c>
      <c r="CU45" s="41">
        <v>0</v>
      </c>
      <c r="CV45" s="41"/>
      <c r="CW45" s="41">
        <v>0</v>
      </c>
      <c r="CX45" s="41" t="s">
        <v>140</v>
      </c>
      <c r="CY45" s="41">
        <v>818</v>
      </c>
      <c r="CZ45" s="41">
        <v>0</v>
      </c>
      <c r="DA45" s="41">
        <v>12</v>
      </c>
      <c r="DB45" s="41">
        <v>20180201</v>
      </c>
      <c r="DC45" s="41">
        <v>0</v>
      </c>
      <c r="DD45" s="41">
        <v>0</v>
      </c>
      <c r="DE45" s="41">
        <v>23</v>
      </c>
      <c r="DF45" s="25">
        <v>46</v>
      </c>
      <c r="DG45" s="25">
        <v>0</v>
      </c>
      <c r="DH45" s="25">
        <v>0</v>
      </c>
      <c r="DI45" s="25">
        <v>0</v>
      </c>
      <c r="DJ45" s="25">
        <v>0</v>
      </c>
      <c r="DK45" s="25">
        <v>0</v>
      </c>
      <c r="DL45" s="25">
        <v>0</v>
      </c>
      <c r="DM45" s="25">
        <v>0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0</v>
      </c>
      <c r="DV45" s="25">
        <v>0</v>
      </c>
      <c r="DW45" s="23">
        <v>1</v>
      </c>
      <c r="DX45" s="25">
        <v>4</v>
      </c>
      <c r="DY45" s="41" t="s">
        <v>151</v>
      </c>
      <c r="DZ45" s="41">
        <v>100</v>
      </c>
      <c r="EA45" s="41">
        <v>20180301</v>
      </c>
      <c r="EB45" s="41">
        <v>20180301</v>
      </c>
      <c r="EC45" s="41" t="s">
        <v>198</v>
      </c>
      <c r="ED45" s="41" t="s">
        <v>201</v>
      </c>
      <c r="EE45" s="41">
        <v>20180301</v>
      </c>
      <c r="EF45" s="41">
        <v>0</v>
      </c>
      <c r="EG45" s="41">
        <v>0</v>
      </c>
      <c r="EH45" s="41"/>
      <c r="EI45" s="41">
        <v>0</v>
      </c>
      <c r="EJ45" s="41" t="s">
        <v>140</v>
      </c>
      <c r="EK45" s="41">
        <v>818</v>
      </c>
      <c r="EL45" s="41">
        <v>0</v>
      </c>
      <c r="EM45" s="41">
        <v>12</v>
      </c>
      <c r="EN45" s="41">
        <v>20180201</v>
      </c>
      <c r="EO45" s="41">
        <v>0</v>
      </c>
      <c r="EP45" s="41">
        <v>0</v>
      </c>
      <c r="EQ45" s="41">
        <v>10</v>
      </c>
      <c r="ER45" s="25">
        <v>46</v>
      </c>
      <c r="ES45" s="25">
        <v>0</v>
      </c>
      <c r="ET45" s="25">
        <v>0</v>
      </c>
      <c r="EU45" s="25">
        <v>0</v>
      </c>
      <c r="EV45" s="25">
        <v>0</v>
      </c>
      <c r="EW45" s="25">
        <v>0</v>
      </c>
      <c r="EX45" s="25">
        <v>0</v>
      </c>
      <c r="EY45" s="25">
        <v>0</v>
      </c>
      <c r="EZ45" s="25">
        <v>0</v>
      </c>
      <c r="FA45" s="25">
        <v>0</v>
      </c>
      <c r="FB45" s="25">
        <v>0</v>
      </c>
      <c r="FC45" s="25">
        <v>0</v>
      </c>
      <c r="FD45" s="25">
        <v>0</v>
      </c>
      <c r="FE45" s="25">
        <v>0</v>
      </c>
      <c r="FF45" s="25">
        <v>0</v>
      </c>
      <c r="FG45" s="25">
        <v>0</v>
      </c>
      <c r="FH45" s="25">
        <v>0</v>
      </c>
      <c r="FI45" s="25">
        <v>1</v>
      </c>
      <c r="FJ45" s="25">
        <v>1</v>
      </c>
      <c r="FK45" s="25">
        <v>1</v>
      </c>
      <c r="FL45" s="25">
        <v>46</v>
      </c>
      <c r="FM45" s="25" t="s">
        <v>137</v>
      </c>
      <c r="FN45" s="25">
        <v>19730101</v>
      </c>
      <c r="FP45" s="28">
        <v>4</v>
      </c>
      <c r="FQ45" s="47">
        <v>1</v>
      </c>
      <c r="FR45" s="41">
        <v>1</v>
      </c>
      <c r="FS45" s="41" t="str">
        <f t="shared" si="0"/>
        <v>MFPA</v>
      </c>
      <c r="FT45" s="41">
        <f t="shared" si="1"/>
        <v>818</v>
      </c>
      <c r="FU45" s="41">
        <f t="shared" si="2"/>
        <v>46</v>
      </c>
      <c r="FV45" s="41">
        <v>42400</v>
      </c>
      <c r="FW45" s="41">
        <v>202.46</v>
      </c>
      <c r="FX45" s="41"/>
      <c r="FY45" s="29">
        <v>0</v>
      </c>
      <c r="FZ45" s="29">
        <v>0</v>
      </c>
      <c r="GA45" s="30">
        <v>0</v>
      </c>
      <c r="GB45" s="30">
        <v>0</v>
      </c>
      <c r="GC45" s="29">
        <v>0</v>
      </c>
      <c r="GD45" s="41">
        <v>0</v>
      </c>
      <c r="GE45" s="29">
        <v>0</v>
      </c>
      <c r="GF45" s="29">
        <v>0</v>
      </c>
      <c r="GG45" s="29">
        <v>0</v>
      </c>
      <c r="GH45" s="29">
        <v>0</v>
      </c>
      <c r="GI45" s="29">
        <v>0</v>
      </c>
      <c r="GJ45" s="29">
        <v>0</v>
      </c>
      <c r="GK45" s="29">
        <v>0</v>
      </c>
      <c r="GL45" s="29">
        <v>0</v>
      </c>
      <c r="GM45" s="29">
        <v>0</v>
      </c>
      <c r="GN45" s="29">
        <v>0</v>
      </c>
      <c r="GO45" s="29">
        <v>0</v>
      </c>
      <c r="GP45" s="29">
        <v>0</v>
      </c>
      <c r="GQ45" s="29">
        <v>0</v>
      </c>
      <c r="GR45" s="18">
        <v>1</v>
      </c>
      <c r="GS45" s="41">
        <v>2</v>
      </c>
      <c r="GT45" s="41" t="str">
        <f t="shared" si="3"/>
        <v>PURO</v>
      </c>
      <c r="GU45" s="41">
        <v>818</v>
      </c>
      <c r="GV45" s="41">
        <v>60</v>
      </c>
      <c r="GW45" s="41">
        <v>0</v>
      </c>
      <c r="GX45" s="41">
        <v>7.42</v>
      </c>
      <c r="GY45" s="41"/>
      <c r="GZ45" s="41">
        <v>0</v>
      </c>
      <c r="HA45" s="41">
        <v>0</v>
      </c>
      <c r="HB45" s="42">
        <v>0</v>
      </c>
      <c r="HC45" s="42">
        <v>0</v>
      </c>
      <c r="HD45" s="41">
        <v>0</v>
      </c>
      <c r="HE45" s="41">
        <v>0</v>
      </c>
      <c r="HF45" s="41">
        <v>0</v>
      </c>
      <c r="HG45" s="41">
        <v>0</v>
      </c>
      <c r="HH45" s="41">
        <v>0</v>
      </c>
      <c r="HI45" s="41">
        <v>0</v>
      </c>
      <c r="HJ45" s="41">
        <v>0</v>
      </c>
      <c r="HK45" s="41">
        <v>0</v>
      </c>
      <c r="HL45" s="41">
        <v>0</v>
      </c>
      <c r="HM45" s="41">
        <v>0</v>
      </c>
      <c r="HN45" s="41">
        <v>0</v>
      </c>
      <c r="HO45" s="41">
        <v>0</v>
      </c>
      <c r="HP45" s="41">
        <v>0</v>
      </c>
      <c r="HQ45" s="41">
        <v>0</v>
      </c>
      <c r="HR45" s="41">
        <v>0</v>
      </c>
      <c r="HS45" s="24">
        <v>1</v>
      </c>
      <c r="HT45" s="41">
        <v>3</v>
      </c>
      <c r="HU45" s="41" t="str">
        <f t="shared" si="4"/>
        <v>PUDT</v>
      </c>
      <c r="HV45" s="41">
        <v>818</v>
      </c>
      <c r="HW45" s="41">
        <v>60</v>
      </c>
      <c r="HX45" s="41">
        <v>0</v>
      </c>
      <c r="HY45" s="41">
        <v>24.38</v>
      </c>
      <c r="HZ45" s="42"/>
      <c r="IA45" s="41">
        <v>0</v>
      </c>
      <c r="IB45" s="41">
        <v>0</v>
      </c>
      <c r="IC45" s="42">
        <v>0</v>
      </c>
      <c r="ID45" s="42">
        <v>0</v>
      </c>
      <c r="IE45" s="41">
        <v>0</v>
      </c>
      <c r="IF45" s="43">
        <v>0</v>
      </c>
      <c r="IG45" s="41">
        <v>0</v>
      </c>
      <c r="IH45" s="41">
        <v>0</v>
      </c>
      <c r="II45" s="41">
        <v>0</v>
      </c>
      <c r="IJ45" s="41">
        <v>0</v>
      </c>
      <c r="IK45" s="41">
        <v>0</v>
      </c>
      <c r="IL45" s="41">
        <v>0</v>
      </c>
      <c r="IM45" s="41">
        <v>0</v>
      </c>
      <c r="IN45" s="41">
        <v>0</v>
      </c>
      <c r="IO45" s="41">
        <v>0</v>
      </c>
      <c r="IP45" s="41">
        <v>0</v>
      </c>
      <c r="IQ45" s="41">
        <v>0</v>
      </c>
      <c r="IR45" s="41">
        <v>0</v>
      </c>
      <c r="IS45" s="41">
        <v>0</v>
      </c>
      <c r="IT45" s="17">
        <v>1</v>
      </c>
      <c r="IU45" s="41">
        <v>4</v>
      </c>
      <c r="IV45" s="41" t="str">
        <f t="shared" si="5"/>
        <v>PUDS</v>
      </c>
      <c r="IW45" s="41">
        <v>818</v>
      </c>
      <c r="IX45" s="41">
        <v>60</v>
      </c>
      <c r="IY45" s="41">
        <v>0</v>
      </c>
      <c r="IZ45" s="41">
        <v>10.6</v>
      </c>
      <c r="JA45" s="42"/>
      <c r="JB45" s="41">
        <v>0</v>
      </c>
      <c r="JC45" s="41">
        <v>0</v>
      </c>
      <c r="JD45" s="42">
        <v>0</v>
      </c>
      <c r="JE45" s="42">
        <v>0</v>
      </c>
      <c r="JF45" s="41">
        <v>0</v>
      </c>
      <c r="JG45" s="41">
        <v>0</v>
      </c>
      <c r="JH45" s="41">
        <v>0</v>
      </c>
      <c r="JI45" s="41">
        <v>0</v>
      </c>
      <c r="JJ45" s="41">
        <v>0</v>
      </c>
      <c r="JK45" s="41">
        <v>0</v>
      </c>
      <c r="JL45" s="41">
        <v>0</v>
      </c>
      <c r="JM45" s="41">
        <v>0</v>
      </c>
      <c r="JN45" s="41">
        <v>0</v>
      </c>
      <c r="JO45" s="41">
        <v>0</v>
      </c>
      <c r="JP45" s="41">
        <v>0</v>
      </c>
      <c r="JQ45" s="41">
        <v>0</v>
      </c>
      <c r="JR45" s="41">
        <v>0</v>
      </c>
      <c r="JS45" s="41">
        <v>0</v>
      </c>
      <c r="JT45" s="41">
        <v>0</v>
      </c>
      <c r="JU45"/>
    </row>
    <row r="46" spans="1:281" ht="15.75">
      <c r="A46" s="25">
        <v>40</v>
      </c>
      <c r="B46" s="25">
        <v>20190301</v>
      </c>
      <c r="C46" s="25"/>
      <c r="D46" s="25" t="s">
        <v>132</v>
      </c>
      <c r="E46" s="25" t="s">
        <v>132</v>
      </c>
      <c r="F46" s="25" t="s">
        <v>133</v>
      </c>
      <c r="G46" s="25"/>
      <c r="H46" s="25">
        <v>100000040</v>
      </c>
      <c r="I46" s="25" t="s">
        <v>134</v>
      </c>
      <c r="J46" s="25" t="s">
        <v>135</v>
      </c>
      <c r="K46" s="25" t="s">
        <v>132</v>
      </c>
      <c r="L46" s="25">
        <v>4</v>
      </c>
      <c r="M46" s="25">
        <v>1</v>
      </c>
      <c r="N46" s="25">
        <v>1</v>
      </c>
      <c r="O46" s="45" t="s">
        <v>146</v>
      </c>
      <c r="P46" s="25">
        <v>100</v>
      </c>
      <c r="Q46" s="25">
        <v>20180301</v>
      </c>
      <c r="R46" s="25">
        <v>20180301</v>
      </c>
      <c r="S46" s="25" t="s">
        <v>137</v>
      </c>
      <c r="T46" s="25" t="s">
        <v>145</v>
      </c>
      <c r="U46" s="25">
        <v>20190301</v>
      </c>
      <c r="V46" s="25">
        <v>6</v>
      </c>
      <c r="W46" s="25">
        <v>6</v>
      </c>
      <c r="X46" s="25" t="s">
        <v>139</v>
      </c>
      <c r="Y46" s="25">
        <v>0</v>
      </c>
      <c r="Z46" s="25" t="s">
        <v>140</v>
      </c>
      <c r="AA46" s="25">
        <v>818</v>
      </c>
      <c r="AB46" s="41">
        <v>0</v>
      </c>
      <c r="AC46" s="41">
        <v>12</v>
      </c>
      <c r="AD46" s="41">
        <v>20180201</v>
      </c>
      <c r="AE46" s="41">
        <v>0</v>
      </c>
      <c r="AF46" s="26">
        <v>45000</v>
      </c>
      <c r="AG46" s="41">
        <v>172</v>
      </c>
      <c r="AH46" s="26">
        <v>45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0</v>
      </c>
      <c r="AQ46" s="26">
        <v>0</v>
      </c>
      <c r="AR46" s="26">
        <v>0</v>
      </c>
      <c r="AS46" s="26">
        <v>0</v>
      </c>
      <c r="AT46" s="26">
        <v>0</v>
      </c>
      <c r="AU46" s="26">
        <v>0</v>
      </c>
      <c r="AV46" s="26">
        <v>0</v>
      </c>
      <c r="AW46" s="26">
        <v>0</v>
      </c>
      <c r="AX46" s="26">
        <v>0</v>
      </c>
      <c r="AY46" s="46">
        <v>1</v>
      </c>
      <c r="AZ46" s="25">
        <v>2</v>
      </c>
      <c r="BA46" s="41" t="s">
        <v>203</v>
      </c>
      <c r="BB46" s="41">
        <v>100</v>
      </c>
      <c r="BC46" s="41">
        <v>20180301</v>
      </c>
      <c r="BD46" s="41">
        <v>20180301</v>
      </c>
      <c r="BE46" s="41" t="s">
        <v>198</v>
      </c>
      <c r="BF46" s="41" t="s">
        <v>149</v>
      </c>
      <c r="BG46" s="41">
        <v>20180301</v>
      </c>
      <c r="BH46" s="41">
        <v>0</v>
      </c>
      <c r="BI46" s="41">
        <v>0</v>
      </c>
      <c r="BJ46" s="41"/>
      <c r="BK46" s="41">
        <v>0</v>
      </c>
      <c r="BL46" s="41" t="s">
        <v>140</v>
      </c>
      <c r="BM46" s="41">
        <v>818</v>
      </c>
      <c r="BN46" s="41">
        <v>0</v>
      </c>
      <c r="BO46" s="41">
        <v>12</v>
      </c>
      <c r="BP46" s="41">
        <v>20180201</v>
      </c>
      <c r="BQ46" s="41">
        <v>0</v>
      </c>
      <c r="BR46" s="41">
        <v>0</v>
      </c>
      <c r="BS46" s="41">
        <v>7</v>
      </c>
      <c r="BT46" s="25">
        <v>45</v>
      </c>
      <c r="BU46" s="25">
        <v>0</v>
      </c>
      <c r="BV46" s="25">
        <v>0</v>
      </c>
      <c r="BW46" s="25">
        <v>0</v>
      </c>
      <c r="BX46" s="25">
        <v>0</v>
      </c>
      <c r="BY46" s="25">
        <v>0</v>
      </c>
      <c r="BZ46" s="25">
        <v>0</v>
      </c>
      <c r="CA46" s="25">
        <v>0</v>
      </c>
      <c r="CB46" s="25">
        <v>0</v>
      </c>
      <c r="CC46" s="25">
        <v>0</v>
      </c>
      <c r="CD46" s="25">
        <v>0</v>
      </c>
      <c r="CE46" s="25">
        <v>0</v>
      </c>
      <c r="CF46" s="25">
        <v>0</v>
      </c>
      <c r="CG46" s="25">
        <v>0</v>
      </c>
      <c r="CH46" s="25">
        <v>0</v>
      </c>
      <c r="CI46" s="25">
        <v>0</v>
      </c>
      <c r="CJ46" s="25">
        <v>0</v>
      </c>
      <c r="CK46" s="22">
        <v>1</v>
      </c>
      <c r="CL46" s="25">
        <v>3</v>
      </c>
      <c r="CM46" s="41" t="s">
        <v>150</v>
      </c>
      <c r="CN46" s="41">
        <v>100</v>
      </c>
      <c r="CO46" s="41">
        <v>20180301</v>
      </c>
      <c r="CP46" s="41">
        <v>20180301</v>
      </c>
      <c r="CQ46" s="41" t="s">
        <v>198</v>
      </c>
      <c r="CR46" s="41" t="s">
        <v>200</v>
      </c>
      <c r="CS46" s="41">
        <v>20180301</v>
      </c>
      <c r="CT46" s="41">
        <v>0</v>
      </c>
      <c r="CU46" s="41">
        <v>0</v>
      </c>
      <c r="CV46" s="41"/>
      <c r="CW46" s="41">
        <v>0</v>
      </c>
      <c r="CX46" s="41" t="s">
        <v>140</v>
      </c>
      <c r="CY46" s="41">
        <v>818</v>
      </c>
      <c r="CZ46" s="41">
        <v>0</v>
      </c>
      <c r="DA46" s="41">
        <v>12</v>
      </c>
      <c r="DB46" s="41">
        <v>20180201</v>
      </c>
      <c r="DC46" s="41">
        <v>0</v>
      </c>
      <c r="DD46" s="41">
        <v>0</v>
      </c>
      <c r="DE46" s="41">
        <v>18</v>
      </c>
      <c r="DF46" s="25">
        <v>45</v>
      </c>
      <c r="DG46" s="25">
        <v>0</v>
      </c>
      <c r="DH46" s="25">
        <v>0</v>
      </c>
      <c r="DI46" s="25">
        <v>0</v>
      </c>
      <c r="DJ46" s="25">
        <v>0</v>
      </c>
      <c r="DK46" s="25">
        <v>0</v>
      </c>
      <c r="DL46" s="25">
        <v>0</v>
      </c>
      <c r="DM46" s="25">
        <v>0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0</v>
      </c>
      <c r="DV46" s="25">
        <v>0</v>
      </c>
      <c r="DW46" s="23">
        <v>1</v>
      </c>
      <c r="DX46" s="25">
        <v>4</v>
      </c>
      <c r="DY46" s="41" t="s">
        <v>151</v>
      </c>
      <c r="DZ46" s="41">
        <v>100</v>
      </c>
      <c r="EA46" s="41">
        <v>20180301</v>
      </c>
      <c r="EB46" s="41">
        <v>20180301</v>
      </c>
      <c r="EC46" s="41" t="s">
        <v>198</v>
      </c>
      <c r="ED46" s="41" t="s">
        <v>201</v>
      </c>
      <c r="EE46" s="41">
        <v>20180301</v>
      </c>
      <c r="EF46" s="41">
        <v>0</v>
      </c>
      <c r="EG46" s="41">
        <v>0</v>
      </c>
      <c r="EH46" s="41"/>
      <c r="EI46" s="41">
        <v>0</v>
      </c>
      <c r="EJ46" s="41" t="s">
        <v>140</v>
      </c>
      <c r="EK46" s="41">
        <v>818</v>
      </c>
      <c r="EL46" s="41">
        <v>0</v>
      </c>
      <c r="EM46" s="41">
        <v>12</v>
      </c>
      <c r="EN46" s="41">
        <v>20180201</v>
      </c>
      <c r="EO46" s="41">
        <v>0</v>
      </c>
      <c r="EP46" s="41">
        <v>0</v>
      </c>
      <c r="EQ46" s="41">
        <v>9</v>
      </c>
      <c r="ER46" s="25">
        <v>45</v>
      </c>
      <c r="ES46" s="25">
        <v>0</v>
      </c>
      <c r="ET46" s="25">
        <v>0</v>
      </c>
      <c r="EU46" s="25">
        <v>0</v>
      </c>
      <c r="EV46" s="25">
        <v>0</v>
      </c>
      <c r="EW46" s="25">
        <v>0</v>
      </c>
      <c r="EX46" s="25">
        <v>0</v>
      </c>
      <c r="EY46" s="25">
        <v>0</v>
      </c>
      <c r="EZ46" s="25">
        <v>0</v>
      </c>
      <c r="FA46" s="25">
        <v>0</v>
      </c>
      <c r="FB46" s="25">
        <v>0</v>
      </c>
      <c r="FC46" s="25">
        <v>0</v>
      </c>
      <c r="FD46" s="25">
        <v>0</v>
      </c>
      <c r="FE46" s="25">
        <v>0</v>
      </c>
      <c r="FF46" s="25">
        <v>0</v>
      </c>
      <c r="FG46" s="25">
        <v>0</v>
      </c>
      <c r="FH46" s="25">
        <v>0</v>
      </c>
      <c r="FI46" s="25">
        <v>1</v>
      </c>
      <c r="FJ46" s="25">
        <v>1</v>
      </c>
      <c r="FK46" s="25">
        <v>1</v>
      </c>
      <c r="FL46" s="25">
        <v>45</v>
      </c>
      <c r="FM46" s="25" t="s">
        <v>137</v>
      </c>
      <c r="FN46" s="25">
        <v>19740101</v>
      </c>
      <c r="FP46" s="28">
        <v>4</v>
      </c>
      <c r="FQ46" s="47">
        <v>1</v>
      </c>
      <c r="FR46" s="41">
        <v>1</v>
      </c>
      <c r="FS46" s="41" t="str">
        <f t="shared" si="0"/>
        <v>MFPA</v>
      </c>
      <c r="FT46" s="41">
        <f t="shared" si="1"/>
        <v>818</v>
      </c>
      <c r="FU46" s="41">
        <f t="shared" si="2"/>
        <v>45</v>
      </c>
      <c r="FV46" s="41">
        <v>47700</v>
      </c>
      <c r="FW46" s="41">
        <v>182.32</v>
      </c>
      <c r="FX46" s="41"/>
      <c r="FY46" s="29">
        <v>0</v>
      </c>
      <c r="FZ46" s="29">
        <v>0</v>
      </c>
      <c r="GA46" s="30">
        <v>0</v>
      </c>
      <c r="GB46" s="30">
        <v>0</v>
      </c>
      <c r="GC46" s="29">
        <v>0</v>
      </c>
      <c r="GD46" s="41">
        <v>0</v>
      </c>
      <c r="GE46" s="29">
        <v>0</v>
      </c>
      <c r="GF46" s="29">
        <v>0</v>
      </c>
      <c r="GG46" s="29">
        <v>0</v>
      </c>
      <c r="GH46" s="29">
        <v>0</v>
      </c>
      <c r="GI46" s="29">
        <v>0</v>
      </c>
      <c r="GJ46" s="29">
        <v>0</v>
      </c>
      <c r="GK46" s="29">
        <v>0</v>
      </c>
      <c r="GL46" s="29">
        <v>0</v>
      </c>
      <c r="GM46" s="29">
        <v>0</v>
      </c>
      <c r="GN46" s="29">
        <v>0</v>
      </c>
      <c r="GO46" s="29">
        <v>0</v>
      </c>
      <c r="GP46" s="29">
        <v>0</v>
      </c>
      <c r="GQ46" s="29">
        <v>0</v>
      </c>
      <c r="GR46" s="18">
        <v>1</v>
      </c>
      <c r="GS46" s="41">
        <v>2</v>
      </c>
      <c r="GT46" s="41" t="str">
        <f t="shared" si="3"/>
        <v>PURO</v>
      </c>
      <c r="GU46" s="41">
        <v>818</v>
      </c>
      <c r="GV46" s="41">
        <v>58</v>
      </c>
      <c r="GW46" s="41">
        <v>0</v>
      </c>
      <c r="GX46" s="41">
        <v>7.42</v>
      </c>
      <c r="GY46" s="41"/>
      <c r="GZ46" s="41">
        <v>0</v>
      </c>
      <c r="HA46" s="41">
        <v>0</v>
      </c>
      <c r="HB46" s="42">
        <v>0</v>
      </c>
      <c r="HC46" s="42">
        <v>0</v>
      </c>
      <c r="HD46" s="41">
        <v>0</v>
      </c>
      <c r="HE46" s="41">
        <v>0</v>
      </c>
      <c r="HF46" s="41">
        <v>0</v>
      </c>
      <c r="HG46" s="41">
        <v>0</v>
      </c>
      <c r="HH46" s="41">
        <v>0</v>
      </c>
      <c r="HI46" s="41">
        <v>0</v>
      </c>
      <c r="HJ46" s="41">
        <v>0</v>
      </c>
      <c r="HK46" s="41">
        <v>0</v>
      </c>
      <c r="HL46" s="41">
        <v>0</v>
      </c>
      <c r="HM46" s="41">
        <v>0</v>
      </c>
      <c r="HN46" s="41">
        <v>0</v>
      </c>
      <c r="HO46" s="41">
        <v>0</v>
      </c>
      <c r="HP46" s="41">
        <v>0</v>
      </c>
      <c r="HQ46" s="41">
        <v>0</v>
      </c>
      <c r="HR46" s="41">
        <v>0</v>
      </c>
      <c r="HS46" s="24">
        <v>1</v>
      </c>
      <c r="HT46" s="41">
        <v>3</v>
      </c>
      <c r="HU46" s="41" t="str">
        <f t="shared" si="4"/>
        <v>PUDT</v>
      </c>
      <c r="HV46" s="41">
        <v>818</v>
      </c>
      <c r="HW46" s="41">
        <v>58</v>
      </c>
      <c r="HX46" s="41">
        <v>0</v>
      </c>
      <c r="HY46" s="41">
        <v>19.079999999999998</v>
      </c>
      <c r="HZ46" s="42"/>
      <c r="IA46" s="41">
        <v>0</v>
      </c>
      <c r="IB46" s="41">
        <v>0</v>
      </c>
      <c r="IC46" s="42">
        <v>0</v>
      </c>
      <c r="ID46" s="42">
        <v>0</v>
      </c>
      <c r="IE46" s="41">
        <v>0</v>
      </c>
      <c r="IF46" s="43">
        <v>0</v>
      </c>
      <c r="IG46" s="41">
        <v>0</v>
      </c>
      <c r="IH46" s="41">
        <v>0</v>
      </c>
      <c r="II46" s="41">
        <v>0</v>
      </c>
      <c r="IJ46" s="41">
        <v>0</v>
      </c>
      <c r="IK46" s="41">
        <v>0</v>
      </c>
      <c r="IL46" s="41">
        <v>0</v>
      </c>
      <c r="IM46" s="41">
        <v>0</v>
      </c>
      <c r="IN46" s="41">
        <v>0</v>
      </c>
      <c r="IO46" s="41">
        <v>0</v>
      </c>
      <c r="IP46" s="41">
        <v>0</v>
      </c>
      <c r="IQ46" s="41">
        <v>0</v>
      </c>
      <c r="IR46" s="41">
        <v>0</v>
      </c>
      <c r="IS46" s="41">
        <v>0</v>
      </c>
      <c r="IT46" s="17">
        <v>1</v>
      </c>
      <c r="IU46" s="41">
        <v>4</v>
      </c>
      <c r="IV46" s="41" t="str">
        <f t="shared" si="5"/>
        <v>PUDS</v>
      </c>
      <c r="IW46" s="41">
        <v>818</v>
      </c>
      <c r="IX46" s="41">
        <v>58</v>
      </c>
      <c r="IY46" s="41">
        <v>0</v>
      </c>
      <c r="IZ46" s="41">
        <v>9.5399999999999991</v>
      </c>
      <c r="JA46" s="42"/>
      <c r="JB46" s="41">
        <v>0</v>
      </c>
      <c r="JC46" s="41">
        <v>0</v>
      </c>
      <c r="JD46" s="42">
        <v>0</v>
      </c>
      <c r="JE46" s="42">
        <v>0</v>
      </c>
      <c r="JF46" s="41">
        <v>0</v>
      </c>
      <c r="JG46" s="41">
        <v>0</v>
      </c>
      <c r="JH46" s="41">
        <v>0</v>
      </c>
      <c r="JI46" s="41">
        <v>0</v>
      </c>
      <c r="JJ46" s="41">
        <v>0</v>
      </c>
      <c r="JK46" s="41">
        <v>0</v>
      </c>
      <c r="JL46" s="41">
        <v>0</v>
      </c>
      <c r="JM46" s="41">
        <v>0</v>
      </c>
      <c r="JN46" s="41">
        <v>0</v>
      </c>
      <c r="JO46" s="41">
        <v>0</v>
      </c>
      <c r="JP46" s="41">
        <v>0</v>
      </c>
      <c r="JQ46" s="41">
        <v>0</v>
      </c>
      <c r="JR46" s="41">
        <v>0</v>
      </c>
      <c r="JS46" s="41">
        <v>0</v>
      </c>
      <c r="JT46" s="41">
        <v>0</v>
      </c>
      <c r="JU46"/>
    </row>
    <row r="47" spans="1:281" ht="15.75">
      <c r="A47" s="25">
        <v>41</v>
      </c>
      <c r="B47" s="25">
        <v>20190301</v>
      </c>
      <c r="C47" s="25"/>
      <c r="D47" s="25" t="s">
        <v>132</v>
      </c>
      <c r="E47" s="25" t="s">
        <v>132</v>
      </c>
      <c r="F47" s="25" t="s">
        <v>133</v>
      </c>
      <c r="G47" s="25"/>
      <c r="H47" s="25">
        <v>100000041</v>
      </c>
      <c r="I47" s="25" t="s">
        <v>134</v>
      </c>
      <c r="J47" s="25" t="s">
        <v>135</v>
      </c>
      <c r="K47" s="25" t="s">
        <v>132</v>
      </c>
      <c r="L47" s="25">
        <v>4</v>
      </c>
      <c r="M47" s="25">
        <v>1</v>
      </c>
      <c r="N47" s="25">
        <v>1</v>
      </c>
      <c r="O47" s="45" t="s">
        <v>146</v>
      </c>
      <c r="P47" s="25">
        <v>100</v>
      </c>
      <c r="Q47" s="25">
        <v>20180301</v>
      </c>
      <c r="R47" s="25">
        <v>20180301</v>
      </c>
      <c r="S47" s="25" t="s">
        <v>137</v>
      </c>
      <c r="T47" s="25" t="s">
        <v>138</v>
      </c>
      <c r="U47" s="25">
        <v>20190301</v>
      </c>
      <c r="V47" s="25">
        <v>10</v>
      </c>
      <c r="W47" s="25">
        <v>10</v>
      </c>
      <c r="X47" s="25" t="s">
        <v>139</v>
      </c>
      <c r="Y47" s="25">
        <v>0</v>
      </c>
      <c r="Z47" s="25" t="s">
        <v>140</v>
      </c>
      <c r="AA47" s="25">
        <v>818</v>
      </c>
      <c r="AB47" s="41">
        <v>0</v>
      </c>
      <c r="AC47" s="41">
        <v>12</v>
      </c>
      <c r="AD47" s="41">
        <v>20180201</v>
      </c>
      <c r="AE47" s="41">
        <v>0</v>
      </c>
      <c r="AF47" s="26">
        <v>50000</v>
      </c>
      <c r="AG47" s="41">
        <v>185</v>
      </c>
      <c r="AH47" s="26">
        <v>44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0</v>
      </c>
      <c r="AQ47" s="26">
        <v>0</v>
      </c>
      <c r="AR47" s="26">
        <v>0</v>
      </c>
      <c r="AS47" s="26">
        <v>0</v>
      </c>
      <c r="AT47" s="26">
        <v>0</v>
      </c>
      <c r="AU47" s="26">
        <v>0</v>
      </c>
      <c r="AV47" s="26">
        <v>0</v>
      </c>
      <c r="AW47" s="26">
        <v>0</v>
      </c>
      <c r="AX47" s="26">
        <v>0</v>
      </c>
      <c r="AY47" s="46">
        <v>1</v>
      </c>
      <c r="AZ47" s="25">
        <v>2</v>
      </c>
      <c r="BA47" s="41" t="s">
        <v>203</v>
      </c>
      <c r="BB47" s="41">
        <v>100</v>
      </c>
      <c r="BC47" s="41">
        <v>20180301</v>
      </c>
      <c r="BD47" s="41">
        <v>20180301</v>
      </c>
      <c r="BE47" s="41" t="s">
        <v>198</v>
      </c>
      <c r="BF47" s="41" t="s">
        <v>149</v>
      </c>
      <c r="BG47" s="41">
        <v>20180301</v>
      </c>
      <c r="BH47" s="41">
        <v>0</v>
      </c>
      <c r="BI47" s="41">
        <v>0</v>
      </c>
      <c r="BJ47" s="41"/>
      <c r="BK47" s="41">
        <v>0</v>
      </c>
      <c r="BL47" s="41" t="s">
        <v>140</v>
      </c>
      <c r="BM47" s="41">
        <v>818</v>
      </c>
      <c r="BN47" s="41">
        <v>0</v>
      </c>
      <c r="BO47" s="41">
        <v>12</v>
      </c>
      <c r="BP47" s="41">
        <v>20180201</v>
      </c>
      <c r="BQ47" s="41">
        <v>0</v>
      </c>
      <c r="BR47" s="41">
        <v>0</v>
      </c>
      <c r="BS47" s="41">
        <v>7</v>
      </c>
      <c r="BT47" s="25">
        <v>44</v>
      </c>
      <c r="BU47" s="25">
        <v>0</v>
      </c>
      <c r="BV47" s="25">
        <v>0</v>
      </c>
      <c r="BW47" s="25">
        <v>0</v>
      </c>
      <c r="BX47" s="25">
        <v>0</v>
      </c>
      <c r="BY47" s="25">
        <v>0</v>
      </c>
      <c r="BZ47" s="25">
        <v>0</v>
      </c>
      <c r="CA47" s="25">
        <v>0</v>
      </c>
      <c r="CB47" s="25">
        <v>0</v>
      </c>
      <c r="CC47" s="25">
        <v>0</v>
      </c>
      <c r="CD47" s="25">
        <v>0</v>
      </c>
      <c r="CE47" s="25">
        <v>0</v>
      </c>
      <c r="CF47" s="25">
        <v>0</v>
      </c>
      <c r="CG47" s="25">
        <v>0</v>
      </c>
      <c r="CH47" s="25">
        <v>0</v>
      </c>
      <c r="CI47" s="25">
        <v>0</v>
      </c>
      <c r="CJ47" s="25">
        <v>0</v>
      </c>
      <c r="CK47" s="22">
        <v>1</v>
      </c>
      <c r="CL47" s="25">
        <v>3</v>
      </c>
      <c r="CM47" s="41" t="s">
        <v>150</v>
      </c>
      <c r="CN47" s="41">
        <v>100</v>
      </c>
      <c r="CO47" s="41">
        <v>20180301</v>
      </c>
      <c r="CP47" s="41">
        <v>20180301</v>
      </c>
      <c r="CQ47" s="41" t="s">
        <v>198</v>
      </c>
      <c r="CR47" s="41" t="s">
        <v>200</v>
      </c>
      <c r="CS47" s="41">
        <v>20180301</v>
      </c>
      <c r="CT47" s="41">
        <v>0</v>
      </c>
      <c r="CU47" s="41">
        <v>0</v>
      </c>
      <c r="CV47" s="41"/>
      <c r="CW47" s="41">
        <v>0</v>
      </c>
      <c r="CX47" s="41" t="s">
        <v>140</v>
      </c>
      <c r="CY47" s="41">
        <v>818</v>
      </c>
      <c r="CZ47" s="41">
        <v>0</v>
      </c>
      <c r="DA47" s="41">
        <v>12</v>
      </c>
      <c r="DB47" s="41">
        <v>20180201</v>
      </c>
      <c r="DC47" s="41">
        <v>0</v>
      </c>
      <c r="DD47" s="41">
        <v>0</v>
      </c>
      <c r="DE47" s="41">
        <v>19</v>
      </c>
      <c r="DF47" s="25">
        <v>44</v>
      </c>
      <c r="DG47" s="25">
        <v>0</v>
      </c>
      <c r="DH47" s="25">
        <v>0</v>
      </c>
      <c r="DI47" s="25">
        <v>0</v>
      </c>
      <c r="DJ47" s="25">
        <v>0</v>
      </c>
      <c r="DK47" s="25">
        <v>0</v>
      </c>
      <c r="DL47" s="25">
        <v>0</v>
      </c>
      <c r="DM47" s="25">
        <v>0</v>
      </c>
      <c r="DN47" s="25">
        <v>0</v>
      </c>
      <c r="DO47" s="25">
        <v>0</v>
      </c>
      <c r="DP47" s="25">
        <v>0</v>
      </c>
      <c r="DQ47" s="25">
        <v>0</v>
      </c>
      <c r="DR47" s="25">
        <v>0</v>
      </c>
      <c r="DS47" s="25">
        <v>0</v>
      </c>
      <c r="DT47" s="25">
        <v>0</v>
      </c>
      <c r="DU47" s="25">
        <v>0</v>
      </c>
      <c r="DV47" s="25">
        <v>0</v>
      </c>
      <c r="DW47" s="23">
        <v>1</v>
      </c>
      <c r="DX47" s="25">
        <v>4</v>
      </c>
      <c r="DY47" s="41" t="s">
        <v>151</v>
      </c>
      <c r="DZ47" s="41">
        <v>100</v>
      </c>
      <c r="EA47" s="41">
        <v>20180301</v>
      </c>
      <c r="EB47" s="41">
        <v>20180301</v>
      </c>
      <c r="EC47" s="41" t="s">
        <v>198</v>
      </c>
      <c r="ED47" s="41" t="s">
        <v>201</v>
      </c>
      <c r="EE47" s="41">
        <v>20180301</v>
      </c>
      <c r="EF47" s="41">
        <v>0</v>
      </c>
      <c r="EG47" s="41">
        <v>0</v>
      </c>
      <c r="EH47" s="41"/>
      <c r="EI47" s="41">
        <v>0</v>
      </c>
      <c r="EJ47" s="41" t="s">
        <v>140</v>
      </c>
      <c r="EK47" s="41">
        <v>818</v>
      </c>
      <c r="EL47" s="41">
        <v>0</v>
      </c>
      <c r="EM47" s="41">
        <v>12</v>
      </c>
      <c r="EN47" s="41">
        <v>20180201</v>
      </c>
      <c r="EO47" s="41">
        <v>0</v>
      </c>
      <c r="EP47" s="41">
        <v>0</v>
      </c>
      <c r="EQ47" s="41">
        <v>9</v>
      </c>
      <c r="ER47" s="25">
        <v>44</v>
      </c>
      <c r="ES47" s="25">
        <v>0</v>
      </c>
      <c r="ET47" s="25">
        <v>0</v>
      </c>
      <c r="EU47" s="25">
        <v>0</v>
      </c>
      <c r="EV47" s="25">
        <v>0</v>
      </c>
      <c r="EW47" s="25">
        <v>0</v>
      </c>
      <c r="EX47" s="25">
        <v>0</v>
      </c>
      <c r="EY47" s="25">
        <v>0</v>
      </c>
      <c r="EZ47" s="25">
        <v>0</v>
      </c>
      <c r="FA47" s="25">
        <v>0</v>
      </c>
      <c r="FB47" s="25">
        <v>0</v>
      </c>
      <c r="FC47" s="25">
        <v>0</v>
      </c>
      <c r="FD47" s="25">
        <v>0</v>
      </c>
      <c r="FE47" s="25">
        <v>0</v>
      </c>
      <c r="FF47" s="25">
        <v>0</v>
      </c>
      <c r="FG47" s="25">
        <v>0</v>
      </c>
      <c r="FH47" s="25">
        <v>0</v>
      </c>
      <c r="FI47" s="25">
        <v>1</v>
      </c>
      <c r="FJ47" s="25">
        <v>1</v>
      </c>
      <c r="FK47" s="25">
        <v>1</v>
      </c>
      <c r="FL47" s="25">
        <v>44</v>
      </c>
      <c r="FM47" s="25" t="s">
        <v>137</v>
      </c>
      <c r="FN47" s="25">
        <v>19750101</v>
      </c>
      <c r="FP47" s="28">
        <v>4</v>
      </c>
      <c r="FQ47" s="47">
        <v>1</v>
      </c>
      <c r="FR47" s="41">
        <v>1</v>
      </c>
      <c r="FS47" s="41" t="str">
        <f t="shared" si="0"/>
        <v>MFPA</v>
      </c>
      <c r="FT47" s="41">
        <f t="shared" si="1"/>
        <v>818</v>
      </c>
      <c r="FU47" s="41">
        <f t="shared" si="2"/>
        <v>44</v>
      </c>
      <c r="FV47" s="41">
        <v>55000</v>
      </c>
      <c r="FW47" s="41">
        <v>203.5</v>
      </c>
      <c r="FX47" s="41"/>
      <c r="FY47" s="29">
        <v>0</v>
      </c>
      <c r="FZ47" s="29">
        <v>0</v>
      </c>
      <c r="GA47" s="30">
        <v>0</v>
      </c>
      <c r="GB47" s="30">
        <v>0</v>
      </c>
      <c r="GC47" s="29">
        <v>0</v>
      </c>
      <c r="GD47" s="41">
        <v>0</v>
      </c>
      <c r="GE47" s="29">
        <v>0</v>
      </c>
      <c r="GF47" s="29">
        <v>0</v>
      </c>
      <c r="GG47" s="29">
        <v>0</v>
      </c>
      <c r="GH47" s="29">
        <v>0</v>
      </c>
      <c r="GI47" s="29">
        <v>0</v>
      </c>
      <c r="GJ47" s="29">
        <v>0</v>
      </c>
      <c r="GK47" s="29">
        <v>0</v>
      </c>
      <c r="GL47" s="29">
        <v>0</v>
      </c>
      <c r="GM47" s="29">
        <v>0</v>
      </c>
      <c r="GN47" s="29">
        <v>0</v>
      </c>
      <c r="GO47" s="29">
        <v>0</v>
      </c>
      <c r="GP47" s="29">
        <v>0</v>
      </c>
      <c r="GQ47" s="29">
        <v>0</v>
      </c>
      <c r="GR47" s="18">
        <v>1</v>
      </c>
      <c r="GS47" s="41">
        <v>2</v>
      </c>
      <c r="GT47" s="41" t="str">
        <f t="shared" si="3"/>
        <v>PURO</v>
      </c>
      <c r="GU47" s="41">
        <v>818</v>
      </c>
      <c r="GV47" s="41">
        <v>60</v>
      </c>
      <c r="GW47" s="41">
        <v>0</v>
      </c>
      <c r="GX47" s="41">
        <v>7.7</v>
      </c>
      <c r="GY47" s="41"/>
      <c r="GZ47" s="41">
        <v>0</v>
      </c>
      <c r="HA47" s="41">
        <v>0</v>
      </c>
      <c r="HB47" s="42">
        <v>0</v>
      </c>
      <c r="HC47" s="42">
        <v>0</v>
      </c>
      <c r="HD47" s="41">
        <v>0</v>
      </c>
      <c r="HE47" s="41">
        <v>0</v>
      </c>
      <c r="HF47" s="41">
        <v>0</v>
      </c>
      <c r="HG47" s="41">
        <v>0</v>
      </c>
      <c r="HH47" s="41">
        <v>0</v>
      </c>
      <c r="HI47" s="41">
        <v>0</v>
      </c>
      <c r="HJ47" s="41">
        <v>0</v>
      </c>
      <c r="HK47" s="41">
        <v>0</v>
      </c>
      <c r="HL47" s="41">
        <v>0</v>
      </c>
      <c r="HM47" s="41">
        <v>0</v>
      </c>
      <c r="HN47" s="41">
        <v>0</v>
      </c>
      <c r="HO47" s="41">
        <v>0</v>
      </c>
      <c r="HP47" s="41">
        <v>0</v>
      </c>
      <c r="HQ47" s="41">
        <v>0</v>
      </c>
      <c r="HR47" s="41">
        <v>0</v>
      </c>
      <c r="HS47" s="24">
        <v>1</v>
      </c>
      <c r="HT47" s="41">
        <v>3</v>
      </c>
      <c r="HU47" s="41" t="str">
        <f t="shared" si="4"/>
        <v>PUDT</v>
      </c>
      <c r="HV47" s="41">
        <v>818</v>
      </c>
      <c r="HW47" s="41">
        <v>60</v>
      </c>
      <c r="HX47" s="41">
        <v>0</v>
      </c>
      <c r="HY47" s="41">
        <v>20.9</v>
      </c>
      <c r="HZ47" s="42"/>
      <c r="IA47" s="41">
        <v>0</v>
      </c>
      <c r="IB47" s="41">
        <v>0</v>
      </c>
      <c r="IC47" s="42">
        <v>0</v>
      </c>
      <c r="ID47" s="42">
        <v>0</v>
      </c>
      <c r="IE47" s="41">
        <v>0</v>
      </c>
      <c r="IF47" s="43">
        <v>0</v>
      </c>
      <c r="IG47" s="41">
        <v>0</v>
      </c>
      <c r="IH47" s="41">
        <v>0</v>
      </c>
      <c r="II47" s="41">
        <v>0</v>
      </c>
      <c r="IJ47" s="41">
        <v>0</v>
      </c>
      <c r="IK47" s="41">
        <v>0</v>
      </c>
      <c r="IL47" s="41">
        <v>0</v>
      </c>
      <c r="IM47" s="41">
        <v>0</v>
      </c>
      <c r="IN47" s="41">
        <v>0</v>
      </c>
      <c r="IO47" s="41">
        <v>0</v>
      </c>
      <c r="IP47" s="41">
        <v>0</v>
      </c>
      <c r="IQ47" s="41">
        <v>0</v>
      </c>
      <c r="IR47" s="41">
        <v>0</v>
      </c>
      <c r="IS47" s="41">
        <v>0</v>
      </c>
      <c r="IT47" s="17">
        <v>1</v>
      </c>
      <c r="IU47" s="41">
        <v>4</v>
      </c>
      <c r="IV47" s="41" t="str">
        <f t="shared" si="5"/>
        <v>PUDS</v>
      </c>
      <c r="IW47" s="41">
        <v>818</v>
      </c>
      <c r="IX47" s="41">
        <v>60</v>
      </c>
      <c r="IY47" s="41">
        <v>0</v>
      </c>
      <c r="IZ47" s="41">
        <v>9.9</v>
      </c>
      <c r="JA47" s="42"/>
      <c r="JB47" s="41">
        <v>0</v>
      </c>
      <c r="JC47" s="41">
        <v>0</v>
      </c>
      <c r="JD47" s="42">
        <v>0</v>
      </c>
      <c r="JE47" s="42">
        <v>0</v>
      </c>
      <c r="JF47" s="41">
        <v>0</v>
      </c>
      <c r="JG47" s="41">
        <v>0</v>
      </c>
      <c r="JH47" s="41">
        <v>0</v>
      </c>
      <c r="JI47" s="41">
        <v>0</v>
      </c>
      <c r="JJ47" s="41">
        <v>0</v>
      </c>
      <c r="JK47" s="41">
        <v>0</v>
      </c>
      <c r="JL47" s="41">
        <v>0</v>
      </c>
      <c r="JM47" s="41">
        <v>0</v>
      </c>
      <c r="JN47" s="41">
        <v>0</v>
      </c>
      <c r="JO47" s="41">
        <v>0</v>
      </c>
      <c r="JP47" s="41">
        <v>0</v>
      </c>
      <c r="JQ47" s="41">
        <v>0</v>
      </c>
      <c r="JR47" s="41">
        <v>0</v>
      </c>
      <c r="JS47" s="41">
        <v>0</v>
      </c>
      <c r="JT47" s="41">
        <v>0</v>
      </c>
      <c r="JU47"/>
    </row>
    <row r="48" spans="1:281" ht="15.75">
      <c r="A48" s="25">
        <v>42</v>
      </c>
      <c r="B48" s="25">
        <v>20190301</v>
      </c>
      <c r="C48" s="25"/>
      <c r="D48" s="25" t="s">
        <v>132</v>
      </c>
      <c r="E48" s="25" t="s">
        <v>132</v>
      </c>
      <c r="F48" s="25" t="s">
        <v>133</v>
      </c>
      <c r="G48" s="25"/>
      <c r="H48" s="25">
        <v>100000042</v>
      </c>
      <c r="I48" s="25" t="s">
        <v>134</v>
      </c>
      <c r="J48" s="25" t="s">
        <v>135</v>
      </c>
      <c r="K48" s="25" t="s">
        <v>132</v>
      </c>
      <c r="L48" s="25">
        <v>4</v>
      </c>
      <c r="M48" s="25">
        <v>1</v>
      </c>
      <c r="N48" s="25">
        <v>1</v>
      </c>
      <c r="O48" s="45" t="s">
        <v>146</v>
      </c>
      <c r="P48" s="25">
        <v>100</v>
      </c>
      <c r="Q48" s="25">
        <v>20180301</v>
      </c>
      <c r="R48" s="25">
        <v>20180301</v>
      </c>
      <c r="S48" s="25" t="s">
        <v>137</v>
      </c>
      <c r="T48" s="25" t="s">
        <v>138</v>
      </c>
      <c r="U48" s="25">
        <v>20190301</v>
      </c>
      <c r="V48" s="25">
        <v>10</v>
      </c>
      <c r="W48" s="25">
        <v>10</v>
      </c>
      <c r="X48" s="25" t="s">
        <v>139</v>
      </c>
      <c r="Y48" s="25">
        <v>0</v>
      </c>
      <c r="Z48" s="25" t="s">
        <v>140</v>
      </c>
      <c r="AA48" s="25">
        <v>818</v>
      </c>
      <c r="AB48" s="41">
        <v>0</v>
      </c>
      <c r="AC48" s="41">
        <v>12</v>
      </c>
      <c r="AD48" s="41">
        <v>20180201</v>
      </c>
      <c r="AE48" s="41">
        <v>0</v>
      </c>
      <c r="AF48" s="26">
        <v>50000</v>
      </c>
      <c r="AG48" s="41">
        <v>185</v>
      </c>
      <c r="AH48" s="26">
        <v>44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0</v>
      </c>
      <c r="AQ48" s="26">
        <v>0</v>
      </c>
      <c r="AR48" s="26">
        <v>0</v>
      </c>
      <c r="AS48" s="26">
        <v>0</v>
      </c>
      <c r="AT48" s="26">
        <v>0</v>
      </c>
      <c r="AU48" s="26">
        <v>0</v>
      </c>
      <c r="AV48" s="26">
        <v>0</v>
      </c>
      <c r="AW48" s="26">
        <v>0</v>
      </c>
      <c r="AX48" s="26">
        <v>0</v>
      </c>
      <c r="AY48" s="46">
        <v>1</v>
      </c>
      <c r="AZ48" s="25">
        <v>2</v>
      </c>
      <c r="BA48" s="41" t="s">
        <v>203</v>
      </c>
      <c r="BB48" s="41">
        <v>100</v>
      </c>
      <c r="BC48" s="41">
        <v>20180301</v>
      </c>
      <c r="BD48" s="41">
        <v>20180301</v>
      </c>
      <c r="BE48" s="41" t="s">
        <v>198</v>
      </c>
      <c r="BF48" s="41" t="s">
        <v>149</v>
      </c>
      <c r="BG48" s="41">
        <v>20180301</v>
      </c>
      <c r="BH48" s="41">
        <v>0</v>
      </c>
      <c r="BI48" s="41">
        <v>0</v>
      </c>
      <c r="BJ48" s="41"/>
      <c r="BK48" s="41">
        <v>0</v>
      </c>
      <c r="BL48" s="41" t="s">
        <v>140</v>
      </c>
      <c r="BM48" s="41">
        <v>818</v>
      </c>
      <c r="BN48" s="41">
        <v>0</v>
      </c>
      <c r="BO48" s="41">
        <v>12</v>
      </c>
      <c r="BP48" s="41">
        <v>20180201</v>
      </c>
      <c r="BQ48" s="41">
        <v>0</v>
      </c>
      <c r="BR48" s="41">
        <v>0</v>
      </c>
      <c r="BS48" s="41">
        <v>7</v>
      </c>
      <c r="BT48" s="25">
        <v>44</v>
      </c>
      <c r="BU48" s="25">
        <v>0</v>
      </c>
      <c r="BV48" s="25">
        <v>0</v>
      </c>
      <c r="BW48" s="25">
        <v>0</v>
      </c>
      <c r="BX48" s="25">
        <v>0</v>
      </c>
      <c r="BY48" s="25">
        <v>0</v>
      </c>
      <c r="BZ48" s="25">
        <v>0</v>
      </c>
      <c r="CA48" s="25">
        <v>0</v>
      </c>
      <c r="CB48" s="25">
        <v>0</v>
      </c>
      <c r="CC48" s="25">
        <v>0</v>
      </c>
      <c r="CD48" s="25">
        <v>0</v>
      </c>
      <c r="CE48" s="25">
        <v>0</v>
      </c>
      <c r="CF48" s="25">
        <v>0</v>
      </c>
      <c r="CG48" s="25">
        <v>0</v>
      </c>
      <c r="CH48" s="25">
        <v>0</v>
      </c>
      <c r="CI48" s="25">
        <v>0</v>
      </c>
      <c r="CJ48" s="25">
        <v>0</v>
      </c>
      <c r="CK48" s="22">
        <v>1</v>
      </c>
      <c r="CL48" s="25">
        <v>3</v>
      </c>
      <c r="CM48" s="41" t="s">
        <v>150</v>
      </c>
      <c r="CN48" s="41">
        <v>100</v>
      </c>
      <c r="CO48" s="41">
        <v>20180301</v>
      </c>
      <c r="CP48" s="41">
        <v>20180301</v>
      </c>
      <c r="CQ48" s="41" t="s">
        <v>198</v>
      </c>
      <c r="CR48" s="41" t="s">
        <v>200</v>
      </c>
      <c r="CS48" s="41">
        <v>20180301</v>
      </c>
      <c r="CT48" s="41">
        <v>0</v>
      </c>
      <c r="CU48" s="41">
        <v>0</v>
      </c>
      <c r="CV48" s="41"/>
      <c r="CW48" s="41">
        <v>0</v>
      </c>
      <c r="CX48" s="41" t="s">
        <v>140</v>
      </c>
      <c r="CY48" s="41">
        <v>818</v>
      </c>
      <c r="CZ48" s="41">
        <v>0</v>
      </c>
      <c r="DA48" s="41">
        <v>12</v>
      </c>
      <c r="DB48" s="41">
        <v>20180201</v>
      </c>
      <c r="DC48" s="41">
        <v>0</v>
      </c>
      <c r="DD48" s="41">
        <v>0</v>
      </c>
      <c r="DE48" s="41">
        <v>19</v>
      </c>
      <c r="DF48" s="25">
        <v>44</v>
      </c>
      <c r="DG48" s="25">
        <v>0</v>
      </c>
      <c r="DH48" s="25">
        <v>0</v>
      </c>
      <c r="DI48" s="25">
        <v>0</v>
      </c>
      <c r="DJ48" s="25">
        <v>0</v>
      </c>
      <c r="DK48" s="25">
        <v>0</v>
      </c>
      <c r="DL48" s="25">
        <v>0</v>
      </c>
      <c r="DM48" s="25">
        <v>0</v>
      </c>
      <c r="DN48" s="25">
        <v>0</v>
      </c>
      <c r="DO48" s="25">
        <v>0</v>
      </c>
      <c r="DP48" s="25">
        <v>0</v>
      </c>
      <c r="DQ48" s="25">
        <v>0</v>
      </c>
      <c r="DR48" s="25">
        <v>0</v>
      </c>
      <c r="DS48" s="25">
        <v>0</v>
      </c>
      <c r="DT48" s="25">
        <v>0</v>
      </c>
      <c r="DU48" s="25">
        <v>0</v>
      </c>
      <c r="DV48" s="25">
        <v>0</v>
      </c>
      <c r="DW48" s="23">
        <v>1</v>
      </c>
      <c r="DX48" s="25">
        <v>4</v>
      </c>
      <c r="DY48" s="41" t="s">
        <v>151</v>
      </c>
      <c r="DZ48" s="41">
        <v>100</v>
      </c>
      <c r="EA48" s="41">
        <v>20180301</v>
      </c>
      <c r="EB48" s="41">
        <v>20180301</v>
      </c>
      <c r="EC48" s="41" t="s">
        <v>198</v>
      </c>
      <c r="ED48" s="41" t="s">
        <v>201</v>
      </c>
      <c r="EE48" s="41">
        <v>20180301</v>
      </c>
      <c r="EF48" s="41">
        <v>0</v>
      </c>
      <c r="EG48" s="41">
        <v>0</v>
      </c>
      <c r="EH48" s="41"/>
      <c r="EI48" s="41">
        <v>0</v>
      </c>
      <c r="EJ48" s="41" t="s">
        <v>140</v>
      </c>
      <c r="EK48" s="41">
        <v>818</v>
      </c>
      <c r="EL48" s="41">
        <v>0</v>
      </c>
      <c r="EM48" s="41">
        <v>12</v>
      </c>
      <c r="EN48" s="41">
        <v>20180201</v>
      </c>
      <c r="EO48" s="41">
        <v>0</v>
      </c>
      <c r="EP48" s="41">
        <v>0</v>
      </c>
      <c r="EQ48" s="41">
        <v>9</v>
      </c>
      <c r="ER48" s="25">
        <v>44</v>
      </c>
      <c r="ES48" s="25">
        <v>0</v>
      </c>
      <c r="ET48" s="25">
        <v>0</v>
      </c>
      <c r="EU48" s="25">
        <v>0</v>
      </c>
      <c r="EV48" s="25">
        <v>0</v>
      </c>
      <c r="EW48" s="25">
        <v>0</v>
      </c>
      <c r="EX48" s="25">
        <v>0</v>
      </c>
      <c r="EY48" s="25">
        <v>0</v>
      </c>
      <c r="EZ48" s="25">
        <v>0</v>
      </c>
      <c r="FA48" s="25">
        <v>0</v>
      </c>
      <c r="FB48" s="25">
        <v>0</v>
      </c>
      <c r="FC48" s="25">
        <v>0</v>
      </c>
      <c r="FD48" s="25">
        <v>0</v>
      </c>
      <c r="FE48" s="25">
        <v>0</v>
      </c>
      <c r="FF48" s="25">
        <v>0</v>
      </c>
      <c r="FG48" s="25">
        <v>0</v>
      </c>
      <c r="FH48" s="25">
        <v>0</v>
      </c>
      <c r="FI48" s="25">
        <v>1</v>
      </c>
      <c r="FJ48" s="25">
        <v>1</v>
      </c>
      <c r="FK48" s="25">
        <v>1</v>
      </c>
      <c r="FL48" s="25">
        <v>44</v>
      </c>
      <c r="FM48" s="25" t="s">
        <v>137</v>
      </c>
      <c r="FN48" s="25">
        <v>19750101</v>
      </c>
      <c r="FP48" s="28">
        <v>4</v>
      </c>
      <c r="FQ48" s="47">
        <v>1</v>
      </c>
      <c r="FR48" s="41">
        <v>1</v>
      </c>
      <c r="FS48" s="41" t="str">
        <f t="shared" si="0"/>
        <v>MFPA</v>
      </c>
      <c r="FT48" s="41">
        <f t="shared" si="1"/>
        <v>818</v>
      </c>
      <c r="FU48" s="41">
        <f t="shared" si="2"/>
        <v>44</v>
      </c>
      <c r="FV48" s="41">
        <v>55000</v>
      </c>
      <c r="FW48" s="41">
        <v>203.5</v>
      </c>
      <c r="FX48" s="41"/>
      <c r="FY48" s="29">
        <v>0</v>
      </c>
      <c r="FZ48" s="29">
        <v>0</v>
      </c>
      <c r="GA48" s="30">
        <v>0</v>
      </c>
      <c r="GB48" s="30">
        <v>0</v>
      </c>
      <c r="GC48" s="29">
        <v>0</v>
      </c>
      <c r="GD48" s="41">
        <v>0</v>
      </c>
      <c r="GE48" s="29">
        <v>0</v>
      </c>
      <c r="GF48" s="29">
        <v>0</v>
      </c>
      <c r="GG48" s="29">
        <v>0</v>
      </c>
      <c r="GH48" s="29">
        <v>0</v>
      </c>
      <c r="GI48" s="29">
        <v>0</v>
      </c>
      <c r="GJ48" s="29">
        <v>0</v>
      </c>
      <c r="GK48" s="29">
        <v>0</v>
      </c>
      <c r="GL48" s="29">
        <v>0</v>
      </c>
      <c r="GM48" s="29">
        <v>0</v>
      </c>
      <c r="GN48" s="29">
        <v>0</v>
      </c>
      <c r="GO48" s="29">
        <v>0</v>
      </c>
      <c r="GP48" s="29">
        <v>0</v>
      </c>
      <c r="GQ48" s="29">
        <v>0</v>
      </c>
      <c r="GR48" s="18">
        <v>1</v>
      </c>
      <c r="GS48" s="41">
        <v>2</v>
      </c>
      <c r="GT48" s="41" t="str">
        <f t="shared" si="3"/>
        <v>PURO</v>
      </c>
      <c r="GU48" s="41">
        <v>818</v>
      </c>
      <c r="GV48" s="41">
        <v>60</v>
      </c>
      <c r="GW48" s="41">
        <v>0</v>
      </c>
      <c r="GX48" s="41">
        <v>7.7</v>
      </c>
      <c r="GY48" s="41"/>
      <c r="GZ48" s="41">
        <v>0</v>
      </c>
      <c r="HA48" s="41">
        <v>0</v>
      </c>
      <c r="HB48" s="42">
        <v>0</v>
      </c>
      <c r="HC48" s="42">
        <v>0</v>
      </c>
      <c r="HD48" s="41">
        <v>0</v>
      </c>
      <c r="HE48" s="41">
        <v>0</v>
      </c>
      <c r="HF48" s="41">
        <v>0</v>
      </c>
      <c r="HG48" s="41">
        <v>0</v>
      </c>
      <c r="HH48" s="41">
        <v>0</v>
      </c>
      <c r="HI48" s="41">
        <v>0</v>
      </c>
      <c r="HJ48" s="41">
        <v>0</v>
      </c>
      <c r="HK48" s="41">
        <v>0</v>
      </c>
      <c r="HL48" s="41">
        <v>0</v>
      </c>
      <c r="HM48" s="41">
        <v>0</v>
      </c>
      <c r="HN48" s="41">
        <v>0</v>
      </c>
      <c r="HO48" s="41">
        <v>0</v>
      </c>
      <c r="HP48" s="41">
        <v>0</v>
      </c>
      <c r="HQ48" s="41">
        <v>0</v>
      </c>
      <c r="HR48" s="41">
        <v>0</v>
      </c>
      <c r="HS48" s="24">
        <v>1</v>
      </c>
      <c r="HT48" s="41">
        <v>3</v>
      </c>
      <c r="HU48" s="41" t="str">
        <f t="shared" si="4"/>
        <v>PUDT</v>
      </c>
      <c r="HV48" s="41">
        <v>818</v>
      </c>
      <c r="HW48" s="41">
        <v>60</v>
      </c>
      <c r="HX48" s="41">
        <v>0</v>
      </c>
      <c r="HY48" s="41">
        <v>20.9</v>
      </c>
      <c r="HZ48" s="42"/>
      <c r="IA48" s="41">
        <v>0</v>
      </c>
      <c r="IB48" s="41">
        <v>0</v>
      </c>
      <c r="IC48" s="42">
        <v>0</v>
      </c>
      <c r="ID48" s="42">
        <v>0</v>
      </c>
      <c r="IE48" s="41">
        <v>0</v>
      </c>
      <c r="IF48" s="43">
        <v>0</v>
      </c>
      <c r="IG48" s="41">
        <v>0</v>
      </c>
      <c r="IH48" s="41">
        <v>0</v>
      </c>
      <c r="II48" s="41">
        <v>0</v>
      </c>
      <c r="IJ48" s="41">
        <v>0</v>
      </c>
      <c r="IK48" s="41">
        <v>0</v>
      </c>
      <c r="IL48" s="41">
        <v>0</v>
      </c>
      <c r="IM48" s="41">
        <v>0</v>
      </c>
      <c r="IN48" s="41">
        <v>0</v>
      </c>
      <c r="IO48" s="41">
        <v>0</v>
      </c>
      <c r="IP48" s="41">
        <v>0</v>
      </c>
      <c r="IQ48" s="41">
        <v>0</v>
      </c>
      <c r="IR48" s="41">
        <v>0</v>
      </c>
      <c r="IS48" s="41">
        <v>0</v>
      </c>
      <c r="IT48" s="17">
        <v>1</v>
      </c>
      <c r="IU48" s="41">
        <v>4</v>
      </c>
      <c r="IV48" s="41" t="str">
        <f t="shared" si="5"/>
        <v>PUDS</v>
      </c>
      <c r="IW48" s="41">
        <v>818</v>
      </c>
      <c r="IX48" s="41">
        <v>60</v>
      </c>
      <c r="IY48" s="41">
        <v>0</v>
      </c>
      <c r="IZ48" s="41">
        <v>9.9</v>
      </c>
      <c r="JA48" s="42"/>
      <c r="JB48" s="41">
        <v>0</v>
      </c>
      <c r="JC48" s="41">
        <v>0</v>
      </c>
      <c r="JD48" s="42">
        <v>0</v>
      </c>
      <c r="JE48" s="42">
        <v>0</v>
      </c>
      <c r="JF48" s="41">
        <v>0</v>
      </c>
      <c r="JG48" s="41">
        <v>0</v>
      </c>
      <c r="JH48" s="41">
        <v>0</v>
      </c>
      <c r="JI48" s="41">
        <v>0</v>
      </c>
      <c r="JJ48" s="41">
        <v>0</v>
      </c>
      <c r="JK48" s="41">
        <v>0</v>
      </c>
      <c r="JL48" s="41">
        <v>0</v>
      </c>
      <c r="JM48" s="41">
        <v>0</v>
      </c>
      <c r="JN48" s="41">
        <v>0</v>
      </c>
      <c r="JO48" s="41">
        <v>0</v>
      </c>
      <c r="JP48" s="41">
        <v>0</v>
      </c>
      <c r="JQ48" s="41">
        <v>0</v>
      </c>
      <c r="JR48" s="41">
        <v>0</v>
      </c>
      <c r="JS48" s="41">
        <v>0</v>
      </c>
      <c r="JT48" s="41">
        <v>0</v>
      </c>
      <c r="JU48"/>
    </row>
    <row r="49" spans="1:281" ht="15.75">
      <c r="A49" s="25">
        <v>43</v>
      </c>
      <c r="B49" s="25">
        <v>20190301</v>
      </c>
      <c r="C49" s="25"/>
      <c r="D49" s="25" t="s">
        <v>132</v>
      </c>
      <c r="E49" s="25" t="s">
        <v>132</v>
      </c>
      <c r="F49" s="25" t="s">
        <v>133</v>
      </c>
      <c r="G49" s="25"/>
      <c r="H49" s="25">
        <v>100000043</v>
      </c>
      <c r="I49" s="25" t="s">
        <v>134</v>
      </c>
      <c r="J49" s="25" t="s">
        <v>135</v>
      </c>
      <c r="K49" s="25" t="s">
        <v>132</v>
      </c>
      <c r="L49" s="25">
        <v>4</v>
      </c>
      <c r="M49" s="25">
        <v>1</v>
      </c>
      <c r="N49" s="25">
        <v>1</v>
      </c>
      <c r="O49" s="45" t="s">
        <v>146</v>
      </c>
      <c r="P49" s="25">
        <v>100</v>
      </c>
      <c r="Q49" s="25">
        <v>20180301</v>
      </c>
      <c r="R49" s="25">
        <v>20180301</v>
      </c>
      <c r="S49" s="25" t="s">
        <v>137</v>
      </c>
      <c r="T49" s="25" t="s">
        <v>138</v>
      </c>
      <c r="U49" s="25">
        <v>20190301</v>
      </c>
      <c r="V49" s="25">
        <v>10</v>
      </c>
      <c r="W49" s="25">
        <v>10</v>
      </c>
      <c r="X49" s="25" t="s">
        <v>139</v>
      </c>
      <c r="Y49" s="25">
        <v>0</v>
      </c>
      <c r="Z49" s="25" t="s">
        <v>140</v>
      </c>
      <c r="AA49" s="25">
        <v>818</v>
      </c>
      <c r="AB49" s="41">
        <v>0</v>
      </c>
      <c r="AC49" s="41">
        <v>12</v>
      </c>
      <c r="AD49" s="41">
        <v>20180201</v>
      </c>
      <c r="AE49" s="41">
        <v>0</v>
      </c>
      <c r="AF49" s="26">
        <v>50000</v>
      </c>
      <c r="AG49" s="41">
        <v>185</v>
      </c>
      <c r="AH49" s="26">
        <v>45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  <c r="AP49" s="26">
        <v>0</v>
      </c>
      <c r="AQ49" s="26">
        <v>0</v>
      </c>
      <c r="AR49" s="26">
        <v>0</v>
      </c>
      <c r="AS49" s="26">
        <v>0</v>
      </c>
      <c r="AT49" s="26">
        <v>0</v>
      </c>
      <c r="AU49" s="26">
        <v>0</v>
      </c>
      <c r="AV49" s="26">
        <v>0</v>
      </c>
      <c r="AW49" s="26">
        <v>0</v>
      </c>
      <c r="AX49" s="26">
        <v>0</v>
      </c>
      <c r="AY49" s="46">
        <v>1</v>
      </c>
      <c r="AZ49" s="25">
        <v>2</v>
      </c>
      <c r="BA49" s="41" t="s">
        <v>203</v>
      </c>
      <c r="BB49" s="41">
        <v>100</v>
      </c>
      <c r="BC49" s="41">
        <v>20180301</v>
      </c>
      <c r="BD49" s="41">
        <v>20180301</v>
      </c>
      <c r="BE49" s="41" t="s">
        <v>198</v>
      </c>
      <c r="BF49" s="41" t="s">
        <v>149</v>
      </c>
      <c r="BG49" s="41">
        <v>20180301</v>
      </c>
      <c r="BH49" s="41">
        <v>0</v>
      </c>
      <c r="BI49" s="41">
        <v>0</v>
      </c>
      <c r="BJ49" s="41"/>
      <c r="BK49" s="41">
        <v>0</v>
      </c>
      <c r="BL49" s="41" t="s">
        <v>140</v>
      </c>
      <c r="BM49" s="41">
        <v>818</v>
      </c>
      <c r="BN49" s="41">
        <v>0</v>
      </c>
      <c r="BO49" s="41">
        <v>12</v>
      </c>
      <c r="BP49" s="41">
        <v>20180201</v>
      </c>
      <c r="BQ49" s="41">
        <v>0</v>
      </c>
      <c r="BR49" s="41">
        <v>0</v>
      </c>
      <c r="BS49" s="41">
        <v>7</v>
      </c>
      <c r="BT49" s="25">
        <v>45</v>
      </c>
      <c r="BU49" s="25">
        <v>0</v>
      </c>
      <c r="BV49" s="25">
        <v>0</v>
      </c>
      <c r="BW49" s="25">
        <v>0</v>
      </c>
      <c r="BX49" s="25">
        <v>0</v>
      </c>
      <c r="BY49" s="25">
        <v>0</v>
      </c>
      <c r="BZ49" s="25">
        <v>0</v>
      </c>
      <c r="CA49" s="25">
        <v>0</v>
      </c>
      <c r="CB49" s="25">
        <v>0</v>
      </c>
      <c r="CC49" s="25">
        <v>0</v>
      </c>
      <c r="CD49" s="25">
        <v>0</v>
      </c>
      <c r="CE49" s="25">
        <v>0</v>
      </c>
      <c r="CF49" s="25">
        <v>0</v>
      </c>
      <c r="CG49" s="25">
        <v>0</v>
      </c>
      <c r="CH49" s="25">
        <v>0</v>
      </c>
      <c r="CI49" s="25">
        <v>0</v>
      </c>
      <c r="CJ49" s="25">
        <v>0</v>
      </c>
      <c r="CK49" s="22">
        <v>1</v>
      </c>
      <c r="CL49" s="25">
        <v>3</v>
      </c>
      <c r="CM49" s="41" t="s">
        <v>150</v>
      </c>
      <c r="CN49" s="41">
        <v>100</v>
      </c>
      <c r="CO49" s="41">
        <v>20180301</v>
      </c>
      <c r="CP49" s="41">
        <v>20180301</v>
      </c>
      <c r="CQ49" s="41" t="s">
        <v>198</v>
      </c>
      <c r="CR49" s="41" t="s">
        <v>200</v>
      </c>
      <c r="CS49" s="41">
        <v>20180301</v>
      </c>
      <c r="CT49" s="41">
        <v>0</v>
      </c>
      <c r="CU49" s="41">
        <v>0</v>
      </c>
      <c r="CV49" s="41"/>
      <c r="CW49" s="41">
        <v>0</v>
      </c>
      <c r="CX49" s="41" t="s">
        <v>140</v>
      </c>
      <c r="CY49" s="41">
        <v>818</v>
      </c>
      <c r="CZ49" s="41">
        <v>0</v>
      </c>
      <c r="DA49" s="41">
        <v>12</v>
      </c>
      <c r="DB49" s="41">
        <v>20180201</v>
      </c>
      <c r="DC49" s="41">
        <v>0</v>
      </c>
      <c r="DD49" s="41">
        <v>0</v>
      </c>
      <c r="DE49" s="41">
        <v>19</v>
      </c>
      <c r="DF49" s="25">
        <v>45</v>
      </c>
      <c r="DG49" s="25">
        <v>0</v>
      </c>
      <c r="DH49" s="25">
        <v>0</v>
      </c>
      <c r="DI49" s="25">
        <v>0</v>
      </c>
      <c r="DJ49" s="25">
        <v>0</v>
      </c>
      <c r="DK49" s="25">
        <v>0</v>
      </c>
      <c r="DL49" s="25">
        <v>0</v>
      </c>
      <c r="DM49" s="25">
        <v>0</v>
      </c>
      <c r="DN49" s="25">
        <v>0</v>
      </c>
      <c r="DO49" s="25">
        <v>0</v>
      </c>
      <c r="DP49" s="25">
        <v>0</v>
      </c>
      <c r="DQ49" s="25">
        <v>0</v>
      </c>
      <c r="DR49" s="25">
        <v>0</v>
      </c>
      <c r="DS49" s="25">
        <v>0</v>
      </c>
      <c r="DT49" s="25">
        <v>0</v>
      </c>
      <c r="DU49" s="25">
        <v>0</v>
      </c>
      <c r="DV49" s="25">
        <v>0</v>
      </c>
      <c r="DW49" s="23">
        <v>1</v>
      </c>
      <c r="DX49" s="25">
        <v>4</v>
      </c>
      <c r="DY49" s="41" t="s">
        <v>151</v>
      </c>
      <c r="DZ49" s="41">
        <v>100</v>
      </c>
      <c r="EA49" s="41">
        <v>20180301</v>
      </c>
      <c r="EB49" s="41">
        <v>20180301</v>
      </c>
      <c r="EC49" s="41" t="s">
        <v>198</v>
      </c>
      <c r="ED49" s="41" t="s">
        <v>201</v>
      </c>
      <c r="EE49" s="41">
        <v>20180301</v>
      </c>
      <c r="EF49" s="41">
        <v>0</v>
      </c>
      <c r="EG49" s="41">
        <v>0</v>
      </c>
      <c r="EH49" s="41"/>
      <c r="EI49" s="41">
        <v>0</v>
      </c>
      <c r="EJ49" s="41" t="s">
        <v>140</v>
      </c>
      <c r="EK49" s="41">
        <v>818</v>
      </c>
      <c r="EL49" s="41">
        <v>0</v>
      </c>
      <c r="EM49" s="41">
        <v>12</v>
      </c>
      <c r="EN49" s="41">
        <v>20180201</v>
      </c>
      <c r="EO49" s="41">
        <v>0</v>
      </c>
      <c r="EP49" s="41">
        <v>0</v>
      </c>
      <c r="EQ49" s="41">
        <v>9</v>
      </c>
      <c r="ER49" s="25">
        <v>45</v>
      </c>
      <c r="ES49" s="25">
        <v>0</v>
      </c>
      <c r="ET49" s="25">
        <v>0</v>
      </c>
      <c r="EU49" s="25">
        <v>0</v>
      </c>
      <c r="EV49" s="25">
        <v>0</v>
      </c>
      <c r="EW49" s="25">
        <v>0</v>
      </c>
      <c r="EX49" s="25">
        <v>0</v>
      </c>
      <c r="EY49" s="25">
        <v>0</v>
      </c>
      <c r="EZ49" s="25">
        <v>0</v>
      </c>
      <c r="FA49" s="25">
        <v>0</v>
      </c>
      <c r="FB49" s="25">
        <v>0</v>
      </c>
      <c r="FC49" s="25">
        <v>0</v>
      </c>
      <c r="FD49" s="25">
        <v>0</v>
      </c>
      <c r="FE49" s="25">
        <v>0</v>
      </c>
      <c r="FF49" s="25">
        <v>0</v>
      </c>
      <c r="FG49" s="25">
        <v>0</v>
      </c>
      <c r="FH49" s="25">
        <v>0</v>
      </c>
      <c r="FI49" s="25">
        <v>1</v>
      </c>
      <c r="FJ49" s="25">
        <v>1</v>
      </c>
      <c r="FK49" s="25">
        <v>1</v>
      </c>
      <c r="FL49" s="25">
        <v>45</v>
      </c>
      <c r="FM49" s="25" t="s">
        <v>137</v>
      </c>
      <c r="FN49" s="25">
        <v>19740101</v>
      </c>
      <c r="FP49" s="28">
        <v>4</v>
      </c>
      <c r="FQ49" s="47">
        <v>1</v>
      </c>
      <c r="FR49" s="41">
        <v>1</v>
      </c>
      <c r="FS49" s="41" t="str">
        <f t="shared" si="0"/>
        <v>MFPA</v>
      </c>
      <c r="FT49" s="41">
        <f t="shared" si="1"/>
        <v>818</v>
      </c>
      <c r="FU49" s="41">
        <f t="shared" si="2"/>
        <v>45</v>
      </c>
      <c r="FV49" s="41">
        <v>55000</v>
      </c>
      <c r="FW49" s="41">
        <v>203.5</v>
      </c>
      <c r="FX49" s="41"/>
      <c r="FY49" s="29">
        <v>0</v>
      </c>
      <c r="FZ49" s="29">
        <v>0</v>
      </c>
      <c r="GA49" s="30">
        <v>0</v>
      </c>
      <c r="GB49" s="30">
        <v>0</v>
      </c>
      <c r="GC49" s="29">
        <v>0</v>
      </c>
      <c r="GD49" s="41">
        <v>0</v>
      </c>
      <c r="GE49" s="29">
        <v>0</v>
      </c>
      <c r="GF49" s="29">
        <v>0</v>
      </c>
      <c r="GG49" s="29">
        <v>0</v>
      </c>
      <c r="GH49" s="29">
        <v>0</v>
      </c>
      <c r="GI49" s="29">
        <v>0</v>
      </c>
      <c r="GJ49" s="29">
        <v>0</v>
      </c>
      <c r="GK49" s="29">
        <v>0</v>
      </c>
      <c r="GL49" s="29">
        <v>0</v>
      </c>
      <c r="GM49" s="29">
        <v>0</v>
      </c>
      <c r="GN49" s="29">
        <v>0</v>
      </c>
      <c r="GO49" s="29">
        <v>0</v>
      </c>
      <c r="GP49" s="29">
        <v>0</v>
      </c>
      <c r="GQ49" s="29">
        <v>0</v>
      </c>
      <c r="GR49" s="18">
        <v>1</v>
      </c>
      <c r="GS49" s="41">
        <v>2</v>
      </c>
      <c r="GT49" s="41" t="str">
        <f t="shared" si="3"/>
        <v>PURO</v>
      </c>
      <c r="GU49" s="41">
        <v>818</v>
      </c>
      <c r="GV49" s="41">
        <v>59</v>
      </c>
      <c r="GW49" s="41">
        <v>0</v>
      </c>
      <c r="GX49" s="41">
        <v>7.7</v>
      </c>
      <c r="GY49" s="41"/>
      <c r="GZ49" s="41">
        <v>0</v>
      </c>
      <c r="HA49" s="41">
        <v>0</v>
      </c>
      <c r="HB49" s="42">
        <v>0</v>
      </c>
      <c r="HC49" s="42">
        <v>0</v>
      </c>
      <c r="HD49" s="41">
        <v>0</v>
      </c>
      <c r="HE49" s="41">
        <v>0</v>
      </c>
      <c r="HF49" s="41">
        <v>0</v>
      </c>
      <c r="HG49" s="41">
        <v>0</v>
      </c>
      <c r="HH49" s="41">
        <v>0</v>
      </c>
      <c r="HI49" s="41">
        <v>0</v>
      </c>
      <c r="HJ49" s="41">
        <v>0</v>
      </c>
      <c r="HK49" s="41">
        <v>0</v>
      </c>
      <c r="HL49" s="41">
        <v>0</v>
      </c>
      <c r="HM49" s="41">
        <v>0</v>
      </c>
      <c r="HN49" s="41">
        <v>0</v>
      </c>
      <c r="HO49" s="41">
        <v>0</v>
      </c>
      <c r="HP49" s="41">
        <v>0</v>
      </c>
      <c r="HQ49" s="41">
        <v>0</v>
      </c>
      <c r="HR49" s="41">
        <v>0</v>
      </c>
      <c r="HS49" s="24">
        <v>1</v>
      </c>
      <c r="HT49" s="41">
        <v>3</v>
      </c>
      <c r="HU49" s="41" t="str">
        <f t="shared" si="4"/>
        <v>PUDT</v>
      </c>
      <c r="HV49" s="41">
        <v>818</v>
      </c>
      <c r="HW49" s="41">
        <v>59</v>
      </c>
      <c r="HX49" s="41">
        <v>0</v>
      </c>
      <c r="HY49" s="41">
        <v>20.9</v>
      </c>
      <c r="HZ49" s="42"/>
      <c r="IA49" s="41">
        <v>0</v>
      </c>
      <c r="IB49" s="41">
        <v>0</v>
      </c>
      <c r="IC49" s="42">
        <v>0</v>
      </c>
      <c r="ID49" s="42">
        <v>0</v>
      </c>
      <c r="IE49" s="41">
        <v>0</v>
      </c>
      <c r="IF49" s="43">
        <v>0</v>
      </c>
      <c r="IG49" s="41">
        <v>0</v>
      </c>
      <c r="IH49" s="41">
        <v>0</v>
      </c>
      <c r="II49" s="41">
        <v>0</v>
      </c>
      <c r="IJ49" s="41">
        <v>0</v>
      </c>
      <c r="IK49" s="41">
        <v>0</v>
      </c>
      <c r="IL49" s="41">
        <v>0</v>
      </c>
      <c r="IM49" s="41">
        <v>0</v>
      </c>
      <c r="IN49" s="41">
        <v>0</v>
      </c>
      <c r="IO49" s="41">
        <v>0</v>
      </c>
      <c r="IP49" s="41">
        <v>0</v>
      </c>
      <c r="IQ49" s="41">
        <v>0</v>
      </c>
      <c r="IR49" s="41">
        <v>0</v>
      </c>
      <c r="IS49" s="41">
        <v>0</v>
      </c>
      <c r="IT49" s="17">
        <v>1</v>
      </c>
      <c r="IU49" s="41">
        <v>4</v>
      </c>
      <c r="IV49" s="41" t="str">
        <f t="shared" si="5"/>
        <v>PUDS</v>
      </c>
      <c r="IW49" s="41">
        <v>818</v>
      </c>
      <c r="IX49" s="41">
        <v>59</v>
      </c>
      <c r="IY49" s="41">
        <v>0</v>
      </c>
      <c r="IZ49" s="41">
        <v>9.9</v>
      </c>
      <c r="JA49" s="42"/>
      <c r="JB49" s="41">
        <v>0</v>
      </c>
      <c r="JC49" s="41">
        <v>0</v>
      </c>
      <c r="JD49" s="42">
        <v>0</v>
      </c>
      <c r="JE49" s="42">
        <v>0</v>
      </c>
      <c r="JF49" s="41">
        <v>0</v>
      </c>
      <c r="JG49" s="41">
        <v>0</v>
      </c>
      <c r="JH49" s="41">
        <v>0</v>
      </c>
      <c r="JI49" s="41">
        <v>0</v>
      </c>
      <c r="JJ49" s="41">
        <v>0</v>
      </c>
      <c r="JK49" s="41">
        <v>0</v>
      </c>
      <c r="JL49" s="41">
        <v>0</v>
      </c>
      <c r="JM49" s="41">
        <v>0</v>
      </c>
      <c r="JN49" s="41">
        <v>0</v>
      </c>
      <c r="JO49" s="41">
        <v>0</v>
      </c>
      <c r="JP49" s="41">
        <v>0</v>
      </c>
      <c r="JQ49" s="41">
        <v>0</v>
      </c>
      <c r="JR49" s="41">
        <v>0</v>
      </c>
      <c r="JS49" s="41">
        <v>0</v>
      </c>
      <c r="JT49" s="41">
        <v>0</v>
      </c>
      <c r="JU49"/>
    </row>
    <row r="50" spans="1:281" ht="15.75">
      <c r="A50" s="25">
        <v>44</v>
      </c>
      <c r="B50" s="25">
        <v>20190301</v>
      </c>
      <c r="C50" s="25"/>
      <c r="D50" s="25" t="s">
        <v>132</v>
      </c>
      <c r="E50" s="25" t="s">
        <v>132</v>
      </c>
      <c r="F50" s="25" t="s">
        <v>133</v>
      </c>
      <c r="G50" s="25"/>
      <c r="H50" s="25">
        <v>100000044</v>
      </c>
      <c r="I50" s="25" t="s">
        <v>134</v>
      </c>
      <c r="J50" s="25" t="s">
        <v>135</v>
      </c>
      <c r="K50" s="25" t="s">
        <v>132</v>
      </c>
      <c r="L50" s="25">
        <v>4</v>
      </c>
      <c r="M50" s="25">
        <v>1</v>
      </c>
      <c r="N50" s="25">
        <v>1</v>
      </c>
      <c r="O50" s="45" t="s">
        <v>146</v>
      </c>
      <c r="P50" s="25">
        <v>100</v>
      </c>
      <c r="Q50" s="25">
        <v>20180301</v>
      </c>
      <c r="R50" s="25">
        <v>20180301</v>
      </c>
      <c r="S50" s="25" t="s">
        <v>137</v>
      </c>
      <c r="T50" s="25" t="s">
        <v>138</v>
      </c>
      <c r="U50" s="25">
        <v>20190301</v>
      </c>
      <c r="V50" s="25">
        <v>10</v>
      </c>
      <c r="W50" s="25">
        <v>10</v>
      </c>
      <c r="X50" s="25" t="s">
        <v>139</v>
      </c>
      <c r="Y50" s="25">
        <v>0</v>
      </c>
      <c r="Z50" s="25" t="s">
        <v>140</v>
      </c>
      <c r="AA50" s="25">
        <v>818</v>
      </c>
      <c r="AB50" s="41">
        <v>0</v>
      </c>
      <c r="AC50" s="41">
        <v>12</v>
      </c>
      <c r="AD50" s="41">
        <v>20180201</v>
      </c>
      <c r="AE50" s="41">
        <v>0</v>
      </c>
      <c r="AF50" s="26">
        <v>50000</v>
      </c>
      <c r="AG50" s="41">
        <v>226</v>
      </c>
      <c r="AH50" s="26">
        <v>46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  <c r="AP50" s="26">
        <v>0</v>
      </c>
      <c r="AQ50" s="26">
        <v>0</v>
      </c>
      <c r="AR50" s="26">
        <v>0</v>
      </c>
      <c r="AS50" s="26">
        <v>0</v>
      </c>
      <c r="AT50" s="26">
        <v>0</v>
      </c>
      <c r="AU50" s="26">
        <v>0</v>
      </c>
      <c r="AV50" s="26">
        <v>0</v>
      </c>
      <c r="AW50" s="26">
        <v>0</v>
      </c>
      <c r="AX50" s="26">
        <v>0</v>
      </c>
      <c r="AY50" s="46">
        <v>1</v>
      </c>
      <c r="AZ50" s="25">
        <v>2</v>
      </c>
      <c r="BA50" s="41" t="s">
        <v>203</v>
      </c>
      <c r="BB50" s="41">
        <v>100</v>
      </c>
      <c r="BC50" s="41">
        <v>20180301</v>
      </c>
      <c r="BD50" s="41">
        <v>20180301</v>
      </c>
      <c r="BE50" s="41" t="s">
        <v>198</v>
      </c>
      <c r="BF50" s="41" t="s">
        <v>149</v>
      </c>
      <c r="BG50" s="41">
        <v>20180301</v>
      </c>
      <c r="BH50" s="41">
        <v>0</v>
      </c>
      <c r="BI50" s="41">
        <v>0</v>
      </c>
      <c r="BJ50" s="41"/>
      <c r="BK50" s="41">
        <v>0</v>
      </c>
      <c r="BL50" s="41" t="s">
        <v>140</v>
      </c>
      <c r="BM50" s="41">
        <v>818</v>
      </c>
      <c r="BN50" s="41">
        <v>0</v>
      </c>
      <c r="BO50" s="41">
        <v>12</v>
      </c>
      <c r="BP50" s="41">
        <v>20180201</v>
      </c>
      <c r="BQ50" s="41">
        <v>0</v>
      </c>
      <c r="BR50" s="41">
        <v>0</v>
      </c>
      <c r="BS50" s="41">
        <v>7</v>
      </c>
      <c r="BT50" s="25">
        <v>46</v>
      </c>
      <c r="BU50" s="25">
        <v>0</v>
      </c>
      <c r="BV50" s="25">
        <v>0</v>
      </c>
      <c r="BW50" s="25">
        <v>0</v>
      </c>
      <c r="BX50" s="25">
        <v>0</v>
      </c>
      <c r="BY50" s="25">
        <v>0</v>
      </c>
      <c r="BZ50" s="25">
        <v>0</v>
      </c>
      <c r="CA50" s="25">
        <v>0</v>
      </c>
      <c r="CB50" s="25">
        <v>0</v>
      </c>
      <c r="CC50" s="25">
        <v>0</v>
      </c>
      <c r="CD50" s="25">
        <v>0</v>
      </c>
      <c r="CE50" s="25">
        <v>0</v>
      </c>
      <c r="CF50" s="25">
        <v>0</v>
      </c>
      <c r="CG50" s="25">
        <v>0</v>
      </c>
      <c r="CH50" s="25">
        <v>0</v>
      </c>
      <c r="CI50" s="25">
        <v>0</v>
      </c>
      <c r="CJ50" s="25">
        <v>0</v>
      </c>
      <c r="CK50" s="22">
        <v>1</v>
      </c>
      <c r="CL50" s="25">
        <v>3</v>
      </c>
      <c r="CM50" s="41" t="s">
        <v>150</v>
      </c>
      <c r="CN50" s="41">
        <v>100</v>
      </c>
      <c r="CO50" s="41">
        <v>20180301</v>
      </c>
      <c r="CP50" s="41">
        <v>20180301</v>
      </c>
      <c r="CQ50" s="41" t="s">
        <v>198</v>
      </c>
      <c r="CR50" s="41" t="s">
        <v>200</v>
      </c>
      <c r="CS50" s="41">
        <v>20180301</v>
      </c>
      <c r="CT50" s="41">
        <v>0</v>
      </c>
      <c r="CU50" s="41">
        <v>0</v>
      </c>
      <c r="CV50" s="41"/>
      <c r="CW50" s="41">
        <v>0</v>
      </c>
      <c r="CX50" s="41" t="s">
        <v>140</v>
      </c>
      <c r="CY50" s="41">
        <v>818</v>
      </c>
      <c r="CZ50" s="41">
        <v>0</v>
      </c>
      <c r="DA50" s="41">
        <v>12</v>
      </c>
      <c r="DB50" s="41">
        <v>20180201</v>
      </c>
      <c r="DC50" s="41">
        <v>0</v>
      </c>
      <c r="DD50" s="41">
        <v>0</v>
      </c>
      <c r="DE50" s="41">
        <v>26</v>
      </c>
      <c r="DF50" s="25">
        <v>46</v>
      </c>
      <c r="DG50" s="25">
        <v>0</v>
      </c>
      <c r="DH50" s="25">
        <v>0</v>
      </c>
      <c r="DI50" s="25">
        <v>0</v>
      </c>
      <c r="DJ50" s="25">
        <v>0</v>
      </c>
      <c r="DK50" s="25">
        <v>0</v>
      </c>
      <c r="DL50" s="25">
        <v>0</v>
      </c>
      <c r="DM50" s="25">
        <v>0</v>
      </c>
      <c r="DN50" s="25">
        <v>0</v>
      </c>
      <c r="DO50" s="25">
        <v>0</v>
      </c>
      <c r="DP50" s="25">
        <v>0</v>
      </c>
      <c r="DQ50" s="25">
        <v>0</v>
      </c>
      <c r="DR50" s="25">
        <v>0</v>
      </c>
      <c r="DS50" s="25">
        <v>0</v>
      </c>
      <c r="DT50" s="25">
        <v>0</v>
      </c>
      <c r="DU50" s="25">
        <v>0</v>
      </c>
      <c r="DV50" s="25">
        <v>0</v>
      </c>
      <c r="DW50" s="23">
        <v>1</v>
      </c>
      <c r="DX50" s="25">
        <v>4</v>
      </c>
      <c r="DY50" s="41" t="s">
        <v>151</v>
      </c>
      <c r="DZ50" s="41">
        <v>100</v>
      </c>
      <c r="EA50" s="41">
        <v>20180301</v>
      </c>
      <c r="EB50" s="41">
        <v>20180301</v>
      </c>
      <c r="EC50" s="41" t="s">
        <v>198</v>
      </c>
      <c r="ED50" s="41" t="s">
        <v>201</v>
      </c>
      <c r="EE50" s="41">
        <v>20180301</v>
      </c>
      <c r="EF50" s="41">
        <v>0</v>
      </c>
      <c r="EG50" s="41">
        <v>0</v>
      </c>
      <c r="EH50" s="41"/>
      <c r="EI50" s="41">
        <v>0</v>
      </c>
      <c r="EJ50" s="41" t="s">
        <v>140</v>
      </c>
      <c r="EK50" s="41">
        <v>818</v>
      </c>
      <c r="EL50" s="41">
        <v>0</v>
      </c>
      <c r="EM50" s="41">
        <v>12</v>
      </c>
      <c r="EN50" s="41">
        <v>20180201</v>
      </c>
      <c r="EO50" s="41">
        <v>0</v>
      </c>
      <c r="EP50" s="41">
        <v>0</v>
      </c>
      <c r="EQ50" s="41">
        <v>11</v>
      </c>
      <c r="ER50" s="25">
        <v>46</v>
      </c>
      <c r="ES50" s="25">
        <v>0</v>
      </c>
      <c r="ET50" s="25">
        <v>0</v>
      </c>
      <c r="EU50" s="25">
        <v>0</v>
      </c>
      <c r="EV50" s="25">
        <v>0</v>
      </c>
      <c r="EW50" s="25">
        <v>0</v>
      </c>
      <c r="EX50" s="25">
        <v>0</v>
      </c>
      <c r="EY50" s="25">
        <v>0</v>
      </c>
      <c r="EZ50" s="25">
        <v>0</v>
      </c>
      <c r="FA50" s="25">
        <v>0</v>
      </c>
      <c r="FB50" s="25">
        <v>0</v>
      </c>
      <c r="FC50" s="25">
        <v>0</v>
      </c>
      <c r="FD50" s="25">
        <v>0</v>
      </c>
      <c r="FE50" s="25">
        <v>0</v>
      </c>
      <c r="FF50" s="25">
        <v>0</v>
      </c>
      <c r="FG50" s="25">
        <v>0</v>
      </c>
      <c r="FH50" s="25">
        <v>0</v>
      </c>
      <c r="FI50" s="25">
        <v>1</v>
      </c>
      <c r="FJ50" s="25">
        <v>1</v>
      </c>
      <c r="FK50" s="25">
        <v>1</v>
      </c>
      <c r="FL50" s="25">
        <v>46</v>
      </c>
      <c r="FM50" s="25" t="s">
        <v>137</v>
      </c>
      <c r="FN50" s="25">
        <v>19730101</v>
      </c>
      <c r="FP50" s="28">
        <v>4</v>
      </c>
      <c r="FQ50" s="47">
        <v>1</v>
      </c>
      <c r="FR50" s="41">
        <v>1</v>
      </c>
      <c r="FS50" s="41" t="str">
        <f t="shared" si="0"/>
        <v>MFPA</v>
      </c>
      <c r="FT50" s="41">
        <f t="shared" si="1"/>
        <v>818</v>
      </c>
      <c r="FU50" s="41">
        <f t="shared" si="2"/>
        <v>46</v>
      </c>
      <c r="FV50" s="41">
        <v>55000</v>
      </c>
      <c r="FW50" s="41">
        <v>248.6</v>
      </c>
      <c r="FX50" s="41"/>
      <c r="FY50" s="29">
        <v>0</v>
      </c>
      <c r="FZ50" s="29">
        <v>0</v>
      </c>
      <c r="GA50" s="30">
        <v>0</v>
      </c>
      <c r="GB50" s="30">
        <v>0</v>
      </c>
      <c r="GC50" s="29">
        <v>0</v>
      </c>
      <c r="GD50" s="41">
        <v>0</v>
      </c>
      <c r="GE50" s="29">
        <v>0</v>
      </c>
      <c r="GF50" s="29">
        <v>0</v>
      </c>
      <c r="GG50" s="29">
        <v>0</v>
      </c>
      <c r="GH50" s="29">
        <v>0</v>
      </c>
      <c r="GI50" s="29">
        <v>0</v>
      </c>
      <c r="GJ50" s="29">
        <v>0</v>
      </c>
      <c r="GK50" s="29">
        <v>0</v>
      </c>
      <c r="GL50" s="29">
        <v>0</v>
      </c>
      <c r="GM50" s="29">
        <v>0</v>
      </c>
      <c r="GN50" s="29">
        <v>0</v>
      </c>
      <c r="GO50" s="29">
        <v>0</v>
      </c>
      <c r="GP50" s="29">
        <v>0</v>
      </c>
      <c r="GQ50" s="29">
        <v>0</v>
      </c>
      <c r="GR50" s="18">
        <v>1</v>
      </c>
      <c r="GS50" s="41">
        <v>2</v>
      </c>
      <c r="GT50" s="41" t="str">
        <f t="shared" si="3"/>
        <v>PURO</v>
      </c>
      <c r="GU50" s="41">
        <v>818</v>
      </c>
      <c r="GV50" s="41">
        <v>58</v>
      </c>
      <c r="GW50" s="41">
        <v>0</v>
      </c>
      <c r="GX50" s="41">
        <v>7.7</v>
      </c>
      <c r="GY50" s="41"/>
      <c r="GZ50" s="41">
        <v>0</v>
      </c>
      <c r="HA50" s="41">
        <v>0</v>
      </c>
      <c r="HB50" s="42">
        <v>0</v>
      </c>
      <c r="HC50" s="42">
        <v>0</v>
      </c>
      <c r="HD50" s="41">
        <v>0</v>
      </c>
      <c r="HE50" s="41">
        <v>0</v>
      </c>
      <c r="HF50" s="41">
        <v>0</v>
      </c>
      <c r="HG50" s="41">
        <v>0</v>
      </c>
      <c r="HH50" s="41">
        <v>0</v>
      </c>
      <c r="HI50" s="41">
        <v>0</v>
      </c>
      <c r="HJ50" s="41">
        <v>0</v>
      </c>
      <c r="HK50" s="41">
        <v>0</v>
      </c>
      <c r="HL50" s="41">
        <v>0</v>
      </c>
      <c r="HM50" s="41">
        <v>0</v>
      </c>
      <c r="HN50" s="41">
        <v>0</v>
      </c>
      <c r="HO50" s="41">
        <v>0</v>
      </c>
      <c r="HP50" s="41">
        <v>0</v>
      </c>
      <c r="HQ50" s="41">
        <v>0</v>
      </c>
      <c r="HR50" s="41">
        <v>0</v>
      </c>
      <c r="HS50" s="24">
        <v>1</v>
      </c>
      <c r="HT50" s="41">
        <v>3</v>
      </c>
      <c r="HU50" s="41" t="str">
        <f t="shared" si="4"/>
        <v>PUDT</v>
      </c>
      <c r="HV50" s="41">
        <v>818</v>
      </c>
      <c r="HW50" s="41">
        <v>58</v>
      </c>
      <c r="HX50" s="41">
        <v>0</v>
      </c>
      <c r="HY50" s="41">
        <v>28.6</v>
      </c>
      <c r="HZ50" s="42"/>
      <c r="IA50" s="41">
        <v>0</v>
      </c>
      <c r="IB50" s="41">
        <v>0</v>
      </c>
      <c r="IC50" s="42">
        <v>0</v>
      </c>
      <c r="ID50" s="42">
        <v>0</v>
      </c>
      <c r="IE50" s="41">
        <v>0</v>
      </c>
      <c r="IF50" s="43">
        <v>0</v>
      </c>
      <c r="IG50" s="41">
        <v>0</v>
      </c>
      <c r="IH50" s="41">
        <v>0</v>
      </c>
      <c r="II50" s="41">
        <v>0</v>
      </c>
      <c r="IJ50" s="41">
        <v>0</v>
      </c>
      <c r="IK50" s="41">
        <v>0</v>
      </c>
      <c r="IL50" s="41">
        <v>0</v>
      </c>
      <c r="IM50" s="41">
        <v>0</v>
      </c>
      <c r="IN50" s="41">
        <v>0</v>
      </c>
      <c r="IO50" s="41">
        <v>0</v>
      </c>
      <c r="IP50" s="41">
        <v>0</v>
      </c>
      <c r="IQ50" s="41">
        <v>0</v>
      </c>
      <c r="IR50" s="41">
        <v>0</v>
      </c>
      <c r="IS50" s="41">
        <v>0</v>
      </c>
      <c r="IT50" s="17">
        <v>1</v>
      </c>
      <c r="IU50" s="41">
        <v>4</v>
      </c>
      <c r="IV50" s="41" t="str">
        <f t="shared" si="5"/>
        <v>PUDS</v>
      </c>
      <c r="IW50" s="41">
        <v>818</v>
      </c>
      <c r="IX50" s="41">
        <v>58</v>
      </c>
      <c r="IY50" s="41">
        <v>0</v>
      </c>
      <c r="IZ50" s="41">
        <v>12.1</v>
      </c>
      <c r="JA50" s="42"/>
      <c r="JB50" s="41">
        <v>0</v>
      </c>
      <c r="JC50" s="41">
        <v>0</v>
      </c>
      <c r="JD50" s="42">
        <v>0</v>
      </c>
      <c r="JE50" s="42">
        <v>0</v>
      </c>
      <c r="JF50" s="41">
        <v>0</v>
      </c>
      <c r="JG50" s="41">
        <v>0</v>
      </c>
      <c r="JH50" s="41">
        <v>0</v>
      </c>
      <c r="JI50" s="41">
        <v>0</v>
      </c>
      <c r="JJ50" s="41">
        <v>0</v>
      </c>
      <c r="JK50" s="41">
        <v>0</v>
      </c>
      <c r="JL50" s="41">
        <v>0</v>
      </c>
      <c r="JM50" s="41">
        <v>0</v>
      </c>
      <c r="JN50" s="41">
        <v>0</v>
      </c>
      <c r="JO50" s="41">
        <v>0</v>
      </c>
      <c r="JP50" s="41">
        <v>0</v>
      </c>
      <c r="JQ50" s="41">
        <v>0</v>
      </c>
      <c r="JR50" s="41">
        <v>0</v>
      </c>
      <c r="JS50" s="41">
        <v>0</v>
      </c>
      <c r="JT50" s="41">
        <v>0</v>
      </c>
      <c r="JU50"/>
    </row>
    <row r="51" spans="1:281" ht="15.75">
      <c r="A51" s="25">
        <v>45</v>
      </c>
      <c r="B51" s="25">
        <v>20190301</v>
      </c>
      <c r="C51" s="25"/>
      <c r="D51" s="25" t="s">
        <v>132</v>
      </c>
      <c r="E51" s="25" t="s">
        <v>132</v>
      </c>
      <c r="F51" s="25" t="s">
        <v>133</v>
      </c>
      <c r="G51" s="25"/>
      <c r="H51" s="25">
        <v>100000045</v>
      </c>
      <c r="I51" s="25" t="s">
        <v>134</v>
      </c>
      <c r="J51" s="25" t="s">
        <v>135</v>
      </c>
      <c r="K51" s="25" t="s">
        <v>132</v>
      </c>
      <c r="L51" s="25">
        <v>4</v>
      </c>
      <c r="M51" s="25">
        <v>1</v>
      </c>
      <c r="N51" s="25">
        <v>1</v>
      </c>
      <c r="O51" s="45" t="s">
        <v>146</v>
      </c>
      <c r="P51" s="25">
        <v>100</v>
      </c>
      <c r="Q51" s="25">
        <v>20180301</v>
      </c>
      <c r="R51" s="25">
        <v>20180301</v>
      </c>
      <c r="S51" s="25" t="s">
        <v>137</v>
      </c>
      <c r="T51" s="25" t="s">
        <v>138</v>
      </c>
      <c r="U51" s="25">
        <v>20190301</v>
      </c>
      <c r="V51" s="25">
        <v>10</v>
      </c>
      <c r="W51" s="25">
        <v>10</v>
      </c>
      <c r="X51" s="25" t="s">
        <v>139</v>
      </c>
      <c r="Y51" s="25">
        <v>0</v>
      </c>
      <c r="Z51" s="25" t="s">
        <v>140</v>
      </c>
      <c r="AA51" s="25">
        <v>818</v>
      </c>
      <c r="AB51" s="41">
        <v>0</v>
      </c>
      <c r="AC51" s="41">
        <v>12</v>
      </c>
      <c r="AD51" s="41">
        <v>20180201</v>
      </c>
      <c r="AE51" s="41">
        <v>0</v>
      </c>
      <c r="AF51" s="26">
        <v>50000</v>
      </c>
      <c r="AG51" s="41">
        <v>226</v>
      </c>
      <c r="AH51" s="26">
        <v>47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0</v>
      </c>
      <c r="AQ51" s="26">
        <v>0</v>
      </c>
      <c r="AR51" s="26">
        <v>0</v>
      </c>
      <c r="AS51" s="26">
        <v>0</v>
      </c>
      <c r="AT51" s="26">
        <v>0</v>
      </c>
      <c r="AU51" s="26">
        <v>0</v>
      </c>
      <c r="AV51" s="26">
        <v>0</v>
      </c>
      <c r="AW51" s="26">
        <v>0</v>
      </c>
      <c r="AX51" s="26">
        <v>0</v>
      </c>
      <c r="AY51" s="46">
        <v>1</v>
      </c>
      <c r="AZ51" s="25">
        <v>2</v>
      </c>
      <c r="BA51" s="41" t="s">
        <v>203</v>
      </c>
      <c r="BB51" s="41">
        <v>100</v>
      </c>
      <c r="BC51" s="41">
        <v>20180301</v>
      </c>
      <c r="BD51" s="41">
        <v>20180301</v>
      </c>
      <c r="BE51" s="41" t="s">
        <v>198</v>
      </c>
      <c r="BF51" s="41" t="s">
        <v>149</v>
      </c>
      <c r="BG51" s="41">
        <v>20180301</v>
      </c>
      <c r="BH51" s="41">
        <v>0</v>
      </c>
      <c r="BI51" s="41">
        <v>0</v>
      </c>
      <c r="BJ51" s="41"/>
      <c r="BK51" s="41">
        <v>0</v>
      </c>
      <c r="BL51" s="41" t="s">
        <v>140</v>
      </c>
      <c r="BM51" s="41">
        <v>818</v>
      </c>
      <c r="BN51" s="41">
        <v>0</v>
      </c>
      <c r="BO51" s="41">
        <v>12</v>
      </c>
      <c r="BP51" s="41">
        <v>20180201</v>
      </c>
      <c r="BQ51" s="41">
        <v>0</v>
      </c>
      <c r="BR51" s="41">
        <v>0</v>
      </c>
      <c r="BS51" s="41">
        <v>7</v>
      </c>
      <c r="BT51" s="25">
        <v>47</v>
      </c>
      <c r="BU51" s="25">
        <v>0</v>
      </c>
      <c r="BV51" s="25">
        <v>0</v>
      </c>
      <c r="BW51" s="25">
        <v>0</v>
      </c>
      <c r="BX51" s="25">
        <v>0</v>
      </c>
      <c r="BY51" s="25">
        <v>0</v>
      </c>
      <c r="BZ51" s="25">
        <v>0</v>
      </c>
      <c r="CA51" s="25">
        <v>0</v>
      </c>
      <c r="CB51" s="25">
        <v>0</v>
      </c>
      <c r="CC51" s="25">
        <v>0</v>
      </c>
      <c r="CD51" s="25">
        <v>0</v>
      </c>
      <c r="CE51" s="25">
        <v>0</v>
      </c>
      <c r="CF51" s="25">
        <v>0</v>
      </c>
      <c r="CG51" s="25">
        <v>0</v>
      </c>
      <c r="CH51" s="25">
        <v>0</v>
      </c>
      <c r="CI51" s="25">
        <v>0</v>
      </c>
      <c r="CJ51" s="25">
        <v>0</v>
      </c>
      <c r="CK51" s="22">
        <v>1</v>
      </c>
      <c r="CL51" s="25">
        <v>3</v>
      </c>
      <c r="CM51" s="41" t="s">
        <v>150</v>
      </c>
      <c r="CN51" s="41">
        <v>100</v>
      </c>
      <c r="CO51" s="41">
        <v>20180301</v>
      </c>
      <c r="CP51" s="41">
        <v>20180301</v>
      </c>
      <c r="CQ51" s="41" t="s">
        <v>198</v>
      </c>
      <c r="CR51" s="41" t="s">
        <v>200</v>
      </c>
      <c r="CS51" s="41">
        <v>20180301</v>
      </c>
      <c r="CT51" s="41">
        <v>0</v>
      </c>
      <c r="CU51" s="41">
        <v>0</v>
      </c>
      <c r="CV51" s="41"/>
      <c r="CW51" s="41">
        <v>0</v>
      </c>
      <c r="CX51" s="41" t="s">
        <v>140</v>
      </c>
      <c r="CY51" s="41">
        <v>818</v>
      </c>
      <c r="CZ51" s="41">
        <v>0</v>
      </c>
      <c r="DA51" s="41">
        <v>12</v>
      </c>
      <c r="DB51" s="41">
        <v>20180201</v>
      </c>
      <c r="DC51" s="41">
        <v>0</v>
      </c>
      <c r="DD51" s="41">
        <v>0</v>
      </c>
      <c r="DE51" s="41">
        <v>26</v>
      </c>
      <c r="DF51" s="25">
        <v>47</v>
      </c>
      <c r="DG51" s="25">
        <v>0</v>
      </c>
      <c r="DH51" s="25">
        <v>0</v>
      </c>
      <c r="DI51" s="25">
        <v>0</v>
      </c>
      <c r="DJ51" s="25">
        <v>0</v>
      </c>
      <c r="DK51" s="25">
        <v>0</v>
      </c>
      <c r="DL51" s="25">
        <v>0</v>
      </c>
      <c r="DM51" s="25">
        <v>0</v>
      </c>
      <c r="DN51" s="25">
        <v>0</v>
      </c>
      <c r="DO51" s="25">
        <v>0</v>
      </c>
      <c r="DP51" s="25">
        <v>0</v>
      </c>
      <c r="DQ51" s="25">
        <v>0</v>
      </c>
      <c r="DR51" s="25">
        <v>0</v>
      </c>
      <c r="DS51" s="25">
        <v>0</v>
      </c>
      <c r="DT51" s="25">
        <v>0</v>
      </c>
      <c r="DU51" s="25">
        <v>0</v>
      </c>
      <c r="DV51" s="25">
        <v>0</v>
      </c>
      <c r="DW51" s="23">
        <v>1</v>
      </c>
      <c r="DX51" s="25">
        <v>4</v>
      </c>
      <c r="DY51" s="41" t="s">
        <v>151</v>
      </c>
      <c r="DZ51" s="41">
        <v>100</v>
      </c>
      <c r="EA51" s="41">
        <v>20180301</v>
      </c>
      <c r="EB51" s="41">
        <v>20180301</v>
      </c>
      <c r="EC51" s="41" t="s">
        <v>198</v>
      </c>
      <c r="ED51" s="41" t="s">
        <v>201</v>
      </c>
      <c r="EE51" s="41">
        <v>20180301</v>
      </c>
      <c r="EF51" s="41">
        <v>0</v>
      </c>
      <c r="EG51" s="41">
        <v>0</v>
      </c>
      <c r="EH51" s="41"/>
      <c r="EI51" s="41">
        <v>0</v>
      </c>
      <c r="EJ51" s="41" t="s">
        <v>140</v>
      </c>
      <c r="EK51" s="41">
        <v>818</v>
      </c>
      <c r="EL51" s="41">
        <v>0</v>
      </c>
      <c r="EM51" s="41">
        <v>12</v>
      </c>
      <c r="EN51" s="41">
        <v>20180201</v>
      </c>
      <c r="EO51" s="41">
        <v>0</v>
      </c>
      <c r="EP51" s="41">
        <v>0</v>
      </c>
      <c r="EQ51" s="41">
        <v>11</v>
      </c>
      <c r="ER51" s="25">
        <v>47</v>
      </c>
      <c r="ES51" s="25">
        <v>0</v>
      </c>
      <c r="ET51" s="25">
        <v>0</v>
      </c>
      <c r="EU51" s="25">
        <v>0</v>
      </c>
      <c r="EV51" s="25">
        <v>0</v>
      </c>
      <c r="EW51" s="25">
        <v>0</v>
      </c>
      <c r="EX51" s="25">
        <v>0</v>
      </c>
      <c r="EY51" s="25">
        <v>0</v>
      </c>
      <c r="EZ51" s="25">
        <v>0</v>
      </c>
      <c r="FA51" s="25">
        <v>0</v>
      </c>
      <c r="FB51" s="25">
        <v>0</v>
      </c>
      <c r="FC51" s="25">
        <v>0</v>
      </c>
      <c r="FD51" s="25">
        <v>0</v>
      </c>
      <c r="FE51" s="25">
        <v>0</v>
      </c>
      <c r="FF51" s="25">
        <v>0</v>
      </c>
      <c r="FG51" s="25">
        <v>0</v>
      </c>
      <c r="FH51" s="25">
        <v>0</v>
      </c>
      <c r="FI51" s="25">
        <v>1</v>
      </c>
      <c r="FJ51" s="25">
        <v>1</v>
      </c>
      <c r="FK51" s="25">
        <v>1</v>
      </c>
      <c r="FL51" s="25">
        <v>47</v>
      </c>
      <c r="FM51" s="25" t="s">
        <v>137</v>
      </c>
      <c r="FN51" s="25">
        <v>19720101</v>
      </c>
      <c r="FP51" s="28">
        <v>4</v>
      </c>
      <c r="FQ51" s="47">
        <v>1</v>
      </c>
      <c r="FR51" s="41">
        <v>1</v>
      </c>
      <c r="FS51" s="41" t="str">
        <f t="shared" si="0"/>
        <v>MFPA</v>
      </c>
      <c r="FT51" s="41">
        <f t="shared" si="1"/>
        <v>818</v>
      </c>
      <c r="FU51" s="41">
        <f t="shared" si="2"/>
        <v>47</v>
      </c>
      <c r="FV51" s="41">
        <v>55000</v>
      </c>
      <c r="FW51" s="41">
        <v>248.6</v>
      </c>
      <c r="FX51" s="41"/>
      <c r="FY51" s="29">
        <v>0</v>
      </c>
      <c r="FZ51" s="29">
        <v>0</v>
      </c>
      <c r="GA51" s="30">
        <v>0</v>
      </c>
      <c r="GB51" s="30">
        <v>0</v>
      </c>
      <c r="GC51" s="29">
        <v>0</v>
      </c>
      <c r="GD51" s="41">
        <v>0</v>
      </c>
      <c r="GE51" s="29">
        <v>0</v>
      </c>
      <c r="GF51" s="29">
        <v>0</v>
      </c>
      <c r="GG51" s="29">
        <v>0</v>
      </c>
      <c r="GH51" s="29">
        <v>0</v>
      </c>
      <c r="GI51" s="29">
        <v>0</v>
      </c>
      <c r="GJ51" s="29">
        <v>0</v>
      </c>
      <c r="GK51" s="29">
        <v>0</v>
      </c>
      <c r="GL51" s="29">
        <v>0</v>
      </c>
      <c r="GM51" s="29">
        <v>0</v>
      </c>
      <c r="GN51" s="29">
        <v>0</v>
      </c>
      <c r="GO51" s="29">
        <v>0</v>
      </c>
      <c r="GP51" s="29">
        <v>0</v>
      </c>
      <c r="GQ51" s="29">
        <v>0</v>
      </c>
      <c r="GR51" s="18">
        <v>1</v>
      </c>
      <c r="GS51" s="41">
        <v>2</v>
      </c>
      <c r="GT51" s="41" t="str">
        <f t="shared" si="3"/>
        <v>PURO</v>
      </c>
      <c r="GU51" s="41">
        <v>818</v>
      </c>
      <c r="GV51" s="41">
        <v>55</v>
      </c>
      <c r="GW51" s="41">
        <v>0</v>
      </c>
      <c r="GX51" s="41">
        <v>7.7</v>
      </c>
      <c r="GY51" s="41"/>
      <c r="GZ51" s="41">
        <v>0</v>
      </c>
      <c r="HA51" s="41">
        <v>0</v>
      </c>
      <c r="HB51" s="42">
        <v>0</v>
      </c>
      <c r="HC51" s="42">
        <v>0</v>
      </c>
      <c r="HD51" s="41">
        <v>0</v>
      </c>
      <c r="HE51" s="41">
        <v>0</v>
      </c>
      <c r="HF51" s="41">
        <v>0</v>
      </c>
      <c r="HG51" s="41">
        <v>0</v>
      </c>
      <c r="HH51" s="41">
        <v>0</v>
      </c>
      <c r="HI51" s="41">
        <v>0</v>
      </c>
      <c r="HJ51" s="41">
        <v>0</v>
      </c>
      <c r="HK51" s="41">
        <v>0</v>
      </c>
      <c r="HL51" s="41">
        <v>0</v>
      </c>
      <c r="HM51" s="41">
        <v>0</v>
      </c>
      <c r="HN51" s="41">
        <v>0</v>
      </c>
      <c r="HO51" s="41">
        <v>0</v>
      </c>
      <c r="HP51" s="41">
        <v>0</v>
      </c>
      <c r="HQ51" s="41">
        <v>0</v>
      </c>
      <c r="HR51" s="41">
        <v>0</v>
      </c>
      <c r="HS51" s="24">
        <v>1</v>
      </c>
      <c r="HT51" s="41">
        <v>3</v>
      </c>
      <c r="HU51" s="41" t="str">
        <f t="shared" si="4"/>
        <v>PUDT</v>
      </c>
      <c r="HV51" s="41">
        <v>818</v>
      </c>
      <c r="HW51" s="41">
        <v>55</v>
      </c>
      <c r="HX51" s="41">
        <v>0</v>
      </c>
      <c r="HY51" s="41">
        <v>28.6</v>
      </c>
      <c r="HZ51" s="42"/>
      <c r="IA51" s="41">
        <v>0</v>
      </c>
      <c r="IB51" s="41">
        <v>0</v>
      </c>
      <c r="IC51" s="42">
        <v>0</v>
      </c>
      <c r="ID51" s="42">
        <v>0</v>
      </c>
      <c r="IE51" s="41">
        <v>0</v>
      </c>
      <c r="IF51" s="43">
        <v>0</v>
      </c>
      <c r="IG51" s="41">
        <v>0</v>
      </c>
      <c r="IH51" s="41">
        <v>0</v>
      </c>
      <c r="II51" s="41">
        <v>0</v>
      </c>
      <c r="IJ51" s="41">
        <v>0</v>
      </c>
      <c r="IK51" s="41">
        <v>0</v>
      </c>
      <c r="IL51" s="41">
        <v>0</v>
      </c>
      <c r="IM51" s="41">
        <v>0</v>
      </c>
      <c r="IN51" s="41">
        <v>0</v>
      </c>
      <c r="IO51" s="41">
        <v>0</v>
      </c>
      <c r="IP51" s="41">
        <v>0</v>
      </c>
      <c r="IQ51" s="41">
        <v>0</v>
      </c>
      <c r="IR51" s="41">
        <v>0</v>
      </c>
      <c r="IS51" s="41">
        <v>0</v>
      </c>
      <c r="IT51" s="17">
        <v>1</v>
      </c>
      <c r="IU51" s="41">
        <v>4</v>
      </c>
      <c r="IV51" s="41" t="str">
        <f t="shared" si="5"/>
        <v>PUDS</v>
      </c>
      <c r="IW51" s="41">
        <v>818</v>
      </c>
      <c r="IX51" s="41">
        <v>55</v>
      </c>
      <c r="IY51" s="41">
        <v>0</v>
      </c>
      <c r="IZ51" s="41">
        <v>12.1</v>
      </c>
      <c r="JA51" s="42"/>
      <c r="JB51" s="41">
        <v>0</v>
      </c>
      <c r="JC51" s="41">
        <v>0</v>
      </c>
      <c r="JD51" s="42">
        <v>0</v>
      </c>
      <c r="JE51" s="42">
        <v>0</v>
      </c>
      <c r="JF51" s="41">
        <v>0</v>
      </c>
      <c r="JG51" s="41">
        <v>0</v>
      </c>
      <c r="JH51" s="41">
        <v>0</v>
      </c>
      <c r="JI51" s="41">
        <v>0</v>
      </c>
      <c r="JJ51" s="41">
        <v>0</v>
      </c>
      <c r="JK51" s="41">
        <v>0</v>
      </c>
      <c r="JL51" s="41">
        <v>0</v>
      </c>
      <c r="JM51" s="41">
        <v>0</v>
      </c>
      <c r="JN51" s="41">
        <v>0</v>
      </c>
      <c r="JO51" s="41">
        <v>0</v>
      </c>
      <c r="JP51" s="41">
        <v>0</v>
      </c>
      <c r="JQ51" s="41">
        <v>0</v>
      </c>
      <c r="JR51" s="41">
        <v>0</v>
      </c>
      <c r="JS51" s="41">
        <v>0</v>
      </c>
      <c r="JT51" s="41">
        <v>0</v>
      </c>
      <c r="JU51"/>
    </row>
    <row r="52" spans="1:281" ht="15.75">
      <c r="A52" s="25">
        <v>46</v>
      </c>
      <c r="B52" s="25">
        <v>20190301</v>
      </c>
      <c r="C52" s="25"/>
      <c r="D52" s="25" t="s">
        <v>132</v>
      </c>
      <c r="E52" s="25" t="s">
        <v>132</v>
      </c>
      <c r="F52" s="25" t="s">
        <v>133</v>
      </c>
      <c r="G52" s="25"/>
      <c r="H52" s="25">
        <v>100000046</v>
      </c>
      <c r="I52" s="25" t="s">
        <v>134</v>
      </c>
      <c r="J52" s="25" t="s">
        <v>135</v>
      </c>
      <c r="K52" s="25" t="s">
        <v>132</v>
      </c>
      <c r="L52" s="25">
        <v>4</v>
      </c>
      <c r="M52" s="25">
        <v>1</v>
      </c>
      <c r="N52" s="25">
        <v>1</v>
      </c>
      <c r="O52" s="45" t="s">
        <v>146</v>
      </c>
      <c r="P52" s="25">
        <v>100</v>
      </c>
      <c r="Q52" s="25">
        <v>20180301</v>
      </c>
      <c r="R52" s="25">
        <v>20180301</v>
      </c>
      <c r="S52" s="25" t="s">
        <v>137</v>
      </c>
      <c r="T52" s="25" t="s">
        <v>142</v>
      </c>
      <c r="U52" s="25">
        <v>20190301</v>
      </c>
      <c r="V52" s="25">
        <v>10</v>
      </c>
      <c r="W52" s="25">
        <v>10</v>
      </c>
      <c r="X52" s="25" t="s">
        <v>139</v>
      </c>
      <c r="Y52" s="25">
        <v>0</v>
      </c>
      <c r="Z52" s="25" t="s">
        <v>140</v>
      </c>
      <c r="AA52" s="25">
        <v>818</v>
      </c>
      <c r="AB52" s="41">
        <v>0</v>
      </c>
      <c r="AC52" s="41">
        <v>12</v>
      </c>
      <c r="AD52" s="41">
        <v>20180201</v>
      </c>
      <c r="AE52" s="41">
        <v>0</v>
      </c>
      <c r="AF52" s="26">
        <v>50000</v>
      </c>
      <c r="AG52" s="41">
        <v>427</v>
      </c>
      <c r="AH52" s="26">
        <v>70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0</v>
      </c>
      <c r="AP52" s="26">
        <v>0</v>
      </c>
      <c r="AQ52" s="26">
        <v>0</v>
      </c>
      <c r="AR52" s="26">
        <v>0</v>
      </c>
      <c r="AS52" s="26">
        <v>0</v>
      </c>
      <c r="AT52" s="26">
        <v>0</v>
      </c>
      <c r="AU52" s="26">
        <v>0</v>
      </c>
      <c r="AV52" s="26">
        <v>0</v>
      </c>
      <c r="AW52" s="26">
        <v>0</v>
      </c>
      <c r="AX52" s="26">
        <v>0</v>
      </c>
      <c r="AY52" s="46">
        <v>1</v>
      </c>
      <c r="AZ52" s="25">
        <v>2</v>
      </c>
      <c r="BA52" s="41" t="s">
        <v>203</v>
      </c>
      <c r="BB52" s="41">
        <v>100</v>
      </c>
      <c r="BC52" s="41">
        <v>20180301</v>
      </c>
      <c r="BD52" s="41">
        <v>20180301</v>
      </c>
      <c r="BE52" s="41" t="s">
        <v>198</v>
      </c>
      <c r="BF52" s="41" t="s">
        <v>149</v>
      </c>
      <c r="BG52" s="41">
        <v>20180301</v>
      </c>
      <c r="BH52" s="41">
        <v>0</v>
      </c>
      <c r="BI52" s="41">
        <v>0</v>
      </c>
      <c r="BJ52" s="41"/>
      <c r="BK52" s="41">
        <v>0</v>
      </c>
      <c r="BL52" s="41" t="s">
        <v>140</v>
      </c>
      <c r="BM52" s="41">
        <v>818</v>
      </c>
      <c r="BN52" s="41">
        <v>0</v>
      </c>
      <c r="BO52" s="41">
        <v>12</v>
      </c>
      <c r="BP52" s="41">
        <v>20180201</v>
      </c>
      <c r="BQ52" s="41">
        <v>0</v>
      </c>
      <c r="BR52" s="41">
        <v>0</v>
      </c>
      <c r="BS52" s="41">
        <v>22</v>
      </c>
      <c r="BT52" s="25">
        <v>70</v>
      </c>
      <c r="BU52" s="25">
        <v>0</v>
      </c>
      <c r="BV52" s="25">
        <v>0</v>
      </c>
      <c r="BW52" s="25">
        <v>0</v>
      </c>
      <c r="BX52" s="25">
        <v>0</v>
      </c>
      <c r="BY52" s="25">
        <v>0</v>
      </c>
      <c r="BZ52" s="25">
        <v>0</v>
      </c>
      <c r="CA52" s="25">
        <v>0</v>
      </c>
      <c r="CB52" s="25">
        <v>0</v>
      </c>
      <c r="CC52" s="25">
        <v>0</v>
      </c>
      <c r="CD52" s="25">
        <v>0</v>
      </c>
      <c r="CE52" s="25">
        <v>0</v>
      </c>
      <c r="CF52" s="25">
        <v>0</v>
      </c>
      <c r="CG52" s="25">
        <v>0</v>
      </c>
      <c r="CH52" s="25">
        <v>0</v>
      </c>
      <c r="CI52" s="25">
        <v>0</v>
      </c>
      <c r="CJ52" s="25">
        <v>0</v>
      </c>
      <c r="CK52" s="22">
        <v>1</v>
      </c>
      <c r="CL52" s="25">
        <v>3</v>
      </c>
      <c r="CM52" s="41" t="s">
        <v>150</v>
      </c>
      <c r="CN52" s="41">
        <v>100</v>
      </c>
      <c r="CO52" s="41">
        <v>20180301</v>
      </c>
      <c r="CP52" s="41">
        <v>20180301</v>
      </c>
      <c r="CQ52" s="41" t="s">
        <v>198</v>
      </c>
      <c r="CR52" s="41" t="s">
        <v>200</v>
      </c>
      <c r="CS52" s="41">
        <v>20180301</v>
      </c>
      <c r="CT52" s="41">
        <v>0</v>
      </c>
      <c r="CU52" s="41">
        <v>0</v>
      </c>
      <c r="CV52" s="41"/>
      <c r="CW52" s="41">
        <v>0</v>
      </c>
      <c r="CX52" s="41" t="s">
        <v>140</v>
      </c>
      <c r="CY52" s="41">
        <v>818</v>
      </c>
      <c r="CZ52" s="41">
        <v>0</v>
      </c>
      <c r="DA52" s="41">
        <v>12</v>
      </c>
      <c r="DB52" s="41">
        <v>20180201</v>
      </c>
      <c r="DC52" s="41">
        <v>0</v>
      </c>
      <c r="DD52" s="41">
        <v>0</v>
      </c>
      <c r="DE52" s="41">
        <v>71</v>
      </c>
      <c r="DF52" s="25">
        <v>70</v>
      </c>
      <c r="DG52" s="25">
        <v>0</v>
      </c>
      <c r="DH52" s="25">
        <v>0</v>
      </c>
      <c r="DI52" s="25">
        <v>0</v>
      </c>
      <c r="DJ52" s="25">
        <v>0</v>
      </c>
      <c r="DK52" s="25">
        <v>0</v>
      </c>
      <c r="DL52" s="25">
        <v>0</v>
      </c>
      <c r="DM52" s="25">
        <v>0</v>
      </c>
      <c r="DN52" s="25">
        <v>0</v>
      </c>
      <c r="DO52" s="25">
        <v>0</v>
      </c>
      <c r="DP52" s="25">
        <v>0</v>
      </c>
      <c r="DQ52" s="25">
        <v>0</v>
      </c>
      <c r="DR52" s="25">
        <v>0</v>
      </c>
      <c r="DS52" s="25">
        <v>0</v>
      </c>
      <c r="DT52" s="25">
        <v>0</v>
      </c>
      <c r="DU52" s="25">
        <v>0</v>
      </c>
      <c r="DV52" s="25">
        <v>0</v>
      </c>
      <c r="DW52" s="23">
        <v>1</v>
      </c>
      <c r="DX52" s="25">
        <v>4</v>
      </c>
      <c r="DY52" s="41" t="s">
        <v>151</v>
      </c>
      <c r="DZ52" s="41">
        <v>100</v>
      </c>
      <c r="EA52" s="41">
        <v>20180301</v>
      </c>
      <c r="EB52" s="41">
        <v>20180301</v>
      </c>
      <c r="EC52" s="41" t="s">
        <v>198</v>
      </c>
      <c r="ED52" s="41" t="s">
        <v>201</v>
      </c>
      <c r="EE52" s="41">
        <v>20180301</v>
      </c>
      <c r="EF52" s="41">
        <v>0</v>
      </c>
      <c r="EG52" s="41">
        <v>0</v>
      </c>
      <c r="EH52" s="41"/>
      <c r="EI52" s="41">
        <v>0</v>
      </c>
      <c r="EJ52" s="41" t="s">
        <v>140</v>
      </c>
      <c r="EK52" s="41">
        <v>818</v>
      </c>
      <c r="EL52" s="41">
        <v>0</v>
      </c>
      <c r="EM52" s="41">
        <v>12</v>
      </c>
      <c r="EN52" s="41">
        <v>20180201</v>
      </c>
      <c r="EO52" s="41">
        <v>0</v>
      </c>
      <c r="EP52" s="41">
        <v>0</v>
      </c>
      <c r="EQ52" s="41">
        <v>21</v>
      </c>
      <c r="ER52" s="25">
        <v>70</v>
      </c>
      <c r="ES52" s="25">
        <v>0</v>
      </c>
      <c r="ET52" s="25">
        <v>0</v>
      </c>
      <c r="EU52" s="25">
        <v>0</v>
      </c>
      <c r="EV52" s="25">
        <v>0</v>
      </c>
      <c r="EW52" s="25">
        <v>0</v>
      </c>
      <c r="EX52" s="25">
        <v>0</v>
      </c>
      <c r="EY52" s="25">
        <v>0</v>
      </c>
      <c r="EZ52" s="25">
        <v>0</v>
      </c>
      <c r="FA52" s="25">
        <v>0</v>
      </c>
      <c r="FB52" s="25">
        <v>0</v>
      </c>
      <c r="FC52" s="25">
        <v>0</v>
      </c>
      <c r="FD52" s="25">
        <v>0</v>
      </c>
      <c r="FE52" s="25">
        <v>0</v>
      </c>
      <c r="FF52" s="25">
        <v>0</v>
      </c>
      <c r="FG52" s="25">
        <v>0</v>
      </c>
      <c r="FH52" s="25">
        <v>0</v>
      </c>
      <c r="FI52" s="25">
        <v>1</v>
      </c>
      <c r="FJ52" s="25">
        <v>1</v>
      </c>
      <c r="FK52" s="25">
        <v>1</v>
      </c>
      <c r="FL52" s="25">
        <v>70</v>
      </c>
      <c r="FM52" s="25" t="s">
        <v>137</v>
      </c>
      <c r="FN52" s="25">
        <v>19710101</v>
      </c>
      <c r="FP52" s="28">
        <v>4</v>
      </c>
      <c r="FQ52" s="47">
        <v>1</v>
      </c>
      <c r="FR52" s="41">
        <v>1</v>
      </c>
      <c r="FS52" s="41" t="str">
        <f t="shared" si="0"/>
        <v>MFPA</v>
      </c>
      <c r="FT52" s="41">
        <f t="shared" si="1"/>
        <v>818</v>
      </c>
      <c r="FU52" s="41">
        <f t="shared" si="2"/>
        <v>70</v>
      </c>
      <c r="FV52" s="41">
        <v>55000</v>
      </c>
      <c r="FW52" s="41">
        <v>469.7</v>
      </c>
      <c r="FX52" s="41"/>
      <c r="FY52" s="29">
        <v>0</v>
      </c>
      <c r="FZ52" s="29">
        <v>0</v>
      </c>
      <c r="GA52" s="30">
        <v>0</v>
      </c>
      <c r="GB52" s="30">
        <v>0</v>
      </c>
      <c r="GC52" s="29">
        <v>0</v>
      </c>
      <c r="GD52" s="41">
        <v>0</v>
      </c>
      <c r="GE52" s="29">
        <v>0</v>
      </c>
      <c r="GF52" s="29">
        <v>0</v>
      </c>
      <c r="GG52" s="29">
        <v>0</v>
      </c>
      <c r="GH52" s="29">
        <v>0</v>
      </c>
      <c r="GI52" s="29">
        <v>0</v>
      </c>
      <c r="GJ52" s="29">
        <v>0</v>
      </c>
      <c r="GK52" s="29">
        <v>0</v>
      </c>
      <c r="GL52" s="29">
        <v>0</v>
      </c>
      <c r="GM52" s="29">
        <v>0</v>
      </c>
      <c r="GN52" s="29">
        <v>0</v>
      </c>
      <c r="GO52" s="29">
        <v>0</v>
      </c>
      <c r="GP52" s="29">
        <v>0</v>
      </c>
      <c r="GQ52" s="29">
        <v>0</v>
      </c>
      <c r="GR52" s="18">
        <v>1</v>
      </c>
      <c r="GS52" s="41">
        <v>2</v>
      </c>
      <c r="GT52" s="41" t="str">
        <f t="shared" si="3"/>
        <v>PURO</v>
      </c>
      <c r="GU52" s="41">
        <v>818</v>
      </c>
      <c r="GV52" s="41">
        <v>56</v>
      </c>
      <c r="GW52" s="41">
        <v>0</v>
      </c>
      <c r="GX52" s="41">
        <v>24.2</v>
      </c>
      <c r="GY52" s="41"/>
      <c r="GZ52" s="41">
        <v>0</v>
      </c>
      <c r="HA52" s="41">
        <v>0</v>
      </c>
      <c r="HB52" s="42">
        <v>0</v>
      </c>
      <c r="HC52" s="42">
        <v>0</v>
      </c>
      <c r="HD52" s="41">
        <v>0</v>
      </c>
      <c r="HE52" s="41">
        <v>0</v>
      </c>
      <c r="HF52" s="41">
        <v>0</v>
      </c>
      <c r="HG52" s="41">
        <v>0</v>
      </c>
      <c r="HH52" s="41">
        <v>0</v>
      </c>
      <c r="HI52" s="41">
        <v>0</v>
      </c>
      <c r="HJ52" s="41">
        <v>0</v>
      </c>
      <c r="HK52" s="41">
        <v>0</v>
      </c>
      <c r="HL52" s="41">
        <v>0</v>
      </c>
      <c r="HM52" s="41">
        <v>0</v>
      </c>
      <c r="HN52" s="41">
        <v>0</v>
      </c>
      <c r="HO52" s="41">
        <v>0</v>
      </c>
      <c r="HP52" s="41">
        <v>0</v>
      </c>
      <c r="HQ52" s="41">
        <v>0</v>
      </c>
      <c r="HR52" s="41">
        <v>0</v>
      </c>
      <c r="HS52" s="24">
        <v>1</v>
      </c>
      <c r="HT52" s="41">
        <v>3</v>
      </c>
      <c r="HU52" s="41" t="str">
        <f t="shared" si="4"/>
        <v>PUDT</v>
      </c>
      <c r="HV52" s="41">
        <v>818</v>
      </c>
      <c r="HW52" s="41">
        <v>56</v>
      </c>
      <c r="HX52" s="41">
        <v>0</v>
      </c>
      <c r="HY52" s="41">
        <v>78.099999999999994</v>
      </c>
      <c r="HZ52" s="42"/>
      <c r="IA52" s="41">
        <v>0</v>
      </c>
      <c r="IB52" s="41">
        <v>0</v>
      </c>
      <c r="IC52" s="42">
        <v>0</v>
      </c>
      <c r="ID52" s="42">
        <v>0</v>
      </c>
      <c r="IE52" s="41">
        <v>0</v>
      </c>
      <c r="IF52" s="43">
        <v>0</v>
      </c>
      <c r="IG52" s="41">
        <v>0</v>
      </c>
      <c r="IH52" s="41">
        <v>0</v>
      </c>
      <c r="II52" s="41">
        <v>0</v>
      </c>
      <c r="IJ52" s="41">
        <v>0</v>
      </c>
      <c r="IK52" s="41">
        <v>0</v>
      </c>
      <c r="IL52" s="41">
        <v>0</v>
      </c>
      <c r="IM52" s="41">
        <v>0</v>
      </c>
      <c r="IN52" s="41">
        <v>0</v>
      </c>
      <c r="IO52" s="41">
        <v>0</v>
      </c>
      <c r="IP52" s="41">
        <v>0</v>
      </c>
      <c r="IQ52" s="41">
        <v>0</v>
      </c>
      <c r="IR52" s="41">
        <v>0</v>
      </c>
      <c r="IS52" s="41">
        <v>0</v>
      </c>
      <c r="IT52" s="17">
        <v>1</v>
      </c>
      <c r="IU52" s="41">
        <v>4</v>
      </c>
      <c r="IV52" s="41" t="str">
        <f t="shared" si="5"/>
        <v>PUDS</v>
      </c>
      <c r="IW52" s="41">
        <v>818</v>
      </c>
      <c r="IX52" s="41">
        <v>56</v>
      </c>
      <c r="IY52" s="41">
        <v>0</v>
      </c>
      <c r="IZ52" s="41">
        <v>23.1</v>
      </c>
      <c r="JA52" s="42"/>
      <c r="JB52" s="41">
        <v>0</v>
      </c>
      <c r="JC52" s="41">
        <v>0</v>
      </c>
      <c r="JD52" s="42">
        <v>0</v>
      </c>
      <c r="JE52" s="42">
        <v>0</v>
      </c>
      <c r="JF52" s="41">
        <v>0</v>
      </c>
      <c r="JG52" s="41">
        <v>0</v>
      </c>
      <c r="JH52" s="41">
        <v>0</v>
      </c>
      <c r="JI52" s="41">
        <v>0</v>
      </c>
      <c r="JJ52" s="41">
        <v>0</v>
      </c>
      <c r="JK52" s="41">
        <v>0</v>
      </c>
      <c r="JL52" s="41">
        <v>0</v>
      </c>
      <c r="JM52" s="41">
        <v>0</v>
      </c>
      <c r="JN52" s="41">
        <v>0</v>
      </c>
      <c r="JO52" s="41">
        <v>0</v>
      </c>
      <c r="JP52" s="41">
        <v>0</v>
      </c>
      <c r="JQ52" s="41">
        <v>0</v>
      </c>
      <c r="JR52" s="41">
        <v>0</v>
      </c>
      <c r="JS52" s="41">
        <v>0</v>
      </c>
      <c r="JT52" s="41">
        <v>0</v>
      </c>
      <c r="JU52"/>
    </row>
    <row r="53" spans="1:281" ht="15.75">
      <c r="A53" s="25">
        <v>47</v>
      </c>
      <c r="B53" s="25">
        <v>20190301</v>
      </c>
      <c r="C53" s="25"/>
      <c r="D53" s="25" t="s">
        <v>132</v>
      </c>
      <c r="E53" s="25" t="s">
        <v>132</v>
      </c>
      <c r="F53" s="25" t="s">
        <v>133</v>
      </c>
      <c r="G53" s="25"/>
      <c r="H53" s="25">
        <v>100000047</v>
      </c>
      <c r="I53" s="25" t="s">
        <v>134</v>
      </c>
      <c r="J53" s="25" t="s">
        <v>135</v>
      </c>
      <c r="K53" s="25" t="s">
        <v>132</v>
      </c>
      <c r="L53" s="25">
        <v>4</v>
      </c>
      <c r="M53" s="25">
        <v>1</v>
      </c>
      <c r="N53" s="25">
        <v>1</v>
      </c>
      <c r="O53" s="45" t="s">
        <v>148</v>
      </c>
      <c r="P53" s="25">
        <v>100</v>
      </c>
      <c r="Q53" s="25">
        <v>20180301</v>
      </c>
      <c r="R53" s="25">
        <v>20180301</v>
      </c>
      <c r="S53" s="25" t="s">
        <v>137</v>
      </c>
      <c r="T53" s="25" t="s">
        <v>142</v>
      </c>
      <c r="U53" s="25">
        <v>20190301</v>
      </c>
      <c r="V53" s="25">
        <v>10</v>
      </c>
      <c r="W53" s="25">
        <v>10</v>
      </c>
      <c r="X53" s="25" t="s">
        <v>139</v>
      </c>
      <c r="Y53" s="25">
        <v>0</v>
      </c>
      <c r="Z53" s="25" t="s">
        <v>140</v>
      </c>
      <c r="AA53" s="25">
        <v>818</v>
      </c>
      <c r="AB53" s="41">
        <v>0</v>
      </c>
      <c r="AC53" s="41">
        <v>12</v>
      </c>
      <c r="AD53" s="41">
        <v>20180201</v>
      </c>
      <c r="AE53" s="41">
        <v>0</v>
      </c>
      <c r="AF53" s="26">
        <v>50000</v>
      </c>
      <c r="AG53" s="41">
        <v>258</v>
      </c>
      <c r="AH53" s="26">
        <v>38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  <c r="AP53" s="26">
        <v>0</v>
      </c>
      <c r="AQ53" s="26">
        <v>0</v>
      </c>
      <c r="AR53" s="26">
        <v>0</v>
      </c>
      <c r="AS53" s="26">
        <v>0</v>
      </c>
      <c r="AT53" s="26">
        <v>0</v>
      </c>
      <c r="AU53" s="26">
        <v>0</v>
      </c>
      <c r="AV53" s="26">
        <v>0</v>
      </c>
      <c r="AW53" s="26">
        <v>0</v>
      </c>
      <c r="AX53" s="26">
        <v>0</v>
      </c>
      <c r="AY53" s="46">
        <v>1</v>
      </c>
      <c r="AZ53" s="25">
        <v>2</v>
      </c>
      <c r="BA53" s="41" t="s">
        <v>203</v>
      </c>
      <c r="BB53" s="41">
        <v>100</v>
      </c>
      <c r="BC53" s="41">
        <v>20180301</v>
      </c>
      <c r="BD53" s="41">
        <v>20180301</v>
      </c>
      <c r="BE53" s="41" t="s">
        <v>198</v>
      </c>
      <c r="BF53" s="41" t="s">
        <v>149</v>
      </c>
      <c r="BG53" s="41">
        <v>20180301</v>
      </c>
      <c r="BH53" s="41">
        <v>0</v>
      </c>
      <c r="BI53" s="41">
        <v>0</v>
      </c>
      <c r="BJ53" s="41"/>
      <c r="BK53" s="41">
        <v>0</v>
      </c>
      <c r="BL53" s="41" t="s">
        <v>140</v>
      </c>
      <c r="BM53" s="41">
        <v>818</v>
      </c>
      <c r="BN53" s="41">
        <v>0</v>
      </c>
      <c r="BO53" s="41">
        <v>12</v>
      </c>
      <c r="BP53" s="41">
        <v>20180201</v>
      </c>
      <c r="BQ53" s="41">
        <v>0</v>
      </c>
      <c r="BR53" s="41">
        <v>0</v>
      </c>
      <c r="BS53" s="41">
        <v>45</v>
      </c>
      <c r="BT53" s="25">
        <v>38</v>
      </c>
      <c r="BU53" s="25">
        <v>0</v>
      </c>
      <c r="BV53" s="25">
        <v>0</v>
      </c>
      <c r="BW53" s="25">
        <v>0</v>
      </c>
      <c r="BX53" s="25">
        <v>0</v>
      </c>
      <c r="BY53" s="25">
        <v>0</v>
      </c>
      <c r="BZ53" s="25">
        <v>0</v>
      </c>
      <c r="CA53" s="25">
        <v>0</v>
      </c>
      <c r="CB53" s="25">
        <v>0</v>
      </c>
      <c r="CC53" s="25">
        <v>0</v>
      </c>
      <c r="CD53" s="25">
        <v>0</v>
      </c>
      <c r="CE53" s="25">
        <v>0</v>
      </c>
      <c r="CF53" s="25">
        <v>0</v>
      </c>
      <c r="CG53" s="25">
        <v>0</v>
      </c>
      <c r="CH53" s="25">
        <v>0</v>
      </c>
      <c r="CI53" s="25">
        <v>0</v>
      </c>
      <c r="CJ53" s="25">
        <v>0</v>
      </c>
      <c r="CK53" s="22">
        <v>1</v>
      </c>
      <c r="CL53" s="25">
        <v>3</v>
      </c>
      <c r="CM53" s="41" t="s">
        <v>150</v>
      </c>
      <c r="CN53" s="41">
        <v>100</v>
      </c>
      <c r="CO53" s="41">
        <v>20180301</v>
      </c>
      <c r="CP53" s="41">
        <v>20180301</v>
      </c>
      <c r="CQ53" s="41" t="s">
        <v>198</v>
      </c>
      <c r="CR53" s="41" t="s">
        <v>200</v>
      </c>
      <c r="CS53" s="41">
        <v>20180301</v>
      </c>
      <c r="CT53" s="41">
        <v>0</v>
      </c>
      <c r="CU53" s="41">
        <v>0</v>
      </c>
      <c r="CV53" s="41"/>
      <c r="CW53" s="41">
        <v>0</v>
      </c>
      <c r="CX53" s="41" t="s">
        <v>140</v>
      </c>
      <c r="CY53" s="41">
        <v>818</v>
      </c>
      <c r="CZ53" s="41">
        <v>0</v>
      </c>
      <c r="DA53" s="41">
        <v>12</v>
      </c>
      <c r="DB53" s="41">
        <v>20180201</v>
      </c>
      <c r="DC53" s="41">
        <v>0</v>
      </c>
      <c r="DD53" s="41">
        <v>0</v>
      </c>
      <c r="DE53" s="41">
        <v>62</v>
      </c>
      <c r="DF53" s="25">
        <v>38</v>
      </c>
      <c r="DG53" s="25">
        <v>0</v>
      </c>
      <c r="DH53" s="25">
        <v>0</v>
      </c>
      <c r="DI53" s="25">
        <v>0</v>
      </c>
      <c r="DJ53" s="25">
        <v>0</v>
      </c>
      <c r="DK53" s="25">
        <v>0</v>
      </c>
      <c r="DL53" s="25">
        <v>0</v>
      </c>
      <c r="DM53" s="25">
        <v>0</v>
      </c>
      <c r="DN53" s="25">
        <v>0</v>
      </c>
      <c r="DO53" s="25">
        <v>0</v>
      </c>
      <c r="DP53" s="25">
        <v>0</v>
      </c>
      <c r="DQ53" s="25">
        <v>0</v>
      </c>
      <c r="DR53" s="25">
        <v>0</v>
      </c>
      <c r="DS53" s="25">
        <v>0</v>
      </c>
      <c r="DT53" s="25">
        <v>0</v>
      </c>
      <c r="DU53" s="25">
        <v>0</v>
      </c>
      <c r="DV53" s="25">
        <v>0</v>
      </c>
      <c r="DW53" s="23">
        <v>1</v>
      </c>
      <c r="DX53" s="25">
        <v>4</v>
      </c>
      <c r="DY53" s="41" t="s">
        <v>151</v>
      </c>
      <c r="DZ53" s="41">
        <v>100</v>
      </c>
      <c r="EA53" s="41">
        <v>20180301</v>
      </c>
      <c r="EB53" s="41">
        <v>20180301</v>
      </c>
      <c r="EC53" s="41" t="s">
        <v>198</v>
      </c>
      <c r="ED53" s="41" t="s">
        <v>201</v>
      </c>
      <c r="EE53" s="41">
        <v>20180301</v>
      </c>
      <c r="EF53" s="41">
        <v>0</v>
      </c>
      <c r="EG53" s="41">
        <v>0</v>
      </c>
      <c r="EH53" s="41"/>
      <c r="EI53" s="41">
        <v>0</v>
      </c>
      <c r="EJ53" s="41" t="s">
        <v>140</v>
      </c>
      <c r="EK53" s="41">
        <v>818</v>
      </c>
      <c r="EL53" s="41">
        <v>0</v>
      </c>
      <c r="EM53" s="41">
        <v>12</v>
      </c>
      <c r="EN53" s="41">
        <v>20180201</v>
      </c>
      <c r="EO53" s="41">
        <v>0</v>
      </c>
      <c r="EP53" s="41">
        <v>0</v>
      </c>
      <c r="EQ53" s="41">
        <v>22</v>
      </c>
      <c r="ER53" s="25">
        <v>38</v>
      </c>
      <c r="ES53" s="25">
        <v>0</v>
      </c>
      <c r="ET53" s="25">
        <v>0</v>
      </c>
      <c r="EU53" s="25">
        <v>0</v>
      </c>
      <c r="EV53" s="25">
        <v>0</v>
      </c>
      <c r="EW53" s="25">
        <v>0</v>
      </c>
      <c r="EX53" s="25">
        <v>0</v>
      </c>
      <c r="EY53" s="25">
        <v>0</v>
      </c>
      <c r="EZ53" s="25">
        <v>0</v>
      </c>
      <c r="FA53" s="25">
        <v>0</v>
      </c>
      <c r="FB53" s="25">
        <v>0</v>
      </c>
      <c r="FC53" s="25">
        <v>0</v>
      </c>
      <c r="FD53" s="25">
        <v>0</v>
      </c>
      <c r="FE53" s="25">
        <v>0</v>
      </c>
      <c r="FF53" s="25">
        <v>0</v>
      </c>
      <c r="FG53" s="25">
        <v>0</v>
      </c>
      <c r="FH53" s="25">
        <v>0</v>
      </c>
      <c r="FI53" s="25">
        <v>1</v>
      </c>
      <c r="FJ53" s="25">
        <v>1</v>
      </c>
      <c r="FK53" s="25">
        <v>1</v>
      </c>
      <c r="FL53" s="25">
        <v>38</v>
      </c>
      <c r="FM53" s="25" t="s">
        <v>137</v>
      </c>
      <c r="FN53" s="25">
        <v>19810101</v>
      </c>
      <c r="FP53" s="28">
        <v>4</v>
      </c>
      <c r="FQ53" s="47">
        <v>1</v>
      </c>
      <c r="FR53" s="41">
        <v>1</v>
      </c>
      <c r="FS53" s="41" t="str">
        <f t="shared" si="0"/>
        <v>MFEF</v>
      </c>
      <c r="FT53" s="41">
        <f t="shared" si="1"/>
        <v>818</v>
      </c>
      <c r="FU53" s="41">
        <f t="shared" si="2"/>
        <v>38</v>
      </c>
      <c r="FV53" s="41">
        <v>55000</v>
      </c>
      <c r="FW53" s="41">
        <v>283.8</v>
      </c>
      <c r="FX53" s="41"/>
      <c r="FY53" s="29">
        <v>0</v>
      </c>
      <c r="FZ53" s="29">
        <v>0</v>
      </c>
      <c r="GA53" s="30">
        <v>0</v>
      </c>
      <c r="GB53" s="30">
        <v>0</v>
      </c>
      <c r="GC53" s="29">
        <v>0</v>
      </c>
      <c r="GD53" s="41">
        <v>0</v>
      </c>
      <c r="GE53" s="29">
        <v>0</v>
      </c>
      <c r="GF53" s="29">
        <v>0</v>
      </c>
      <c r="GG53" s="29">
        <v>0</v>
      </c>
      <c r="GH53" s="29">
        <v>0</v>
      </c>
      <c r="GI53" s="29">
        <v>0</v>
      </c>
      <c r="GJ53" s="29">
        <v>0</v>
      </c>
      <c r="GK53" s="29">
        <v>0</v>
      </c>
      <c r="GL53" s="29">
        <v>0</v>
      </c>
      <c r="GM53" s="29">
        <v>0</v>
      </c>
      <c r="GN53" s="29">
        <v>0</v>
      </c>
      <c r="GO53" s="29">
        <v>0</v>
      </c>
      <c r="GP53" s="29">
        <v>0</v>
      </c>
      <c r="GQ53" s="29">
        <v>0</v>
      </c>
      <c r="GR53" s="18">
        <v>1</v>
      </c>
      <c r="GS53" s="41">
        <v>2</v>
      </c>
      <c r="GT53" s="41" t="str">
        <f t="shared" si="3"/>
        <v>PURO</v>
      </c>
      <c r="GU53" s="41">
        <v>818</v>
      </c>
      <c r="GV53" s="41">
        <v>57</v>
      </c>
      <c r="GW53" s="41">
        <v>0</v>
      </c>
      <c r="GX53" s="41">
        <v>49.5</v>
      </c>
      <c r="GY53" s="41"/>
      <c r="GZ53" s="41">
        <v>0</v>
      </c>
      <c r="HA53" s="41">
        <v>0</v>
      </c>
      <c r="HB53" s="42">
        <v>0</v>
      </c>
      <c r="HC53" s="42">
        <v>0</v>
      </c>
      <c r="HD53" s="41">
        <v>0</v>
      </c>
      <c r="HE53" s="41">
        <v>0</v>
      </c>
      <c r="HF53" s="41">
        <v>0</v>
      </c>
      <c r="HG53" s="41">
        <v>0</v>
      </c>
      <c r="HH53" s="41">
        <v>0</v>
      </c>
      <c r="HI53" s="41">
        <v>0</v>
      </c>
      <c r="HJ53" s="41">
        <v>0</v>
      </c>
      <c r="HK53" s="41">
        <v>0</v>
      </c>
      <c r="HL53" s="41">
        <v>0</v>
      </c>
      <c r="HM53" s="41">
        <v>0</v>
      </c>
      <c r="HN53" s="41">
        <v>0</v>
      </c>
      <c r="HO53" s="41">
        <v>0</v>
      </c>
      <c r="HP53" s="41">
        <v>0</v>
      </c>
      <c r="HQ53" s="41">
        <v>0</v>
      </c>
      <c r="HR53" s="41">
        <v>0</v>
      </c>
      <c r="HS53" s="24">
        <v>1</v>
      </c>
      <c r="HT53" s="41">
        <v>3</v>
      </c>
      <c r="HU53" s="41" t="str">
        <f t="shared" si="4"/>
        <v>PUDT</v>
      </c>
      <c r="HV53" s="41">
        <v>818</v>
      </c>
      <c r="HW53" s="41">
        <v>57</v>
      </c>
      <c r="HX53" s="41">
        <v>0</v>
      </c>
      <c r="HY53" s="41">
        <v>68.2</v>
      </c>
      <c r="HZ53" s="42"/>
      <c r="IA53" s="41">
        <v>0</v>
      </c>
      <c r="IB53" s="41">
        <v>0</v>
      </c>
      <c r="IC53" s="42">
        <v>0</v>
      </c>
      <c r="ID53" s="42">
        <v>0</v>
      </c>
      <c r="IE53" s="41">
        <v>0</v>
      </c>
      <c r="IF53" s="43">
        <v>0</v>
      </c>
      <c r="IG53" s="41">
        <v>0</v>
      </c>
      <c r="IH53" s="41">
        <v>0</v>
      </c>
      <c r="II53" s="41">
        <v>0</v>
      </c>
      <c r="IJ53" s="41">
        <v>0</v>
      </c>
      <c r="IK53" s="41">
        <v>0</v>
      </c>
      <c r="IL53" s="41">
        <v>0</v>
      </c>
      <c r="IM53" s="41">
        <v>0</v>
      </c>
      <c r="IN53" s="41">
        <v>0</v>
      </c>
      <c r="IO53" s="41">
        <v>0</v>
      </c>
      <c r="IP53" s="41">
        <v>0</v>
      </c>
      <c r="IQ53" s="41">
        <v>0</v>
      </c>
      <c r="IR53" s="41">
        <v>0</v>
      </c>
      <c r="IS53" s="41">
        <v>0</v>
      </c>
      <c r="IT53" s="17">
        <v>1</v>
      </c>
      <c r="IU53" s="41">
        <v>4</v>
      </c>
      <c r="IV53" s="41" t="str">
        <f t="shared" si="5"/>
        <v>PUDS</v>
      </c>
      <c r="IW53" s="41">
        <v>818</v>
      </c>
      <c r="IX53" s="41">
        <v>57</v>
      </c>
      <c r="IY53" s="41">
        <v>0</v>
      </c>
      <c r="IZ53" s="41">
        <v>24.2</v>
      </c>
      <c r="JA53" s="42"/>
      <c r="JB53" s="41">
        <v>0</v>
      </c>
      <c r="JC53" s="41">
        <v>0</v>
      </c>
      <c r="JD53" s="42">
        <v>0</v>
      </c>
      <c r="JE53" s="42">
        <v>0</v>
      </c>
      <c r="JF53" s="41">
        <v>0</v>
      </c>
      <c r="JG53" s="41">
        <v>0</v>
      </c>
      <c r="JH53" s="41">
        <v>0</v>
      </c>
      <c r="JI53" s="41">
        <v>0</v>
      </c>
      <c r="JJ53" s="41">
        <v>0</v>
      </c>
      <c r="JK53" s="41">
        <v>0</v>
      </c>
      <c r="JL53" s="41">
        <v>0</v>
      </c>
      <c r="JM53" s="41">
        <v>0</v>
      </c>
      <c r="JN53" s="41">
        <v>0</v>
      </c>
      <c r="JO53" s="41">
        <v>0</v>
      </c>
      <c r="JP53" s="41">
        <v>0</v>
      </c>
      <c r="JQ53" s="41">
        <v>0</v>
      </c>
      <c r="JR53" s="41">
        <v>0</v>
      </c>
      <c r="JS53" s="41">
        <v>0</v>
      </c>
      <c r="JT53" s="41">
        <v>0</v>
      </c>
      <c r="JU53"/>
    </row>
    <row r="54" spans="1:281" ht="15.75">
      <c r="A54" s="25">
        <v>48</v>
      </c>
      <c r="B54" s="25">
        <v>20190301</v>
      </c>
      <c r="C54" s="25"/>
      <c r="D54" s="25" t="s">
        <v>132</v>
      </c>
      <c r="E54" s="25" t="s">
        <v>132</v>
      </c>
      <c r="F54" s="25" t="s">
        <v>133</v>
      </c>
      <c r="G54" s="25"/>
      <c r="H54" s="25">
        <v>100000048</v>
      </c>
      <c r="I54" s="25" t="s">
        <v>134</v>
      </c>
      <c r="J54" s="25" t="s">
        <v>135</v>
      </c>
      <c r="K54" s="25" t="s">
        <v>132</v>
      </c>
      <c r="L54" s="25">
        <v>4</v>
      </c>
      <c r="M54" s="25">
        <v>1</v>
      </c>
      <c r="N54" s="25">
        <v>1</v>
      </c>
      <c r="O54" s="45" t="s">
        <v>148</v>
      </c>
      <c r="P54" s="25">
        <v>100</v>
      </c>
      <c r="Q54" s="25">
        <v>20180301</v>
      </c>
      <c r="R54" s="25">
        <v>20180301</v>
      </c>
      <c r="S54" s="25" t="s">
        <v>137</v>
      </c>
      <c r="T54" s="25" t="s">
        <v>142</v>
      </c>
      <c r="U54" s="25">
        <v>20190301</v>
      </c>
      <c r="V54" s="25">
        <v>10</v>
      </c>
      <c r="W54" s="25">
        <v>10</v>
      </c>
      <c r="X54" s="25" t="s">
        <v>139</v>
      </c>
      <c r="Y54" s="25">
        <v>0</v>
      </c>
      <c r="Z54" s="25" t="s">
        <v>140</v>
      </c>
      <c r="AA54" s="25">
        <v>818</v>
      </c>
      <c r="AB54" s="41">
        <v>0</v>
      </c>
      <c r="AC54" s="41">
        <v>12</v>
      </c>
      <c r="AD54" s="41">
        <v>20180201</v>
      </c>
      <c r="AE54" s="41">
        <v>0</v>
      </c>
      <c r="AF54" s="26">
        <v>45000</v>
      </c>
      <c r="AG54" s="41">
        <v>237</v>
      </c>
      <c r="AH54" s="26">
        <v>37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0</v>
      </c>
      <c r="AR54" s="26">
        <v>0</v>
      </c>
      <c r="AS54" s="26">
        <v>0</v>
      </c>
      <c r="AT54" s="26">
        <v>0</v>
      </c>
      <c r="AU54" s="26">
        <v>0</v>
      </c>
      <c r="AV54" s="26">
        <v>0</v>
      </c>
      <c r="AW54" s="26">
        <v>0</v>
      </c>
      <c r="AX54" s="26">
        <v>0</v>
      </c>
      <c r="AY54" s="46">
        <v>1</v>
      </c>
      <c r="AZ54" s="25">
        <v>2</v>
      </c>
      <c r="BA54" s="41" t="s">
        <v>203</v>
      </c>
      <c r="BB54" s="41">
        <v>100</v>
      </c>
      <c r="BC54" s="41">
        <v>20180301</v>
      </c>
      <c r="BD54" s="41">
        <v>20180301</v>
      </c>
      <c r="BE54" s="41" t="s">
        <v>198</v>
      </c>
      <c r="BF54" s="41" t="s">
        <v>149</v>
      </c>
      <c r="BG54" s="41">
        <v>20180301</v>
      </c>
      <c r="BH54" s="41">
        <v>0</v>
      </c>
      <c r="BI54" s="41">
        <v>0</v>
      </c>
      <c r="BJ54" s="41"/>
      <c r="BK54" s="41">
        <v>0</v>
      </c>
      <c r="BL54" s="41" t="s">
        <v>140</v>
      </c>
      <c r="BM54" s="41">
        <v>818</v>
      </c>
      <c r="BN54" s="41">
        <v>0</v>
      </c>
      <c r="BO54" s="41">
        <v>12</v>
      </c>
      <c r="BP54" s="41">
        <v>20180201</v>
      </c>
      <c r="BQ54" s="41">
        <v>0</v>
      </c>
      <c r="BR54" s="41">
        <v>0</v>
      </c>
      <c r="BS54" s="41">
        <v>42</v>
      </c>
      <c r="BT54" s="25">
        <v>37</v>
      </c>
      <c r="BU54" s="25">
        <v>0</v>
      </c>
      <c r="BV54" s="25">
        <v>0</v>
      </c>
      <c r="BW54" s="25">
        <v>0</v>
      </c>
      <c r="BX54" s="25">
        <v>0</v>
      </c>
      <c r="BY54" s="25">
        <v>0</v>
      </c>
      <c r="BZ54" s="25">
        <v>0</v>
      </c>
      <c r="CA54" s="25">
        <v>0</v>
      </c>
      <c r="CB54" s="25">
        <v>0</v>
      </c>
      <c r="CC54" s="25">
        <v>0</v>
      </c>
      <c r="CD54" s="25">
        <v>0</v>
      </c>
      <c r="CE54" s="25">
        <v>0</v>
      </c>
      <c r="CF54" s="25">
        <v>0</v>
      </c>
      <c r="CG54" s="25">
        <v>0</v>
      </c>
      <c r="CH54" s="25">
        <v>0</v>
      </c>
      <c r="CI54" s="25">
        <v>0</v>
      </c>
      <c r="CJ54" s="25">
        <v>0</v>
      </c>
      <c r="CK54" s="22">
        <v>1</v>
      </c>
      <c r="CL54" s="25">
        <v>3</v>
      </c>
      <c r="CM54" s="41" t="s">
        <v>150</v>
      </c>
      <c r="CN54" s="41">
        <v>100</v>
      </c>
      <c r="CO54" s="41">
        <v>20180301</v>
      </c>
      <c r="CP54" s="41">
        <v>20180301</v>
      </c>
      <c r="CQ54" s="41" t="s">
        <v>198</v>
      </c>
      <c r="CR54" s="41" t="s">
        <v>200</v>
      </c>
      <c r="CS54" s="41">
        <v>20180301</v>
      </c>
      <c r="CT54" s="41">
        <v>0</v>
      </c>
      <c r="CU54" s="41">
        <v>0</v>
      </c>
      <c r="CV54" s="41"/>
      <c r="CW54" s="41">
        <v>0</v>
      </c>
      <c r="CX54" s="41" t="s">
        <v>140</v>
      </c>
      <c r="CY54" s="41">
        <v>818</v>
      </c>
      <c r="CZ54" s="41">
        <v>0</v>
      </c>
      <c r="DA54" s="41">
        <v>12</v>
      </c>
      <c r="DB54" s="41">
        <v>20180201</v>
      </c>
      <c r="DC54" s="41">
        <v>0</v>
      </c>
      <c r="DD54" s="41">
        <v>0</v>
      </c>
      <c r="DE54" s="41">
        <v>57</v>
      </c>
      <c r="DF54" s="25">
        <v>37</v>
      </c>
      <c r="DG54" s="25">
        <v>0</v>
      </c>
      <c r="DH54" s="25">
        <v>0</v>
      </c>
      <c r="DI54" s="25">
        <v>0</v>
      </c>
      <c r="DJ54" s="25">
        <v>0</v>
      </c>
      <c r="DK54" s="25">
        <v>0</v>
      </c>
      <c r="DL54" s="25">
        <v>0</v>
      </c>
      <c r="DM54" s="25">
        <v>0</v>
      </c>
      <c r="DN54" s="25">
        <v>0</v>
      </c>
      <c r="DO54" s="25">
        <v>0</v>
      </c>
      <c r="DP54" s="25">
        <v>0</v>
      </c>
      <c r="DQ54" s="25">
        <v>0</v>
      </c>
      <c r="DR54" s="25">
        <v>0</v>
      </c>
      <c r="DS54" s="25">
        <v>0</v>
      </c>
      <c r="DT54" s="25">
        <v>0</v>
      </c>
      <c r="DU54" s="25">
        <v>0</v>
      </c>
      <c r="DV54" s="25">
        <v>0</v>
      </c>
      <c r="DW54" s="23">
        <v>1</v>
      </c>
      <c r="DX54" s="25">
        <v>4</v>
      </c>
      <c r="DY54" s="41" t="s">
        <v>151</v>
      </c>
      <c r="DZ54" s="41">
        <v>100</v>
      </c>
      <c r="EA54" s="41">
        <v>20180301</v>
      </c>
      <c r="EB54" s="41">
        <v>20180301</v>
      </c>
      <c r="EC54" s="41" t="s">
        <v>198</v>
      </c>
      <c r="ED54" s="41" t="s">
        <v>201</v>
      </c>
      <c r="EE54" s="41">
        <v>20180301</v>
      </c>
      <c r="EF54" s="41">
        <v>0</v>
      </c>
      <c r="EG54" s="41">
        <v>0</v>
      </c>
      <c r="EH54" s="41"/>
      <c r="EI54" s="41">
        <v>0</v>
      </c>
      <c r="EJ54" s="41" t="s">
        <v>140</v>
      </c>
      <c r="EK54" s="41">
        <v>818</v>
      </c>
      <c r="EL54" s="41">
        <v>0</v>
      </c>
      <c r="EM54" s="41">
        <v>12</v>
      </c>
      <c r="EN54" s="41">
        <v>20180201</v>
      </c>
      <c r="EO54" s="41">
        <v>0</v>
      </c>
      <c r="EP54" s="41">
        <v>0</v>
      </c>
      <c r="EQ54" s="41">
        <v>21</v>
      </c>
      <c r="ER54" s="25">
        <v>37</v>
      </c>
      <c r="ES54" s="25">
        <v>0</v>
      </c>
      <c r="ET54" s="25">
        <v>0</v>
      </c>
      <c r="EU54" s="25">
        <v>0</v>
      </c>
      <c r="EV54" s="25">
        <v>0</v>
      </c>
      <c r="EW54" s="25">
        <v>0</v>
      </c>
      <c r="EX54" s="25">
        <v>0</v>
      </c>
      <c r="EY54" s="25">
        <v>0</v>
      </c>
      <c r="EZ54" s="25">
        <v>0</v>
      </c>
      <c r="FA54" s="25">
        <v>0</v>
      </c>
      <c r="FB54" s="25">
        <v>0</v>
      </c>
      <c r="FC54" s="25">
        <v>0</v>
      </c>
      <c r="FD54" s="25">
        <v>0</v>
      </c>
      <c r="FE54" s="25">
        <v>0</v>
      </c>
      <c r="FF54" s="25">
        <v>0</v>
      </c>
      <c r="FG54" s="25">
        <v>0</v>
      </c>
      <c r="FH54" s="25">
        <v>0</v>
      </c>
      <c r="FI54" s="25">
        <v>1</v>
      </c>
      <c r="FJ54" s="25">
        <v>1</v>
      </c>
      <c r="FK54" s="25">
        <v>1</v>
      </c>
      <c r="FL54" s="25">
        <v>37</v>
      </c>
      <c r="FM54" s="25" t="s">
        <v>137</v>
      </c>
      <c r="FN54" s="25">
        <v>19820101</v>
      </c>
      <c r="FP54" s="28">
        <v>4</v>
      </c>
      <c r="FQ54" s="47">
        <v>1</v>
      </c>
      <c r="FR54" s="41">
        <v>1</v>
      </c>
      <c r="FS54" s="41" t="str">
        <f t="shared" si="0"/>
        <v>MFEF</v>
      </c>
      <c r="FT54" s="41">
        <f t="shared" si="1"/>
        <v>818</v>
      </c>
      <c r="FU54" s="41">
        <f t="shared" si="2"/>
        <v>37</v>
      </c>
      <c r="FV54" s="41">
        <v>49500</v>
      </c>
      <c r="FW54" s="41">
        <v>260.7</v>
      </c>
      <c r="FX54" s="41"/>
      <c r="FY54" s="29">
        <v>0</v>
      </c>
      <c r="FZ54" s="29">
        <v>0</v>
      </c>
      <c r="GA54" s="30">
        <v>0</v>
      </c>
      <c r="GB54" s="30">
        <v>0</v>
      </c>
      <c r="GC54" s="29">
        <v>0</v>
      </c>
      <c r="GD54" s="41">
        <v>0</v>
      </c>
      <c r="GE54" s="29">
        <v>0</v>
      </c>
      <c r="GF54" s="29">
        <v>0</v>
      </c>
      <c r="GG54" s="29">
        <v>0</v>
      </c>
      <c r="GH54" s="29">
        <v>0</v>
      </c>
      <c r="GI54" s="29">
        <v>0</v>
      </c>
      <c r="GJ54" s="29">
        <v>0</v>
      </c>
      <c r="GK54" s="29">
        <v>0</v>
      </c>
      <c r="GL54" s="29">
        <v>0</v>
      </c>
      <c r="GM54" s="29">
        <v>0</v>
      </c>
      <c r="GN54" s="29">
        <v>0</v>
      </c>
      <c r="GO54" s="29">
        <v>0</v>
      </c>
      <c r="GP54" s="29">
        <v>0</v>
      </c>
      <c r="GQ54" s="29">
        <v>0</v>
      </c>
      <c r="GR54" s="18">
        <v>1</v>
      </c>
      <c r="GS54" s="41">
        <v>2</v>
      </c>
      <c r="GT54" s="41" t="str">
        <f t="shared" si="3"/>
        <v>PURO</v>
      </c>
      <c r="GU54" s="41">
        <v>818</v>
      </c>
      <c r="GV54" s="41">
        <v>58</v>
      </c>
      <c r="GW54" s="41">
        <v>0</v>
      </c>
      <c r="GX54" s="41">
        <v>46.2</v>
      </c>
      <c r="GY54" s="41"/>
      <c r="GZ54" s="41">
        <v>0</v>
      </c>
      <c r="HA54" s="41">
        <v>0</v>
      </c>
      <c r="HB54" s="42">
        <v>0</v>
      </c>
      <c r="HC54" s="42">
        <v>0</v>
      </c>
      <c r="HD54" s="41">
        <v>0</v>
      </c>
      <c r="HE54" s="41">
        <v>0</v>
      </c>
      <c r="HF54" s="41">
        <v>0</v>
      </c>
      <c r="HG54" s="41">
        <v>0</v>
      </c>
      <c r="HH54" s="41">
        <v>0</v>
      </c>
      <c r="HI54" s="41">
        <v>0</v>
      </c>
      <c r="HJ54" s="41">
        <v>0</v>
      </c>
      <c r="HK54" s="41">
        <v>0</v>
      </c>
      <c r="HL54" s="41">
        <v>0</v>
      </c>
      <c r="HM54" s="41">
        <v>0</v>
      </c>
      <c r="HN54" s="41">
        <v>0</v>
      </c>
      <c r="HO54" s="41">
        <v>0</v>
      </c>
      <c r="HP54" s="41">
        <v>0</v>
      </c>
      <c r="HQ54" s="41">
        <v>0</v>
      </c>
      <c r="HR54" s="41">
        <v>0</v>
      </c>
      <c r="HS54" s="24">
        <v>1</v>
      </c>
      <c r="HT54" s="41">
        <v>3</v>
      </c>
      <c r="HU54" s="41" t="str">
        <f t="shared" si="4"/>
        <v>PUDT</v>
      </c>
      <c r="HV54" s="41">
        <v>818</v>
      </c>
      <c r="HW54" s="41">
        <v>58</v>
      </c>
      <c r="HX54" s="41">
        <v>0</v>
      </c>
      <c r="HY54" s="41">
        <v>62.7</v>
      </c>
      <c r="HZ54" s="42"/>
      <c r="IA54" s="41">
        <v>0</v>
      </c>
      <c r="IB54" s="41">
        <v>0</v>
      </c>
      <c r="IC54" s="42">
        <v>0</v>
      </c>
      <c r="ID54" s="42">
        <v>0</v>
      </c>
      <c r="IE54" s="41">
        <v>0</v>
      </c>
      <c r="IF54" s="43">
        <v>0</v>
      </c>
      <c r="IG54" s="41">
        <v>0</v>
      </c>
      <c r="IH54" s="41">
        <v>0</v>
      </c>
      <c r="II54" s="41">
        <v>0</v>
      </c>
      <c r="IJ54" s="41">
        <v>0</v>
      </c>
      <c r="IK54" s="41">
        <v>0</v>
      </c>
      <c r="IL54" s="41">
        <v>0</v>
      </c>
      <c r="IM54" s="41">
        <v>0</v>
      </c>
      <c r="IN54" s="41">
        <v>0</v>
      </c>
      <c r="IO54" s="41">
        <v>0</v>
      </c>
      <c r="IP54" s="41">
        <v>0</v>
      </c>
      <c r="IQ54" s="41">
        <v>0</v>
      </c>
      <c r="IR54" s="41">
        <v>0</v>
      </c>
      <c r="IS54" s="41">
        <v>0</v>
      </c>
      <c r="IT54" s="17">
        <v>1</v>
      </c>
      <c r="IU54" s="41">
        <v>4</v>
      </c>
      <c r="IV54" s="41" t="str">
        <f t="shared" si="5"/>
        <v>PUDS</v>
      </c>
      <c r="IW54" s="41">
        <v>818</v>
      </c>
      <c r="IX54" s="41">
        <v>58</v>
      </c>
      <c r="IY54" s="41">
        <v>0</v>
      </c>
      <c r="IZ54" s="41">
        <v>23.1</v>
      </c>
      <c r="JA54" s="42"/>
      <c r="JB54" s="41">
        <v>0</v>
      </c>
      <c r="JC54" s="41">
        <v>0</v>
      </c>
      <c r="JD54" s="42">
        <v>0</v>
      </c>
      <c r="JE54" s="42">
        <v>0</v>
      </c>
      <c r="JF54" s="41">
        <v>0</v>
      </c>
      <c r="JG54" s="41">
        <v>0</v>
      </c>
      <c r="JH54" s="41">
        <v>0</v>
      </c>
      <c r="JI54" s="41">
        <v>0</v>
      </c>
      <c r="JJ54" s="41">
        <v>0</v>
      </c>
      <c r="JK54" s="41">
        <v>0</v>
      </c>
      <c r="JL54" s="41">
        <v>0</v>
      </c>
      <c r="JM54" s="41">
        <v>0</v>
      </c>
      <c r="JN54" s="41">
        <v>0</v>
      </c>
      <c r="JO54" s="41">
        <v>0</v>
      </c>
      <c r="JP54" s="41">
        <v>0</v>
      </c>
      <c r="JQ54" s="41">
        <v>0</v>
      </c>
      <c r="JR54" s="41">
        <v>0</v>
      </c>
      <c r="JS54" s="41">
        <v>0</v>
      </c>
      <c r="JT54" s="41">
        <v>0</v>
      </c>
      <c r="JU54"/>
    </row>
    <row r="55" spans="1:281" ht="15.75">
      <c r="A55" s="25">
        <v>49</v>
      </c>
      <c r="B55" s="25">
        <v>20190301</v>
      </c>
      <c r="C55" s="25"/>
      <c r="D55" s="25" t="s">
        <v>132</v>
      </c>
      <c r="E55" s="25" t="s">
        <v>132</v>
      </c>
      <c r="F55" s="25" t="s">
        <v>133</v>
      </c>
      <c r="G55" s="25"/>
      <c r="H55" s="25">
        <v>100000049</v>
      </c>
      <c r="I55" s="25" t="s">
        <v>134</v>
      </c>
      <c r="J55" s="25" t="s">
        <v>135</v>
      </c>
      <c r="K55" s="25" t="s">
        <v>132</v>
      </c>
      <c r="L55" s="25">
        <v>4</v>
      </c>
      <c r="M55" s="25">
        <v>1</v>
      </c>
      <c r="N55" s="25">
        <v>1</v>
      </c>
      <c r="O55" s="45" t="s">
        <v>148</v>
      </c>
      <c r="P55" s="25">
        <v>100</v>
      </c>
      <c r="Q55" s="25">
        <v>20180301</v>
      </c>
      <c r="R55" s="25">
        <v>20180301</v>
      </c>
      <c r="S55" s="25" t="s">
        <v>137</v>
      </c>
      <c r="T55" s="25" t="s">
        <v>142</v>
      </c>
      <c r="U55" s="25">
        <v>20190301</v>
      </c>
      <c r="V55" s="25">
        <v>10</v>
      </c>
      <c r="W55" s="25">
        <v>10</v>
      </c>
      <c r="X55" s="25" t="s">
        <v>139</v>
      </c>
      <c r="Y55" s="25">
        <v>0</v>
      </c>
      <c r="Z55" s="25" t="s">
        <v>140</v>
      </c>
      <c r="AA55" s="25">
        <v>818</v>
      </c>
      <c r="AB55" s="41">
        <v>0</v>
      </c>
      <c r="AC55" s="41">
        <v>12</v>
      </c>
      <c r="AD55" s="41">
        <v>20180201</v>
      </c>
      <c r="AE55" s="41">
        <v>0</v>
      </c>
      <c r="AF55" s="26">
        <v>40000</v>
      </c>
      <c r="AG55" s="41">
        <v>216</v>
      </c>
      <c r="AH55" s="26">
        <v>36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26">
        <v>0</v>
      </c>
      <c r="AP55" s="26">
        <v>0</v>
      </c>
      <c r="AQ55" s="26">
        <v>0</v>
      </c>
      <c r="AR55" s="26">
        <v>0</v>
      </c>
      <c r="AS55" s="26">
        <v>0</v>
      </c>
      <c r="AT55" s="26">
        <v>0</v>
      </c>
      <c r="AU55" s="26">
        <v>0</v>
      </c>
      <c r="AV55" s="26">
        <v>0</v>
      </c>
      <c r="AW55" s="26">
        <v>0</v>
      </c>
      <c r="AX55" s="26">
        <v>0</v>
      </c>
      <c r="AY55" s="46">
        <v>1</v>
      </c>
      <c r="AZ55" s="25">
        <v>2</v>
      </c>
      <c r="BA55" s="41" t="s">
        <v>203</v>
      </c>
      <c r="BB55" s="41">
        <v>100</v>
      </c>
      <c r="BC55" s="41">
        <v>20180301</v>
      </c>
      <c r="BD55" s="41">
        <v>20180301</v>
      </c>
      <c r="BE55" s="41" t="s">
        <v>198</v>
      </c>
      <c r="BF55" s="41" t="s">
        <v>149</v>
      </c>
      <c r="BG55" s="41">
        <v>20180301</v>
      </c>
      <c r="BH55" s="41">
        <v>0</v>
      </c>
      <c r="BI55" s="41">
        <v>0</v>
      </c>
      <c r="BJ55" s="41"/>
      <c r="BK55" s="41">
        <v>0</v>
      </c>
      <c r="BL55" s="41" t="s">
        <v>140</v>
      </c>
      <c r="BM55" s="41">
        <v>818</v>
      </c>
      <c r="BN55" s="41">
        <v>0</v>
      </c>
      <c r="BO55" s="41">
        <v>12</v>
      </c>
      <c r="BP55" s="41">
        <v>20180201</v>
      </c>
      <c r="BQ55" s="41">
        <v>0</v>
      </c>
      <c r="BR55" s="41">
        <v>0</v>
      </c>
      <c r="BS55" s="41">
        <v>39</v>
      </c>
      <c r="BT55" s="25">
        <v>36</v>
      </c>
      <c r="BU55" s="25">
        <v>0</v>
      </c>
      <c r="BV55" s="25">
        <v>0</v>
      </c>
      <c r="BW55" s="25">
        <v>0</v>
      </c>
      <c r="BX55" s="25">
        <v>0</v>
      </c>
      <c r="BY55" s="25">
        <v>0</v>
      </c>
      <c r="BZ55" s="25">
        <v>0</v>
      </c>
      <c r="CA55" s="25">
        <v>0</v>
      </c>
      <c r="CB55" s="25">
        <v>0</v>
      </c>
      <c r="CC55" s="25">
        <v>0</v>
      </c>
      <c r="CD55" s="25">
        <v>0</v>
      </c>
      <c r="CE55" s="25">
        <v>0</v>
      </c>
      <c r="CF55" s="25">
        <v>0</v>
      </c>
      <c r="CG55" s="25">
        <v>0</v>
      </c>
      <c r="CH55" s="25">
        <v>0</v>
      </c>
      <c r="CI55" s="25">
        <v>0</v>
      </c>
      <c r="CJ55" s="25">
        <v>0</v>
      </c>
      <c r="CK55" s="22">
        <v>1</v>
      </c>
      <c r="CL55" s="25">
        <v>3</v>
      </c>
      <c r="CM55" s="41" t="s">
        <v>150</v>
      </c>
      <c r="CN55" s="41">
        <v>100</v>
      </c>
      <c r="CO55" s="41">
        <v>20180301</v>
      </c>
      <c r="CP55" s="41">
        <v>20180301</v>
      </c>
      <c r="CQ55" s="41" t="s">
        <v>198</v>
      </c>
      <c r="CR55" s="41" t="s">
        <v>200</v>
      </c>
      <c r="CS55" s="41">
        <v>20180301</v>
      </c>
      <c r="CT55" s="41">
        <v>0</v>
      </c>
      <c r="CU55" s="41">
        <v>0</v>
      </c>
      <c r="CV55" s="41"/>
      <c r="CW55" s="41">
        <v>0</v>
      </c>
      <c r="CX55" s="41" t="s">
        <v>140</v>
      </c>
      <c r="CY55" s="41">
        <v>818</v>
      </c>
      <c r="CZ55" s="41">
        <v>0</v>
      </c>
      <c r="DA55" s="41">
        <v>12</v>
      </c>
      <c r="DB55" s="41">
        <v>20180201</v>
      </c>
      <c r="DC55" s="41">
        <v>0</v>
      </c>
      <c r="DD55" s="41">
        <v>0</v>
      </c>
      <c r="DE55" s="41">
        <v>52</v>
      </c>
      <c r="DF55" s="25">
        <v>36</v>
      </c>
      <c r="DG55" s="25">
        <v>0</v>
      </c>
      <c r="DH55" s="25">
        <v>0</v>
      </c>
      <c r="DI55" s="25">
        <v>0</v>
      </c>
      <c r="DJ55" s="25">
        <v>0</v>
      </c>
      <c r="DK55" s="25">
        <v>0</v>
      </c>
      <c r="DL55" s="25">
        <v>0</v>
      </c>
      <c r="DM55" s="25">
        <v>0</v>
      </c>
      <c r="DN55" s="25">
        <v>0</v>
      </c>
      <c r="DO55" s="25">
        <v>0</v>
      </c>
      <c r="DP55" s="25">
        <v>0</v>
      </c>
      <c r="DQ55" s="25">
        <v>0</v>
      </c>
      <c r="DR55" s="25">
        <v>0</v>
      </c>
      <c r="DS55" s="25">
        <v>0</v>
      </c>
      <c r="DT55" s="25">
        <v>0</v>
      </c>
      <c r="DU55" s="25">
        <v>0</v>
      </c>
      <c r="DV55" s="25">
        <v>0</v>
      </c>
      <c r="DW55" s="23">
        <v>1</v>
      </c>
      <c r="DX55" s="25">
        <v>4</v>
      </c>
      <c r="DY55" s="41" t="s">
        <v>151</v>
      </c>
      <c r="DZ55" s="41">
        <v>100</v>
      </c>
      <c r="EA55" s="41">
        <v>20180301</v>
      </c>
      <c r="EB55" s="41">
        <v>20180301</v>
      </c>
      <c r="EC55" s="41" t="s">
        <v>198</v>
      </c>
      <c r="ED55" s="41" t="s">
        <v>201</v>
      </c>
      <c r="EE55" s="41">
        <v>20180301</v>
      </c>
      <c r="EF55" s="41">
        <v>0</v>
      </c>
      <c r="EG55" s="41">
        <v>0</v>
      </c>
      <c r="EH55" s="41"/>
      <c r="EI55" s="41">
        <v>0</v>
      </c>
      <c r="EJ55" s="41" t="s">
        <v>140</v>
      </c>
      <c r="EK55" s="41">
        <v>818</v>
      </c>
      <c r="EL55" s="41">
        <v>0</v>
      </c>
      <c r="EM55" s="41">
        <v>12</v>
      </c>
      <c r="EN55" s="41">
        <v>20180201</v>
      </c>
      <c r="EO55" s="41">
        <v>0</v>
      </c>
      <c r="EP55" s="41">
        <v>0</v>
      </c>
      <c r="EQ55" s="41">
        <v>19</v>
      </c>
      <c r="ER55" s="25">
        <v>36</v>
      </c>
      <c r="ES55" s="25">
        <v>0</v>
      </c>
      <c r="ET55" s="25">
        <v>0</v>
      </c>
      <c r="EU55" s="25">
        <v>0</v>
      </c>
      <c r="EV55" s="25">
        <v>0</v>
      </c>
      <c r="EW55" s="25">
        <v>0</v>
      </c>
      <c r="EX55" s="25">
        <v>0</v>
      </c>
      <c r="EY55" s="25">
        <v>0</v>
      </c>
      <c r="EZ55" s="25">
        <v>0</v>
      </c>
      <c r="FA55" s="25">
        <v>0</v>
      </c>
      <c r="FB55" s="25">
        <v>0</v>
      </c>
      <c r="FC55" s="25">
        <v>0</v>
      </c>
      <c r="FD55" s="25">
        <v>0</v>
      </c>
      <c r="FE55" s="25">
        <v>0</v>
      </c>
      <c r="FF55" s="25">
        <v>0</v>
      </c>
      <c r="FG55" s="25">
        <v>0</v>
      </c>
      <c r="FH55" s="25">
        <v>0</v>
      </c>
      <c r="FI55" s="25">
        <v>1</v>
      </c>
      <c r="FJ55" s="25">
        <v>1</v>
      </c>
      <c r="FK55" s="25">
        <v>1</v>
      </c>
      <c r="FL55" s="25">
        <v>36</v>
      </c>
      <c r="FM55" s="25" t="s">
        <v>137</v>
      </c>
      <c r="FN55" s="25">
        <v>19830101</v>
      </c>
      <c r="FP55" s="28">
        <v>4</v>
      </c>
      <c r="FQ55" s="47">
        <v>1</v>
      </c>
      <c r="FR55" s="41">
        <v>1</v>
      </c>
      <c r="FS55" s="41" t="str">
        <f t="shared" si="0"/>
        <v>MFEF</v>
      </c>
      <c r="FT55" s="41">
        <f t="shared" si="1"/>
        <v>818</v>
      </c>
      <c r="FU55" s="41">
        <f t="shared" si="2"/>
        <v>36</v>
      </c>
      <c r="FV55" s="41">
        <v>44000</v>
      </c>
      <c r="FW55" s="41">
        <v>237.6</v>
      </c>
      <c r="FX55" s="41"/>
      <c r="FY55" s="29">
        <v>0</v>
      </c>
      <c r="FZ55" s="29">
        <v>0</v>
      </c>
      <c r="GA55" s="30">
        <v>0</v>
      </c>
      <c r="GB55" s="30">
        <v>0</v>
      </c>
      <c r="GC55" s="29">
        <v>0</v>
      </c>
      <c r="GD55" s="41">
        <v>0</v>
      </c>
      <c r="GE55" s="29">
        <v>0</v>
      </c>
      <c r="GF55" s="29">
        <v>0</v>
      </c>
      <c r="GG55" s="29">
        <v>0</v>
      </c>
      <c r="GH55" s="29">
        <v>0</v>
      </c>
      <c r="GI55" s="29">
        <v>0</v>
      </c>
      <c r="GJ55" s="29">
        <v>0</v>
      </c>
      <c r="GK55" s="29">
        <v>0</v>
      </c>
      <c r="GL55" s="29">
        <v>0</v>
      </c>
      <c r="GM55" s="29">
        <v>0</v>
      </c>
      <c r="GN55" s="29">
        <v>0</v>
      </c>
      <c r="GO55" s="29">
        <v>0</v>
      </c>
      <c r="GP55" s="29">
        <v>0</v>
      </c>
      <c r="GQ55" s="29">
        <v>0</v>
      </c>
      <c r="GR55" s="18">
        <v>1</v>
      </c>
      <c r="GS55" s="41">
        <v>2</v>
      </c>
      <c r="GT55" s="41" t="str">
        <f t="shared" si="3"/>
        <v>PURO</v>
      </c>
      <c r="GU55" s="41">
        <v>818</v>
      </c>
      <c r="GV55" s="41">
        <v>59</v>
      </c>
      <c r="GW55" s="41">
        <v>0</v>
      </c>
      <c r="GX55" s="41">
        <v>42.9</v>
      </c>
      <c r="GY55" s="41"/>
      <c r="GZ55" s="41">
        <v>0</v>
      </c>
      <c r="HA55" s="41">
        <v>0</v>
      </c>
      <c r="HB55" s="42">
        <v>0</v>
      </c>
      <c r="HC55" s="42">
        <v>0</v>
      </c>
      <c r="HD55" s="41">
        <v>0</v>
      </c>
      <c r="HE55" s="41">
        <v>0</v>
      </c>
      <c r="HF55" s="41">
        <v>0</v>
      </c>
      <c r="HG55" s="41">
        <v>0</v>
      </c>
      <c r="HH55" s="41">
        <v>0</v>
      </c>
      <c r="HI55" s="41">
        <v>0</v>
      </c>
      <c r="HJ55" s="41">
        <v>0</v>
      </c>
      <c r="HK55" s="41">
        <v>0</v>
      </c>
      <c r="HL55" s="41">
        <v>0</v>
      </c>
      <c r="HM55" s="41">
        <v>0</v>
      </c>
      <c r="HN55" s="41">
        <v>0</v>
      </c>
      <c r="HO55" s="41">
        <v>0</v>
      </c>
      <c r="HP55" s="41">
        <v>0</v>
      </c>
      <c r="HQ55" s="41">
        <v>0</v>
      </c>
      <c r="HR55" s="41">
        <v>0</v>
      </c>
      <c r="HS55" s="24">
        <v>1</v>
      </c>
      <c r="HT55" s="41">
        <v>3</v>
      </c>
      <c r="HU55" s="41" t="str">
        <f t="shared" si="4"/>
        <v>PUDT</v>
      </c>
      <c r="HV55" s="41">
        <v>818</v>
      </c>
      <c r="HW55" s="41">
        <v>59</v>
      </c>
      <c r="HX55" s="41">
        <v>0</v>
      </c>
      <c r="HY55" s="41">
        <v>57.2</v>
      </c>
      <c r="HZ55" s="42"/>
      <c r="IA55" s="41">
        <v>0</v>
      </c>
      <c r="IB55" s="41">
        <v>0</v>
      </c>
      <c r="IC55" s="42">
        <v>0</v>
      </c>
      <c r="ID55" s="42">
        <v>0</v>
      </c>
      <c r="IE55" s="41">
        <v>0</v>
      </c>
      <c r="IF55" s="43">
        <v>0</v>
      </c>
      <c r="IG55" s="41">
        <v>0</v>
      </c>
      <c r="IH55" s="41">
        <v>0</v>
      </c>
      <c r="II55" s="41">
        <v>0</v>
      </c>
      <c r="IJ55" s="41">
        <v>0</v>
      </c>
      <c r="IK55" s="41">
        <v>0</v>
      </c>
      <c r="IL55" s="41">
        <v>0</v>
      </c>
      <c r="IM55" s="41">
        <v>0</v>
      </c>
      <c r="IN55" s="41">
        <v>0</v>
      </c>
      <c r="IO55" s="41">
        <v>0</v>
      </c>
      <c r="IP55" s="41">
        <v>0</v>
      </c>
      <c r="IQ55" s="41">
        <v>0</v>
      </c>
      <c r="IR55" s="41">
        <v>0</v>
      </c>
      <c r="IS55" s="41">
        <v>0</v>
      </c>
      <c r="IT55" s="17">
        <v>1</v>
      </c>
      <c r="IU55" s="41">
        <v>4</v>
      </c>
      <c r="IV55" s="41" t="str">
        <f t="shared" si="5"/>
        <v>PUDS</v>
      </c>
      <c r="IW55" s="41">
        <v>818</v>
      </c>
      <c r="IX55" s="41">
        <v>59</v>
      </c>
      <c r="IY55" s="41">
        <v>0</v>
      </c>
      <c r="IZ55" s="41">
        <v>20.9</v>
      </c>
      <c r="JA55" s="42"/>
      <c r="JB55" s="41">
        <v>0</v>
      </c>
      <c r="JC55" s="41">
        <v>0</v>
      </c>
      <c r="JD55" s="42">
        <v>0</v>
      </c>
      <c r="JE55" s="42">
        <v>0</v>
      </c>
      <c r="JF55" s="41">
        <v>0</v>
      </c>
      <c r="JG55" s="41">
        <v>0</v>
      </c>
      <c r="JH55" s="41">
        <v>0</v>
      </c>
      <c r="JI55" s="41">
        <v>0</v>
      </c>
      <c r="JJ55" s="41">
        <v>0</v>
      </c>
      <c r="JK55" s="41">
        <v>0</v>
      </c>
      <c r="JL55" s="41">
        <v>0</v>
      </c>
      <c r="JM55" s="41">
        <v>0</v>
      </c>
      <c r="JN55" s="41">
        <v>0</v>
      </c>
      <c r="JO55" s="41">
        <v>0</v>
      </c>
      <c r="JP55" s="41">
        <v>0</v>
      </c>
      <c r="JQ55" s="41">
        <v>0</v>
      </c>
      <c r="JR55" s="41">
        <v>0</v>
      </c>
      <c r="JS55" s="41">
        <v>0</v>
      </c>
      <c r="JT55" s="41">
        <v>0</v>
      </c>
      <c r="JU55"/>
    </row>
    <row r="56" spans="1:281" ht="15.75">
      <c r="A56" s="25">
        <v>50</v>
      </c>
      <c r="B56" s="25">
        <v>20190301</v>
      </c>
      <c r="C56" s="25"/>
      <c r="D56" s="25" t="s">
        <v>132</v>
      </c>
      <c r="E56" s="25" t="s">
        <v>132</v>
      </c>
      <c r="F56" s="25" t="s">
        <v>133</v>
      </c>
      <c r="G56" s="25"/>
      <c r="H56" s="25">
        <v>100000050</v>
      </c>
      <c r="I56" s="25" t="s">
        <v>134</v>
      </c>
      <c r="J56" s="25" t="s">
        <v>135</v>
      </c>
      <c r="K56" s="25" t="s">
        <v>132</v>
      </c>
      <c r="L56" s="25">
        <v>4</v>
      </c>
      <c r="M56" s="25">
        <v>1</v>
      </c>
      <c r="N56" s="25">
        <v>1</v>
      </c>
      <c r="O56" s="45" t="s">
        <v>148</v>
      </c>
      <c r="P56" s="25">
        <v>100</v>
      </c>
      <c r="Q56" s="25">
        <v>20180301</v>
      </c>
      <c r="R56" s="25">
        <v>20180301</v>
      </c>
      <c r="S56" s="25" t="s">
        <v>137</v>
      </c>
      <c r="T56" s="25" t="s">
        <v>142</v>
      </c>
      <c r="U56" s="25">
        <v>20190301</v>
      </c>
      <c r="V56" s="25">
        <v>10</v>
      </c>
      <c r="W56" s="25">
        <v>10</v>
      </c>
      <c r="X56" s="25" t="s">
        <v>139</v>
      </c>
      <c r="Y56" s="25">
        <v>0</v>
      </c>
      <c r="Z56" s="25" t="s">
        <v>140</v>
      </c>
      <c r="AA56" s="25">
        <v>818</v>
      </c>
      <c r="AB56" s="41">
        <v>0</v>
      </c>
      <c r="AC56" s="41">
        <v>12</v>
      </c>
      <c r="AD56" s="41">
        <v>20180201</v>
      </c>
      <c r="AE56" s="41">
        <v>0</v>
      </c>
      <c r="AF56" s="26">
        <v>30000</v>
      </c>
      <c r="AG56" s="41">
        <v>118</v>
      </c>
      <c r="AH56" s="26">
        <v>35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0</v>
      </c>
      <c r="AR56" s="26">
        <v>0</v>
      </c>
      <c r="AS56" s="26">
        <v>0</v>
      </c>
      <c r="AT56" s="26">
        <v>0</v>
      </c>
      <c r="AU56" s="26">
        <v>0</v>
      </c>
      <c r="AV56" s="26">
        <v>0</v>
      </c>
      <c r="AW56" s="26">
        <v>0</v>
      </c>
      <c r="AX56" s="26">
        <v>0</v>
      </c>
      <c r="AY56" s="46">
        <v>1</v>
      </c>
      <c r="AZ56" s="25">
        <v>2</v>
      </c>
      <c r="BA56" s="41" t="s">
        <v>203</v>
      </c>
      <c r="BB56" s="41">
        <v>100</v>
      </c>
      <c r="BC56" s="41">
        <v>20180301</v>
      </c>
      <c r="BD56" s="41">
        <v>20180301</v>
      </c>
      <c r="BE56" s="41" t="s">
        <v>198</v>
      </c>
      <c r="BF56" s="41" t="s">
        <v>149</v>
      </c>
      <c r="BG56" s="41">
        <v>20180301</v>
      </c>
      <c r="BH56" s="41">
        <v>0</v>
      </c>
      <c r="BI56" s="41">
        <v>0</v>
      </c>
      <c r="BJ56" s="41"/>
      <c r="BK56" s="41">
        <v>0</v>
      </c>
      <c r="BL56" s="41" t="s">
        <v>140</v>
      </c>
      <c r="BM56" s="41">
        <v>818</v>
      </c>
      <c r="BN56" s="41">
        <v>0</v>
      </c>
      <c r="BO56" s="41">
        <v>12</v>
      </c>
      <c r="BP56" s="41">
        <v>20180201</v>
      </c>
      <c r="BQ56" s="41">
        <v>0</v>
      </c>
      <c r="BR56" s="41">
        <v>0</v>
      </c>
      <c r="BS56" s="41">
        <v>29</v>
      </c>
      <c r="BT56" s="25">
        <v>35</v>
      </c>
      <c r="BU56" s="25">
        <v>0</v>
      </c>
      <c r="BV56" s="25">
        <v>0</v>
      </c>
      <c r="BW56" s="25">
        <v>0</v>
      </c>
      <c r="BX56" s="25">
        <v>0</v>
      </c>
      <c r="BY56" s="25">
        <v>0</v>
      </c>
      <c r="BZ56" s="25">
        <v>0</v>
      </c>
      <c r="CA56" s="25">
        <v>0</v>
      </c>
      <c r="CB56" s="25">
        <v>0</v>
      </c>
      <c r="CC56" s="25">
        <v>0</v>
      </c>
      <c r="CD56" s="25">
        <v>0</v>
      </c>
      <c r="CE56" s="25">
        <v>0</v>
      </c>
      <c r="CF56" s="25">
        <v>0</v>
      </c>
      <c r="CG56" s="25">
        <v>0</v>
      </c>
      <c r="CH56" s="25">
        <v>0</v>
      </c>
      <c r="CI56" s="25">
        <v>0</v>
      </c>
      <c r="CJ56" s="25">
        <v>0</v>
      </c>
      <c r="CK56" s="22">
        <v>1</v>
      </c>
      <c r="CL56" s="25">
        <v>3</v>
      </c>
      <c r="CM56" s="41" t="s">
        <v>150</v>
      </c>
      <c r="CN56" s="41">
        <v>100</v>
      </c>
      <c r="CO56" s="41">
        <v>20180301</v>
      </c>
      <c r="CP56" s="41">
        <v>20180301</v>
      </c>
      <c r="CQ56" s="41" t="s">
        <v>198</v>
      </c>
      <c r="CR56" s="41" t="s">
        <v>200</v>
      </c>
      <c r="CS56" s="41">
        <v>20180301</v>
      </c>
      <c r="CT56" s="41">
        <v>0</v>
      </c>
      <c r="CU56" s="41">
        <v>0</v>
      </c>
      <c r="CV56" s="41"/>
      <c r="CW56" s="41">
        <v>0</v>
      </c>
      <c r="CX56" s="41" t="s">
        <v>140</v>
      </c>
      <c r="CY56" s="41">
        <v>818</v>
      </c>
      <c r="CZ56" s="41">
        <v>0</v>
      </c>
      <c r="DA56" s="41">
        <v>12</v>
      </c>
      <c r="DB56" s="41">
        <v>20180201</v>
      </c>
      <c r="DC56" s="41">
        <v>0</v>
      </c>
      <c r="DD56" s="41">
        <v>0</v>
      </c>
      <c r="DE56" s="41">
        <v>33</v>
      </c>
      <c r="DF56" s="25">
        <v>35</v>
      </c>
      <c r="DG56" s="25">
        <v>0</v>
      </c>
      <c r="DH56" s="25">
        <v>0</v>
      </c>
      <c r="DI56" s="25">
        <v>0</v>
      </c>
      <c r="DJ56" s="25">
        <v>0</v>
      </c>
      <c r="DK56" s="25">
        <v>0</v>
      </c>
      <c r="DL56" s="25">
        <v>0</v>
      </c>
      <c r="DM56" s="25">
        <v>0</v>
      </c>
      <c r="DN56" s="25">
        <v>0</v>
      </c>
      <c r="DO56" s="25">
        <v>0</v>
      </c>
      <c r="DP56" s="25">
        <v>0</v>
      </c>
      <c r="DQ56" s="25">
        <v>0</v>
      </c>
      <c r="DR56" s="25">
        <v>0</v>
      </c>
      <c r="DS56" s="25">
        <v>0</v>
      </c>
      <c r="DT56" s="25">
        <v>0</v>
      </c>
      <c r="DU56" s="25">
        <v>0</v>
      </c>
      <c r="DV56" s="25">
        <v>0</v>
      </c>
      <c r="DW56" s="23">
        <v>1</v>
      </c>
      <c r="DX56" s="25">
        <v>4</v>
      </c>
      <c r="DY56" s="41" t="s">
        <v>151</v>
      </c>
      <c r="DZ56" s="41">
        <v>100</v>
      </c>
      <c r="EA56" s="41">
        <v>20180301</v>
      </c>
      <c r="EB56" s="41">
        <v>20180301</v>
      </c>
      <c r="EC56" s="41" t="s">
        <v>198</v>
      </c>
      <c r="ED56" s="41" t="s">
        <v>201</v>
      </c>
      <c r="EE56" s="41">
        <v>20180301</v>
      </c>
      <c r="EF56" s="41">
        <v>0</v>
      </c>
      <c r="EG56" s="41">
        <v>0</v>
      </c>
      <c r="EH56" s="41"/>
      <c r="EI56" s="41">
        <v>0</v>
      </c>
      <c r="EJ56" s="41" t="s">
        <v>140</v>
      </c>
      <c r="EK56" s="41">
        <v>818</v>
      </c>
      <c r="EL56" s="41">
        <v>0</v>
      </c>
      <c r="EM56" s="41">
        <v>12</v>
      </c>
      <c r="EN56" s="41">
        <v>20180201</v>
      </c>
      <c r="EO56" s="41">
        <v>0</v>
      </c>
      <c r="EP56" s="41">
        <v>0</v>
      </c>
      <c r="EQ56" s="41">
        <v>14</v>
      </c>
      <c r="ER56" s="25">
        <v>35</v>
      </c>
      <c r="ES56" s="25">
        <v>0</v>
      </c>
      <c r="ET56" s="25">
        <v>0</v>
      </c>
      <c r="EU56" s="25">
        <v>0</v>
      </c>
      <c r="EV56" s="25">
        <v>0</v>
      </c>
      <c r="EW56" s="25">
        <v>0</v>
      </c>
      <c r="EX56" s="25">
        <v>0</v>
      </c>
      <c r="EY56" s="25">
        <v>0</v>
      </c>
      <c r="EZ56" s="25">
        <v>0</v>
      </c>
      <c r="FA56" s="25">
        <v>0</v>
      </c>
      <c r="FB56" s="25">
        <v>0</v>
      </c>
      <c r="FC56" s="25">
        <v>0</v>
      </c>
      <c r="FD56" s="25">
        <v>0</v>
      </c>
      <c r="FE56" s="25">
        <v>0</v>
      </c>
      <c r="FF56" s="25">
        <v>0</v>
      </c>
      <c r="FG56" s="25">
        <v>0</v>
      </c>
      <c r="FH56" s="25">
        <v>0</v>
      </c>
      <c r="FI56" s="25">
        <v>1</v>
      </c>
      <c r="FJ56" s="25">
        <v>1</v>
      </c>
      <c r="FK56" s="25">
        <v>1</v>
      </c>
      <c r="FL56" s="25">
        <v>35</v>
      </c>
      <c r="FM56" s="25" t="s">
        <v>137</v>
      </c>
      <c r="FN56" s="25">
        <v>19840101</v>
      </c>
      <c r="FP56" s="28">
        <v>4</v>
      </c>
      <c r="FQ56" s="47">
        <v>1</v>
      </c>
      <c r="FR56" s="41">
        <v>1</v>
      </c>
      <c r="FS56" s="41" t="str">
        <f t="shared" si="0"/>
        <v>MFEF</v>
      </c>
      <c r="FT56" s="41">
        <f t="shared" si="1"/>
        <v>818</v>
      </c>
      <c r="FU56" s="41">
        <f t="shared" si="2"/>
        <v>35</v>
      </c>
      <c r="FV56" s="41">
        <v>33000</v>
      </c>
      <c r="FW56" s="41">
        <v>129.80000000000001</v>
      </c>
      <c r="FX56" s="41"/>
      <c r="FY56" s="29">
        <v>0</v>
      </c>
      <c r="FZ56" s="29">
        <v>0</v>
      </c>
      <c r="GA56" s="30">
        <v>0</v>
      </c>
      <c r="GB56" s="30">
        <v>0</v>
      </c>
      <c r="GC56" s="29">
        <v>0</v>
      </c>
      <c r="GD56" s="41">
        <v>0</v>
      </c>
      <c r="GE56" s="29">
        <v>0</v>
      </c>
      <c r="GF56" s="29">
        <v>0</v>
      </c>
      <c r="GG56" s="29">
        <v>0</v>
      </c>
      <c r="GH56" s="29">
        <v>0</v>
      </c>
      <c r="GI56" s="29">
        <v>0</v>
      </c>
      <c r="GJ56" s="29">
        <v>0</v>
      </c>
      <c r="GK56" s="29">
        <v>0</v>
      </c>
      <c r="GL56" s="29">
        <v>0</v>
      </c>
      <c r="GM56" s="29">
        <v>0</v>
      </c>
      <c r="GN56" s="29">
        <v>0</v>
      </c>
      <c r="GO56" s="29">
        <v>0</v>
      </c>
      <c r="GP56" s="29">
        <v>0</v>
      </c>
      <c r="GQ56" s="29">
        <v>0</v>
      </c>
      <c r="GR56" s="18">
        <v>1</v>
      </c>
      <c r="GS56" s="41">
        <v>2</v>
      </c>
      <c r="GT56" s="41" t="str">
        <f t="shared" si="3"/>
        <v>PURO</v>
      </c>
      <c r="GU56" s="41">
        <v>818</v>
      </c>
      <c r="GV56" s="41">
        <v>60</v>
      </c>
      <c r="GW56" s="41">
        <v>0</v>
      </c>
      <c r="GX56" s="41">
        <v>31.9</v>
      </c>
      <c r="GY56" s="41"/>
      <c r="GZ56" s="41">
        <v>0</v>
      </c>
      <c r="HA56" s="41">
        <v>0</v>
      </c>
      <c r="HB56" s="42">
        <v>0</v>
      </c>
      <c r="HC56" s="42">
        <v>0</v>
      </c>
      <c r="HD56" s="41">
        <v>0</v>
      </c>
      <c r="HE56" s="41">
        <v>0</v>
      </c>
      <c r="HF56" s="41">
        <v>0</v>
      </c>
      <c r="HG56" s="41">
        <v>0</v>
      </c>
      <c r="HH56" s="41">
        <v>0</v>
      </c>
      <c r="HI56" s="41">
        <v>0</v>
      </c>
      <c r="HJ56" s="41">
        <v>0</v>
      </c>
      <c r="HK56" s="41">
        <v>0</v>
      </c>
      <c r="HL56" s="41">
        <v>0</v>
      </c>
      <c r="HM56" s="41">
        <v>0</v>
      </c>
      <c r="HN56" s="41">
        <v>0</v>
      </c>
      <c r="HO56" s="41">
        <v>0</v>
      </c>
      <c r="HP56" s="41">
        <v>0</v>
      </c>
      <c r="HQ56" s="41">
        <v>0</v>
      </c>
      <c r="HR56" s="41">
        <v>0</v>
      </c>
      <c r="HS56" s="24">
        <v>1</v>
      </c>
      <c r="HT56" s="41">
        <v>3</v>
      </c>
      <c r="HU56" s="41" t="str">
        <f t="shared" si="4"/>
        <v>PUDT</v>
      </c>
      <c r="HV56" s="41">
        <v>818</v>
      </c>
      <c r="HW56" s="41">
        <v>60</v>
      </c>
      <c r="HX56" s="41">
        <v>0</v>
      </c>
      <c r="HY56" s="41">
        <v>36.299999999999997</v>
      </c>
      <c r="HZ56" s="42"/>
      <c r="IA56" s="41">
        <v>0</v>
      </c>
      <c r="IB56" s="41">
        <v>0</v>
      </c>
      <c r="IC56" s="42">
        <v>0</v>
      </c>
      <c r="ID56" s="42">
        <v>0</v>
      </c>
      <c r="IE56" s="41">
        <v>0</v>
      </c>
      <c r="IF56" s="43">
        <v>0</v>
      </c>
      <c r="IG56" s="41">
        <v>0</v>
      </c>
      <c r="IH56" s="41">
        <v>0</v>
      </c>
      <c r="II56" s="41">
        <v>0</v>
      </c>
      <c r="IJ56" s="41">
        <v>0</v>
      </c>
      <c r="IK56" s="41">
        <v>0</v>
      </c>
      <c r="IL56" s="41">
        <v>0</v>
      </c>
      <c r="IM56" s="41">
        <v>0</v>
      </c>
      <c r="IN56" s="41">
        <v>0</v>
      </c>
      <c r="IO56" s="41">
        <v>0</v>
      </c>
      <c r="IP56" s="41">
        <v>0</v>
      </c>
      <c r="IQ56" s="41">
        <v>0</v>
      </c>
      <c r="IR56" s="41">
        <v>0</v>
      </c>
      <c r="IS56" s="41">
        <v>0</v>
      </c>
      <c r="IT56" s="17">
        <v>1</v>
      </c>
      <c r="IU56" s="41">
        <v>4</v>
      </c>
      <c r="IV56" s="41" t="str">
        <f t="shared" si="5"/>
        <v>PUDS</v>
      </c>
      <c r="IW56" s="41">
        <v>818</v>
      </c>
      <c r="IX56" s="41">
        <v>60</v>
      </c>
      <c r="IY56" s="41">
        <v>0</v>
      </c>
      <c r="IZ56" s="41">
        <v>15.4</v>
      </c>
      <c r="JA56" s="42"/>
      <c r="JB56" s="41">
        <v>0</v>
      </c>
      <c r="JC56" s="41">
        <v>0</v>
      </c>
      <c r="JD56" s="42">
        <v>0</v>
      </c>
      <c r="JE56" s="42">
        <v>0</v>
      </c>
      <c r="JF56" s="41">
        <v>0</v>
      </c>
      <c r="JG56" s="41">
        <v>0</v>
      </c>
      <c r="JH56" s="41">
        <v>0</v>
      </c>
      <c r="JI56" s="41">
        <v>0</v>
      </c>
      <c r="JJ56" s="41">
        <v>0</v>
      </c>
      <c r="JK56" s="41">
        <v>0</v>
      </c>
      <c r="JL56" s="41">
        <v>0</v>
      </c>
      <c r="JM56" s="41">
        <v>0</v>
      </c>
      <c r="JN56" s="41">
        <v>0</v>
      </c>
      <c r="JO56" s="41">
        <v>0</v>
      </c>
      <c r="JP56" s="41">
        <v>0</v>
      </c>
      <c r="JQ56" s="41">
        <v>0</v>
      </c>
      <c r="JR56" s="41">
        <v>0</v>
      </c>
      <c r="JS56" s="41">
        <v>0</v>
      </c>
      <c r="JT56" s="41">
        <v>0</v>
      </c>
      <c r="JU56"/>
    </row>
    <row r="57" spans="1:281" ht="15.75">
      <c r="A57" s="25">
        <v>51</v>
      </c>
      <c r="B57" s="25">
        <v>20190301</v>
      </c>
      <c r="C57" s="25"/>
      <c r="D57" s="25" t="s">
        <v>132</v>
      </c>
      <c r="E57" s="25" t="s">
        <v>132</v>
      </c>
      <c r="F57" s="25" t="s">
        <v>133</v>
      </c>
      <c r="G57" s="25"/>
      <c r="H57" s="25">
        <v>100000051</v>
      </c>
      <c r="I57" s="25" t="s">
        <v>134</v>
      </c>
      <c r="J57" s="25" t="s">
        <v>135</v>
      </c>
      <c r="K57" s="25" t="s">
        <v>132</v>
      </c>
      <c r="L57" s="25">
        <v>4</v>
      </c>
      <c r="M57" s="25">
        <v>1</v>
      </c>
      <c r="N57" s="25">
        <v>1</v>
      </c>
      <c r="O57" s="45" t="s">
        <v>148</v>
      </c>
      <c r="P57" s="25">
        <v>100</v>
      </c>
      <c r="Q57" s="25">
        <v>20180301</v>
      </c>
      <c r="R57" s="25">
        <v>20180301</v>
      </c>
      <c r="S57" s="25" t="s">
        <v>137</v>
      </c>
      <c r="T57" s="25" t="s">
        <v>143</v>
      </c>
      <c r="U57" s="25">
        <v>20190301</v>
      </c>
      <c r="V57" s="25">
        <v>10</v>
      </c>
      <c r="W57" s="25">
        <v>10</v>
      </c>
      <c r="X57" s="25" t="s">
        <v>139</v>
      </c>
      <c r="Y57" s="25">
        <v>0</v>
      </c>
      <c r="Z57" s="25" t="s">
        <v>140</v>
      </c>
      <c r="AA57" s="25">
        <v>818</v>
      </c>
      <c r="AB57" s="41">
        <v>0</v>
      </c>
      <c r="AC57" s="41">
        <v>12</v>
      </c>
      <c r="AD57" s="41">
        <v>20180201</v>
      </c>
      <c r="AE57" s="41">
        <v>0</v>
      </c>
      <c r="AF57" s="26">
        <v>25000</v>
      </c>
      <c r="AG57" s="41">
        <v>107</v>
      </c>
      <c r="AH57" s="26">
        <v>34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0</v>
      </c>
      <c r="AS57" s="26">
        <v>0</v>
      </c>
      <c r="AT57" s="26">
        <v>0</v>
      </c>
      <c r="AU57" s="26">
        <v>0</v>
      </c>
      <c r="AV57" s="26">
        <v>0</v>
      </c>
      <c r="AW57" s="26">
        <v>0</v>
      </c>
      <c r="AX57" s="26">
        <v>0</v>
      </c>
      <c r="AY57" s="46">
        <v>1</v>
      </c>
      <c r="AZ57" s="25">
        <v>2</v>
      </c>
      <c r="BA57" s="41" t="s">
        <v>203</v>
      </c>
      <c r="BB57" s="41">
        <v>100</v>
      </c>
      <c r="BC57" s="41">
        <v>20180301</v>
      </c>
      <c r="BD57" s="41">
        <v>20180301</v>
      </c>
      <c r="BE57" s="41" t="s">
        <v>198</v>
      </c>
      <c r="BF57" s="41" t="s">
        <v>149</v>
      </c>
      <c r="BG57" s="41">
        <v>20180301</v>
      </c>
      <c r="BH57" s="41">
        <v>0</v>
      </c>
      <c r="BI57" s="41">
        <v>0</v>
      </c>
      <c r="BJ57" s="41"/>
      <c r="BK57" s="41">
        <v>0</v>
      </c>
      <c r="BL57" s="41" t="s">
        <v>140</v>
      </c>
      <c r="BM57" s="41">
        <v>818</v>
      </c>
      <c r="BN57" s="41">
        <v>0</v>
      </c>
      <c r="BO57" s="41">
        <v>12</v>
      </c>
      <c r="BP57" s="41">
        <v>20180201</v>
      </c>
      <c r="BQ57" s="41">
        <v>0</v>
      </c>
      <c r="BR57" s="41">
        <v>0</v>
      </c>
      <c r="BS57" s="41">
        <v>27</v>
      </c>
      <c r="BT57" s="25">
        <v>34</v>
      </c>
      <c r="BU57" s="25">
        <v>0</v>
      </c>
      <c r="BV57" s="25">
        <v>0</v>
      </c>
      <c r="BW57" s="25">
        <v>0</v>
      </c>
      <c r="BX57" s="25">
        <v>0</v>
      </c>
      <c r="BY57" s="25">
        <v>0</v>
      </c>
      <c r="BZ57" s="25">
        <v>0</v>
      </c>
      <c r="CA57" s="25">
        <v>0</v>
      </c>
      <c r="CB57" s="25">
        <v>0</v>
      </c>
      <c r="CC57" s="25">
        <v>0</v>
      </c>
      <c r="CD57" s="25">
        <v>0</v>
      </c>
      <c r="CE57" s="25">
        <v>0</v>
      </c>
      <c r="CF57" s="25">
        <v>0</v>
      </c>
      <c r="CG57" s="25">
        <v>0</v>
      </c>
      <c r="CH57" s="25">
        <v>0</v>
      </c>
      <c r="CI57" s="25">
        <v>0</v>
      </c>
      <c r="CJ57" s="25">
        <v>0</v>
      </c>
      <c r="CK57" s="22">
        <v>1</v>
      </c>
      <c r="CL57" s="25">
        <v>3</v>
      </c>
      <c r="CM57" s="41" t="s">
        <v>150</v>
      </c>
      <c r="CN57" s="41">
        <v>100</v>
      </c>
      <c r="CO57" s="41">
        <v>20180301</v>
      </c>
      <c r="CP57" s="41">
        <v>20180301</v>
      </c>
      <c r="CQ57" s="41" t="s">
        <v>198</v>
      </c>
      <c r="CR57" s="41" t="s">
        <v>200</v>
      </c>
      <c r="CS57" s="41">
        <v>20180301</v>
      </c>
      <c r="CT57" s="41">
        <v>0</v>
      </c>
      <c r="CU57" s="41">
        <v>0</v>
      </c>
      <c r="CV57" s="41"/>
      <c r="CW57" s="41">
        <v>0</v>
      </c>
      <c r="CX57" s="41" t="s">
        <v>140</v>
      </c>
      <c r="CY57" s="41">
        <v>818</v>
      </c>
      <c r="CZ57" s="41">
        <v>0</v>
      </c>
      <c r="DA57" s="41">
        <v>12</v>
      </c>
      <c r="DB57" s="41">
        <v>20180201</v>
      </c>
      <c r="DC57" s="41">
        <v>0</v>
      </c>
      <c r="DD57" s="41">
        <v>0</v>
      </c>
      <c r="DE57" s="41">
        <v>31</v>
      </c>
      <c r="DF57" s="25">
        <v>34</v>
      </c>
      <c r="DG57" s="25">
        <v>0</v>
      </c>
      <c r="DH57" s="25">
        <v>0</v>
      </c>
      <c r="DI57" s="25">
        <v>0</v>
      </c>
      <c r="DJ57" s="25">
        <v>0</v>
      </c>
      <c r="DK57" s="25">
        <v>0</v>
      </c>
      <c r="DL57" s="25">
        <v>0</v>
      </c>
      <c r="DM57" s="25">
        <v>0</v>
      </c>
      <c r="DN57" s="25">
        <v>0</v>
      </c>
      <c r="DO57" s="25">
        <v>0</v>
      </c>
      <c r="DP57" s="25">
        <v>0</v>
      </c>
      <c r="DQ57" s="25">
        <v>0</v>
      </c>
      <c r="DR57" s="25">
        <v>0</v>
      </c>
      <c r="DS57" s="25">
        <v>0</v>
      </c>
      <c r="DT57" s="25">
        <v>0</v>
      </c>
      <c r="DU57" s="25">
        <v>0</v>
      </c>
      <c r="DV57" s="25">
        <v>0</v>
      </c>
      <c r="DW57" s="23">
        <v>1</v>
      </c>
      <c r="DX57" s="25">
        <v>4</v>
      </c>
      <c r="DY57" s="41" t="s">
        <v>151</v>
      </c>
      <c r="DZ57" s="41">
        <v>100</v>
      </c>
      <c r="EA57" s="41">
        <v>20180301</v>
      </c>
      <c r="EB57" s="41">
        <v>20180301</v>
      </c>
      <c r="EC57" s="41" t="s">
        <v>198</v>
      </c>
      <c r="ED57" s="41" t="s">
        <v>201</v>
      </c>
      <c r="EE57" s="41">
        <v>20180301</v>
      </c>
      <c r="EF57" s="41">
        <v>0</v>
      </c>
      <c r="EG57" s="41">
        <v>0</v>
      </c>
      <c r="EH57" s="41"/>
      <c r="EI57" s="41">
        <v>0</v>
      </c>
      <c r="EJ57" s="41" t="s">
        <v>140</v>
      </c>
      <c r="EK57" s="41">
        <v>818</v>
      </c>
      <c r="EL57" s="41">
        <v>0</v>
      </c>
      <c r="EM57" s="41">
        <v>12</v>
      </c>
      <c r="EN57" s="41">
        <v>20180201</v>
      </c>
      <c r="EO57" s="41">
        <v>0</v>
      </c>
      <c r="EP57" s="41">
        <v>0</v>
      </c>
      <c r="EQ57" s="41">
        <v>13</v>
      </c>
      <c r="ER57" s="25">
        <v>34</v>
      </c>
      <c r="ES57" s="25">
        <v>0</v>
      </c>
      <c r="ET57" s="25">
        <v>0</v>
      </c>
      <c r="EU57" s="25">
        <v>0</v>
      </c>
      <c r="EV57" s="25">
        <v>0</v>
      </c>
      <c r="EW57" s="25">
        <v>0</v>
      </c>
      <c r="EX57" s="25">
        <v>0</v>
      </c>
      <c r="EY57" s="25">
        <v>0</v>
      </c>
      <c r="EZ57" s="25">
        <v>0</v>
      </c>
      <c r="FA57" s="25">
        <v>0</v>
      </c>
      <c r="FB57" s="25">
        <v>0</v>
      </c>
      <c r="FC57" s="25">
        <v>0</v>
      </c>
      <c r="FD57" s="25">
        <v>0</v>
      </c>
      <c r="FE57" s="25">
        <v>0</v>
      </c>
      <c r="FF57" s="25">
        <v>0</v>
      </c>
      <c r="FG57" s="25">
        <v>0</v>
      </c>
      <c r="FH57" s="25">
        <v>0</v>
      </c>
      <c r="FI57" s="25">
        <v>1</v>
      </c>
      <c r="FJ57" s="25">
        <v>1</v>
      </c>
      <c r="FK57" s="25">
        <v>1</v>
      </c>
      <c r="FL57" s="25">
        <v>34</v>
      </c>
      <c r="FM57" s="25" t="s">
        <v>137</v>
      </c>
      <c r="FN57" s="25">
        <v>19850101</v>
      </c>
      <c r="FP57" s="28">
        <v>4</v>
      </c>
      <c r="FQ57" s="47">
        <v>1</v>
      </c>
      <c r="FR57" s="41">
        <v>1</v>
      </c>
      <c r="FS57" s="41" t="str">
        <f t="shared" si="0"/>
        <v>MFEF</v>
      </c>
      <c r="FT57" s="41">
        <f t="shared" si="1"/>
        <v>818</v>
      </c>
      <c r="FU57" s="41">
        <f t="shared" si="2"/>
        <v>34</v>
      </c>
      <c r="FV57" s="41">
        <v>27500</v>
      </c>
      <c r="FW57" s="41">
        <v>117.7</v>
      </c>
      <c r="FX57" s="41"/>
      <c r="FY57" s="29">
        <v>0</v>
      </c>
      <c r="FZ57" s="29">
        <v>0</v>
      </c>
      <c r="GA57" s="30">
        <v>0</v>
      </c>
      <c r="GB57" s="30">
        <v>0</v>
      </c>
      <c r="GC57" s="29">
        <v>0</v>
      </c>
      <c r="GD57" s="41">
        <v>0</v>
      </c>
      <c r="GE57" s="29">
        <v>0</v>
      </c>
      <c r="GF57" s="29">
        <v>0</v>
      </c>
      <c r="GG57" s="29">
        <v>0</v>
      </c>
      <c r="GH57" s="29">
        <v>0</v>
      </c>
      <c r="GI57" s="29">
        <v>0</v>
      </c>
      <c r="GJ57" s="29">
        <v>0</v>
      </c>
      <c r="GK57" s="29">
        <v>0</v>
      </c>
      <c r="GL57" s="29">
        <v>0</v>
      </c>
      <c r="GM57" s="29">
        <v>0</v>
      </c>
      <c r="GN57" s="29">
        <v>0</v>
      </c>
      <c r="GO57" s="29">
        <v>0</v>
      </c>
      <c r="GP57" s="29">
        <v>0</v>
      </c>
      <c r="GQ57" s="29">
        <v>0</v>
      </c>
      <c r="GR57" s="18">
        <v>1</v>
      </c>
      <c r="GS57" s="41">
        <v>2</v>
      </c>
      <c r="GT57" s="41" t="str">
        <f t="shared" si="3"/>
        <v>PURO</v>
      </c>
      <c r="GU57" s="41">
        <v>818</v>
      </c>
      <c r="GV57" s="41">
        <v>60</v>
      </c>
      <c r="GW57" s="41">
        <v>0</v>
      </c>
      <c r="GX57" s="41">
        <v>29.7</v>
      </c>
      <c r="GY57" s="41"/>
      <c r="GZ57" s="41">
        <v>0</v>
      </c>
      <c r="HA57" s="41">
        <v>0</v>
      </c>
      <c r="HB57" s="42">
        <v>0</v>
      </c>
      <c r="HC57" s="42">
        <v>0</v>
      </c>
      <c r="HD57" s="41">
        <v>0</v>
      </c>
      <c r="HE57" s="41">
        <v>0</v>
      </c>
      <c r="HF57" s="41">
        <v>0</v>
      </c>
      <c r="HG57" s="41">
        <v>0</v>
      </c>
      <c r="HH57" s="41">
        <v>0</v>
      </c>
      <c r="HI57" s="41">
        <v>0</v>
      </c>
      <c r="HJ57" s="41">
        <v>0</v>
      </c>
      <c r="HK57" s="41">
        <v>0</v>
      </c>
      <c r="HL57" s="41">
        <v>0</v>
      </c>
      <c r="HM57" s="41">
        <v>0</v>
      </c>
      <c r="HN57" s="41">
        <v>0</v>
      </c>
      <c r="HO57" s="41">
        <v>0</v>
      </c>
      <c r="HP57" s="41">
        <v>0</v>
      </c>
      <c r="HQ57" s="41">
        <v>0</v>
      </c>
      <c r="HR57" s="41">
        <v>0</v>
      </c>
      <c r="HS57" s="24">
        <v>1</v>
      </c>
      <c r="HT57" s="41">
        <v>3</v>
      </c>
      <c r="HU57" s="41" t="str">
        <f t="shared" si="4"/>
        <v>PUDT</v>
      </c>
      <c r="HV57" s="41">
        <v>818</v>
      </c>
      <c r="HW57" s="41">
        <v>60</v>
      </c>
      <c r="HX57" s="41">
        <v>0</v>
      </c>
      <c r="HY57" s="41">
        <v>34.1</v>
      </c>
      <c r="HZ57" s="42"/>
      <c r="IA57" s="41">
        <v>0</v>
      </c>
      <c r="IB57" s="41">
        <v>0</v>
      </c>
      <c r="IC57" s="42">
        <v>0</v>
      </c>
      <c r="ID57" s="42">
        <v>0</v>
      </c>
      <c r="IE57" s="41">
        <v>0</v>
      </c>
      <c r="IF57" s="43">
        <v>0</v>
      </c>
      <c r="IG57" s="41">
        <v>0</v>
      </c>
      <c r="IH57" s="41">
        <v>0</v>
      </c>
      <c r="II57" s="41">
        <v>0</v>
      </c>
      <c r="IJ57" s="41">
        <v>0</v>
      </c>
      <c r="IK57" s="41">
        <v>0</v>
      </c>
      <c r="IL57" s="41">
        <v>0</v>
      </c>
      <c r="IM57" s="41">
        <v>0</v>
      </c>
      <c r="IN57" s="41">
        <v>0</v>
      </c>
      <c r="IO57" s="41">
        <v>0</v>
      </c>
      <c r="IP57" s="41">
        <v>0</v>
      </c>
      <c r="IQ57" s="41">
        <v>0</v>
      </c>
      <c r="IR57" s="41">
        <v>0</v>
      </c>
      <c r="IS57" s="41">
        <v>0</v>
      </c>
      <c r="IT57" s="17">
        <v>1</v>
      </c>
      <c r="IU57" s="41">
        <v>4</v>
      </c>
      <c r="IV57" s="41" t="str">
        <f t="shared" si="5"/>
        <v>PUDS</v>
      </c>
      <c r="IW57" s="41">
        <v>818</v>
      </c>
      <c r="IX57" s="41">
        <v>60</v>
      </c>
      <c r="IY57" s="41">
        <v>0</v>
      </c>
      <c r="IZ57" s="41">
        <v>14.3</v>
      </c>
      <c r="JA57" s="42"/>
      <c r="JB57" s="41">
        <v>0</v>
      </c>
      <c r="JC57" s="41">
        <v>0</v>
      </c>
      <c r="JD57" s="42">
        <v>0</v>
      </c>
      <c r="JE57" s="42">
        <v>0</v>
      </c>
      <c r="JF57" s="41">
        <v>0</v>
      </c>
      <c r="JG57" s="41">
        <v>0</v>
      </c>
      <c r="JH57" s="41">
        <v>0</v>
      </c>
      <c r="JI57" s="41">
        <v>0</v>
      </c>
      <c r="JJ57" s="41">
        <v>0</v>
      </c>
      <c r="JK57" s="41">
        <v>0</v>
      </c>
      <c r="JL57" s="41">
        <v>0</v>
      </c>
      <c r="JM57" s="41">
        <v>0</v>
      </c>
      <c r="JN57" s="41">
        <v>0</v>
      </c>
      <c r="JO57" s="41">
        <v>0</v>
      </c>
      <c r="JP57" s="41">
        <v>0</v>
      </c>
      <c r="JQ57" s="41">
        <v>0</v>
      </c>
      <c r="JR57" s="41">
        <v>0</v>
      </c>
      <c r="JS57" s="41">
        <v>0</v>
      </c>
      <c r="JT57" s="41">
        <v>0</v>
      </c>
      <c r="JU57"/>
    </row>
    <row r="58" spans="1:281" ht="15.75">
      <c r="A58" s="25">
        <v>52</v>
      </c>
      <c r="B58" s="25">
        <v>20190301</v>
      </c>
      <c r="C58" s="25"/>
      <c r="D58" s="25" t="s">
        <v>132</v>
      </c>
      <c r="E58" s="25" t="s">
        <v>132</v>
      </c>
      <c r="F58" s="25" t="s">
        <v>133</v>
      </c>
      <c r="G58" s="25"/>
      <c r="H58" s="25">
        <v>100000052</v>
      </c>
      <c r="I58" s="25" t="s">
        <v>134</v>
      </c>
      <c r="J58" s="25" t="s">
        <v>135</v>
      </c>
      <c r="K58" s="25" t="s">
        <v>132</v>
      </c>
      <c r="L58" s="25">
        <v>4</v>
      </c>
      <c r="M58" s="25">
        <v>1</v>
      </c>
      <c r="N58" s="25">
        <v>1</v>
      </c>
      <c r="O58" s="45" t="s">
        <v>148</v>
      </c>
      <c r="P58" s="25">
        <v>100</v>
      </c>
      <c r="Q58" s="25">
        <v>20180301</v>
      </c>
      <c r="R58" s="25">
        <v>20180301</v>
      </c>
      <c r="S58" s="25" t="s">
        <v>137</v>
      </c>
      <c r="T58" s="25" t="s">
        <v>143</v>
      </c>
      <c r="U58" s="25">
        <v>20190301</v>
      </c>
      <c r="V58" s="25">
        <v>10</v>
      </c>
      <c r="W58" s="25">
        <v>10</v>
      </c>
      <c r="X58" s="25" t="s">
        <v>139</v>
      </c>
      <c r="Y58" s="25">
        <v>0</v>
      </c>
      <c r="Z58" s="25" t="s">
        <v>140</v>
      </c>
      <c r="AA58" s="25">
        <v>818</v>
      </c>
      <c r="AB58" s="41">
        <v>0</v>
      </c>
      <c r="AC58" s="41">
        <v>12</v>
      </c>
      <c r="AD58" s="41">
        <v>20180201</v>
      </c>
      <c r="AE58" s="41">
        <v>0</v>
      </c>
      <c r="AF58" s="26">
        <v>35000</v>
      </c>
      <c r="AG58" s="41">
        <v>130</v>
      </c>
      <c r="AH58" s="26">
        <v>33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0</v>
      </c>
      <c r="AS58" s="26">
        <v>0</v>
      </c>
      <c r="AT58" s="26">
        <v>0</v>
      </c>
      <c r="AU58" s="26">
        <v>0</v>
      </c>
      <c r="AV58" s="26">
        <v>0</v>
      </c>
      <c r="AW58" s="26">
        <v>0</v>
      </c>
      <c r="AX58" s="26">
        <v>0</v>
      </c>
      <c r="AY58" s="46">
        <v>1</v>
      </c>
      <c r="AZ58" s="25">
        <v>2</v>
      </c>
      <c r="BA58" s="41" t="s">
        <v>203</v>
      </c>
      <c r="BB58" s="41">
        <v>100</v>
      </c>
      <c r="BC58" s="41">
        <v>20180301</v>
      </c>
      <c r="BD58" s="41">
        <v>20180301</v>
      </c>
      <c r="BE58" s="41" t="s">
        <v>198</v>
      </c>
      <c r="BF58" s="41" t="s">
        <v>149</v>
      </c>
      <c r="BG58" s="41">
        <v>20180301</v>
      </c>
      <c r="BH58" s="41">
        <v>0</v>
      </c>
      <c r="BI58" s="41">
        <v>0</v>
      </c>
      <c r="BJ58" s="41"/>
      <c r="BK58" s="41">
        <v>0</v>
      </c>
      <c r="BL58" s="41" t="s">
        <v>140</v>
      </c>
      <c r="BM58" s="41">
        <v>818</v>
      </c>
      <c r="BN58" s="41">
        <v>0</v>
      </c>
      <c r="BO58" s="41">
        <v>12</v>
      </c>
      <c r="BP58" s="41">
        <v>20180201</v>
      </c>
      <c r="BQ58" s="41">
        <v>0</v>
      </c>
      <c r="BR58" s="41">
        <v>0</v>
      </c>
      <c r="BS58" s="41">
        <v>32</v>
      </c>
      <c r="BT58" s="25">
        <v>33</v>
      </c>
      <c r="BU58" s="25">
        <v>0</v>
      </c>
      <c r="BV58" s="25">
        <v>0</v>
      </c>
      <c r="BW58" s="25">
        <v>0</v>
      </c>
      <c r="BX58" s="25">
        <v>0</v>
      </c>
      <c r="BY58" s="25">
        <v>0</v>
      </c>
      <c r="BZ58" s="25">
        <v>0</v>
      </c>
      <c r="CA58" s="25">
        <v>0</v>
      </c>
      <c r="CB58" s="25">
        <v>0</v>
      </c>
      <c r="CC58" s="25">
        <v>0</v>
      </c>
      <c r="CD58" s="25">
        <v>0</v>
      </c>
      <c r="CE58" s="25">
        <v>0</v>
      </c>
      <c r="CF58" s="25">
        <v>0</v>
      </c>
      <c r="CG58" s="25">
        <v>0</v>
      </c>
      <c r="CH58" s="25">
        <v>0</v>
      </c>
      <c r="CI58" s="25">
        <v>0</v>
      </c>
      <c r="CJ58" s="25">
        <v>0</v>
      </c>
      <c r="CK58" s="22">
        <v>1</v>
      </c>
      <c r="CL58" s="25">
        <v>3</v>
      </c>
      <c r="CM58" s="41" t="s">
        <v>150</v>
      </c>
      <c r="CN58" s="41">
        <v>100</v>
      </c>
      <c r="CO58" s="41">
        <v>20180301</v>
      </c>
      <c r="CP58" s="41">
        <v>20180301</v>
      </c>
      <c r="CQ58" s="41" t="s">
        <v>198</v>
      </c>
      <c r="CR58" s="41" t="s">
        <v>200</v>
      </c>
      <c r="CS58" s="41">
        <v>20180301</v>
      </c>
      <c r="CT58" s="41">
        <v>0</v>
      </c>
      <c r="CU58" s="41">
        <v>0</v>
      </c>
      <c r="CV58" s="41"/>
      <c r="CW58" s="41">
        <v>0</v>
      </c>
      <c r="CX58" s="41" t="s">
        <v>140</v>
      </c>
      <c r="CY58" s="41">
        <v>818</v>
      </c>
      <c r="CZ58" s="41">
        <v>0</v>
      </c>
      <c r="DA58" s="41">
        <v>12</v>
      </c>
      <c r="DB58" s="41">
        <v>20180201</v>
      </c>
      <c r="DC58" s="41">
        <v>0</v>
      </c>
      <c r="DD58" s="41">
        <v>0</v>
      </c>
      <c r="DE58" s="41">
        <v>36</v>
      </c>
      <c r="DF58" s="25">
        <v>33</v>
      </c>
      <c r="DG58" s="25">
        <v>0</v>
      </c>
      <c r="DH58" s="25">
        <v>0</v>
      </c>
      <c r="DI58" s="25">
        <v>0</v>
      </c>
      <c r="DJ58" s="25">
        <v>0</v>
      </c>
      <c r="DK58" s="25">
        <v>0</v>
      </c>
      <c r="DL58" s="25">
        <v>0</v>
      </c>
      <c r="DM58" s="25">
        <v>0</v>
      </c>
      <c r="DN58" s="25">
        <v>0</v>
      </c>
      <c r="DO58" s="25">
        <v>0</v>
      </c>
      <c r="DP58" s="25">
        <v>0</v>
      </c>
      <c r="DQ58" s="25">
        <v>0</v>
      </c>
      <c r="DR58" s="25">
        <v>0</v>
      </c>
      <c r="DS58" s="25">
        <v>0</v>
      </c>
      <c r="DT58" s="25">
        <v>0</v>
      </c>
      <c r="DU58" s="25">
        <v>0</v>
      </c>
      <c r="DV58" s="25">
        <v>0</v>
      </c>
      <c r="DW58" s="23">
        <v>1</v>
      </c>
      <c r="DX58" s="25">
        <v>4</v>
      </c>
      <c r="DY58" s="41" t="s">
        <v>151</v>
      </c>
      <c r="DZ58" s="41">
        <v>100</v>
      </c>
      <c r="EA58" s="41">
        <v>20180301</v>
      </c>
      <c r="EB58" s="41">
        <v>20180301</v>
      </c>
      <c r="EC58" s="41" t="s">
        <v>198</v>
      </c>
      <c r="ED58" s="41" t="s">
        <v>201</v>
      </c>
      <c r="EE58" s="41">
        <v>20180301</v>
      </c>
      <c r="EF58" s="41">
        <v>0</v>
      </c>
      <c r="EG58" s="41">
        <v>0</v>
      </c>
      <c r="EH58" s="41"/>
      <c r="EI58" s="41">
        <v>0</v>
      </c>
      <c r="EJ58" s="41" t="s">
        <v>140</v>
      </c>
      <c r="EK58" s="41">
        <v>818</v>
      </c>
      <c r="EL58" s="41">
        <v>0</v>
      </c>
      <c r="EM58" s="41">
        <v>12</v>
      </c>
      <c r="EN58" s="41">
        <v>20180201</v>
      </c>
      <c r="EO58" s="41">
        <v>0</v>
      </c>
      <c r="EP58" s="41">
        <v>0</v>
      </c>
      <c r="EQ58" s="41">
        <v>14</v>
      </c>
      <c r="ER58" s="25">
        <v>33</v>
      </c>
      <c r="ES58" s="25">
        <v>0</v>
      </c>
      <c r="ET58" s="25">
        <v>0</v>
      </c>
      <c r="EU58" s="25">
        <v>0</v>
      </c>
      <c r="EV58" s="25">
        <v>0</v>
      </c>
      <c r="EW58" s="25">
        <v>0</v>
      </c>
      <c r="EX58" s="25">
        <v>0</v>
      </c>
      <c r="EY58" s="25">
        <v>0</v>
      </c>
      <c r="EZ58" s="25">
        <v>0</v>
      </c>
      <c r="FA58" s="25">
        <v>0</v>
      </c>
      <c r="FB58" s="25">
        <v>0</v>
      </c>
      <c r="FC58" s="25">
        <v>0</v>
      </c>
      <c r="FD58" s="25">
        <v>0</v>
      </c>
      <c r="FE58" s="25">
        <v>0</v>
      </c>
      <c r="FF58" s="25">
        <v>0</v>
      </c>
      <c r="FG58" s="25">
        <v>0</v>
      </c>
      <c r="FH58" s="25">
        <v>0</v>
      </c>
      <c r="FI58" s="25">
        <v>1</v>
      </c>
      <c r="FJ58" s="25">
        <v>1</v>
      </c>
      <c r="FK58" s="25">
        <v>1</v>
      </c>
      <c r="FL58" s="25">
        <v>33</v>
      </c>
      <c r="FM58" s="25" t="s">
        <v>137</v>
      </c>
      <c r="FN58" s="25">
        <v>19860101</v>
      </c>
      <c r="FP58" s="28">
        <v>4</v>
      </c>
      <c r="FQ58" s="47">
        <v>1</v>
      </c>
      <c r="FR58" s="41">
        <v>1</v>
      </c>
      <c r="FS58" s="41" t="str">
        <f t="shared" si="0"/>
        <v>MFEF</v>
      </c>
      <c r="FT58" s="41">
        <f t="shared" si="1"/>
        <v>818</v>
      </c>
      <c r="FU58" s="41">
        <f t="shared" si="2"/>
        <v>33</v>
      </c>
      <c r="FV58" s="41">
        <v>38500</v>
      </c>
      <c r="FW58" s="41">
        <v>143</v>
      </c>
      <c r="FX58" s="41"/>
      <c r="FY58" s="29">
        <v>0</v>
      </c>
      <c r="FZ58" s="29">
        <v>0</v>
      </c>
      <c r="GA58" s="30">
        <v>0</v>
      </c>
      <c r="GB58" s="30">
        <v>0</v>
      </c>
      <c r="GC58" s="29">
        <v>0</v>
      </c>
      <c r="GD58" s="41">
        <v>0</v>
      </c>
      <c r="GE58" s="29">
        <v>0</v>
      </c>
      <c r="GF58" s="29">
        <v>0</v>
      </c>
      <c r="GG58" s="29">
        <v>0</v>
      </c>
      <c r="GH58" s="29">
        <v>0</v>
      </c>
      <c r="GI58" s="29">
        <v>0</v>
      </c>
      <c r="GJ58" s="29">
        <v>0</v>
      </c>
      <c r="GK58" s="29">
        <v>0</v>
      </c>
      <c r="GL58" s="29">
        <v>0</v>
      </c>
      <c r="GM58" s="29">
        <v>0</v>
      </c>
      <c r="GN58" s="29">
        <v>0</v>
      </c>
      <c r="GO58" s="29">
        <v>0</v>
      </c>
      <c r="GP58" s="29">
        <v>0</v>
      </c>
      <c r="GQ58" s="29">
        <v>0</v>
      </c>
      <c r="GR58" s="18">
        <v>1</v>
      </c>
      <c r="GS58" s="41">
        <v>2</v>
      </c>
      <c r="GT58" s="41" t="str">
        <f t="shared" si="3"/>
        <v>PURO</v>
      </c>
      <c r="GU58" s="41">
        <v>818</v>
      </c>
      <c r="GV58" s="41">
        <v>60</v>
      </c>
      <c r="GW58" s="41">
        <v>0</v>
      </c>
      <c r="GX58" s="41">
        <v>35.200000000000003</v>
      </c>
      <c r="GY58" s="41"/>
      <c r="GZ58" s="41">
        <v>0</v>
      </c>
      <c r="HA58" s="41">
        <v>0</v>
      </c>
      <c r="HB58" s="42">
        <v>0</v>
      </c>
      <c r="HC58" s="42">
        <v>0</v>
      </c>
      <c r="HD58" s="41">
        <v>0</v>
      </c>
      <c r="HE58" s="41">
        <v>0</v>
      </c>
      <c r="HF58" s="41">
        <v>0</v>
      </c>
      <c r="HG58" s="41">
        <v>0</v>
      </c>
      <c r="HH58" s="41">
        <v>0</v>
      </c>
      <c r="HI58" s="41">
        <v>0</v>
      </c>
      <c r="HJ58" s="41">
        <v>0</v>
      </c>
      <c r="HK58" s="41">
        <v>0</v>
      </c>
      <c r="HL58" s="41">
        <v>0</v>
      </c>
      <c r="HM58" s="41">
        <v>0</v>
      </c>
      <c r="HN58" s="41">
        <v>0</v>
      </c>
      <c r="HO58" s="41">
        <v>0</v>
      </c>
      <c r="HP58" s="41">
        <v>0</v>
      </c>
      <c r="HQ58" s="41">
        <v>0</v>
      </c>
      <c r="HR58" s="41">
        <v>0</v>
      </c>
      <c r="HS58" s="24">
        <v>1</v>
      </c>
      <c r="HT58" s="41">
        <v>3</v>
      </c>
      <c r="HU58" s="41" t="str">
        <f t="shared" si="4"/>
        <v>PUDT</v>
      </c>
      <c r="HV58" s="41">
        <v>818</v>
      </c>
      <c r="HW58" s="41">
        <v>60</v>
      </c>
      <c r="HX58" s="41">
        <v>0</v>
      </c>
      <c r="HY58" s="41">
        <v>39.6</v>
      </c>
      <c r="HZ58" s="42"/>
      <c r="IA58" s="41">
        <v>0</v>
      </c>
      <c r="IB58" s="41">
        <v>0</v>
      </c>
      <c r="IC58" s="42">
        <v>0</v>
      </c>
      <c r="ID58" s="42">
        <v>0</v>
      </c>
      <c r="IE58" s="41">
        <v>0</v>
      </c>
      <c r="IF58" s="43">
        <v>0</v>
      </c>
      <c r="IG58" s="41">
        <v>0</v>
      </c>
      <c r="IH58" s="41">
        <v>0</v>
      </c>
      <c r="II58" s="41">
        <v>0</v>
      </c>
      <c r="IJ58" s="41">
        <v>0</v>
      </c>
      <c r="IK58" s="41">
        <v>0</v>
      </c>
      <c r="IL58" s="41">
        <v>0</v>
      </c>
      <c r="IM58" s="41">
        <v>0</v>
      </c>
      <c r="IN58" s="41">
        <v>0</v>
      </c>
      <c r="IO58" s="41">
        <v>0</v>
      </c>
      <c r="IP58" s="41">
        <v>0</v>
      </c>
      <c r="IQ58" s="41">
        <v>0</v>
      </c>
      <c r="IR58" s="41">
        <v>0</v>
      </c>
      <c r="IS58" s="41">
        <v>0</v>
      </c>
      <c r="IT58" s="17">
        <v>1</v>
      </c>
      <c r="IU58" s="41">
        <v>4</v>
      </c>
      <c r="IV58" s="41" t="str">
        <f t="shared" si="5"/>
        <v>PUDS</v>
      </c>
      <c r="IW58" s="41">
        <v>818</v>
      </c>
      <c r="IX58" s="41">
        <v>60</v>
      </c>
      <c r="IY58" s="41">
        <v>0</v>
      </c>
      <c r="IZ58" s="41">
        <v>15.4</v>
      </c>
      <c r="JA58" s="42"/>
      <c r="JB58" s="41">
        <v>0</v>
      </c>
      <c r="JC58" s="41">
        <v>0</v>
      </c>
      <c r="JD58" s="42">
        <v>0</v>
      </c>
      <c r="JE58" s="42">
        <v>0</v>
      </c>
      <c r="JF58" s="41">
        <v>0</v>
      </c>
      <c r="JG58" s="41">
        <v>0</v>
      </c>
      <c r="JH58" s="41">
        <v>0</v>
      </c>
      <c r="JI58" s="41">
        <v>0</v>
      </c>
      <c r="JJ58" s="41">
        <v>0</v>
      </c>
      <c r="JK58" s="41">
        <v>0</v>
      </c>
      <c r="JL58" s="41">
        <v>0</v>
      </c>
      <c r="JM58" s="41">
        <v>0</v>
      </c>
      <c r="JN58" s="41">
        <v>0</v>
      </c>
      <c r="JO58" s="41">
        <v>0</v>
      </c>
      <c r="JP58" s="41">
        <v>0</v>
      </c>
      <c r="JQ58" s="41">
        <v>0</v>
      </c>
      <c r="JR58" s="41">
        <v>0</v>
      </c>
      <c r="JS58" s="41">
        <v>0</v>
      </c>
      <c r="JT58" s="41">
        <v>0</v>
      </c>
      <c r="JU58"/>
    </row>
    <row r="59" spans="1:281" ht="15.75">
      <c r="A59" s="25">
        <v>53</v>
      </c>
      <c r="B59" s="25">
        <v>20190301</v>
      </c>
      <c r="C59" s="25"/>
      <c r="D59" s="25" t="s">
        <v>132</v>
      </c>
      <c r="E59" s="25" t="s">
        <v>132</v>
      </c>
      <c r="F59" s="25" t="s">
        <v>133</v>
      </c>
      <c r="G59" s="25"/>
      <c r="H59" s="25">
        <v>100000053</v>
      </c>
      <c r="I59" s="25" t="s">
        <v>134</v>
      </c>
      <c r="J59" s="25" t="s">
        <v>135</v>
      </c>
      <c r="K59" s="25" t="s">
        <v>132</v>
      </c>
      <c r="L59" s="25">
        <v>4</v>
      </c>
      <c r="M59" s="25">
        <v>1</v>
      </c>
      <c r="N59" s="25">
        <v>1</v>
      </c>
      <c r="O59" s="45" t="s">
        <v>148</v>
      </c>
      <c r="P59" s="25">
        <v>100</v>
      </c>
      <c r="Q59" s="25">
        <v>20180301</v>
      </c>
      <c r="R59" s="25">
        <v>20180301</v>
      </c>
      <c r="S59" s="25" t="s">
        <v>137</v>
      </c>
      <c r="T59" s="25" t="s">
        <v>143</v>
      </c>
      <c r="U59" s="25">
        <v>20190301</v>
      </c>
      <c r="V59" s="25">
        <v>10</v>
      </c>
      <c r="W59" s="25">
        <v>10</v>
      </c>
      <c r="X59" s="25" t="s">
        <v>139</v>
      </c>
      <c r="Y59" s="25">
        <v>0</v>
      </c>
      <c r="Z59" s="25" t="s">
        <v>140</v>
      </c>
      <c r="AA59" s="25">
        <v>818</v>
      </c>
      <c r="AB59" s="41">
        <v>0</v>
      </c>
      <c r="AC59" s="41">
        <v>12</v>
      </c>
      <c r="AD59" s="41">
        <v>20180201</v>
      </c>
      <c r="AE59" s="41">
        <v>0</v>
      </c>
      <c r="AF59" s="26">
        <v>50000</v>
      </c>
      <c r="AG59" s="41">
        <v>165</v>
      </c>
      <c r="AH59" s="26">
        <v>32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0</v>
      </c>
      <c r="AS59" s="26">
        <v>0</v>
      </c>
      <c r="AT59" s="26">
        <v>0</v>
      </c>
      <c r="AU59" s="26">
        <v>0</v>
      </c>
      <c r="AV59" s="26">
        <v>0</v>
      </c>
      <c r="AW59" s="26">
        <v>0</v>
      </c>
      <c r="AX59" s="26">
        <v>0</v>
      </c>
      <c r="AY59" s="46">
        <v>1</v>
      </c>
      <c r="AZ59" s="25">
        <v>2</v>
      </c>
      <c r="BA59" s="41" t="s">
        <v>203</v>
      </c>
      <c r="BB59" s="41">
        <v>100</v>
      </c>
      <c r="BC59" s="41">
        <v>20180301</v>
      </c>
      <c r="BD59" s="41">
        <v>20180301</v>
      </c>
      <c r="BE59" s="41" t="s">
        <v>198</v>
      </c>
      <c r="BF59" s="41" t="s">
        <v>149</v>
      </c>
      <c r="BG59" s="41">
        <v>20180301</v>
      </c>
      <c r="BH59" s="41">
        <v>0</v>
      </c>
      <c r="BI59" s="41">
        <v>0</v>
      </c>
      <c r="BJ59" s="41"/>
      <c r="BK59" s="41">
        <v>0</v>
      </c>
      <c r="BL59" s="41" t="s">
        <v>140</v>
      </c>
      <c r="BM59" s="41">
        <v>818</v>
      </c>
      <c r="BN59" s="41">
        <v>0</v>
      </c>
      <c r="BO59" s="41">
        <v>12</v>
      </c>
      <c r="BP59" s="41">
        <v>20180201</v>
      </c>
      <c r="BQ59" s="41">
        <v>0</v>
      </c>
      <c r="BR59" s="41">
        <v>0</v>
      </c>
      <c r="BS59" s="41">
        <v>38</v>
      </c>
      <c r="BT59" s="25">
        <v>32</v>
      </c>
      <c r="BU59" s="25">
        <v>0</v>
      </c>
      <c r="BV59" s="25">
        <v>0</v>
      </c>
      <c r="BW59" s="25">
        <v>0</v>
      </c>
      <c r="BX59" s="25">
        <v>0</v>
      </c>
      <c r="BY59" s="25">
        <v>0</v>
      </c>
      <c r="BZ59" s="25">
        <v>0</v>
      </c>
      <c r="CA59" s="25">
        <v>0</v>
      </c>
      <c r="CB59" s="25">
        <v>0</v>
      </c>
      <c r="CC59" s="25">
        <v>0</v>
      </c>
      <c r="CD59" s="25">
        <v>0</v>
      </c>
      <c r="CE59" s="25">
        <v>0</v>
      </c>
      <c r="CF59" s="25">
        <v>0</v>
      </c>
      <c r="CG59" s="25">
        <v>0</v>
      </c>
      <c r="CH59" s="25">
        <v>0</v>
      </c>
      <c r="CI59" s="25">
        <v>0</v>
      </c>
      <c r="CJ59" s="25">
        <v>0</v>
      </c>
      <c r="CK59" s="22">
        <v>1</v>
      </c>
      <c r="CL59" s="25">
        <v>3</v>
      </c>
      <c r="CM59" s="41" t="s">
        <v>150</v>
      </c>
      <c r="CN59" s="41">
        <v>100</v>
      </c>
      <c r="CO59" s="41">
        <v>20180301</v>
      </c>
      <c r="CP59" s="41">
        <v>20180301</v>
      </c>
      <c r="CQ59" s="41" t="s">
        <v>198</v>
      </c>
      <c r="CR59" s="41" t="s">
        <v>200</v>
      </c>
      <c r="CS59" s="41">
        <v>20180301</v>
      </c>
      <c r="CT59" s="41">
        <v>0</v>
      </c>
      <c r="CU59" s="41">
        <v>0</v>
      </c>
      <c r="CV59" s="41"/>
      <c r="CW59" s="41">
        <v>0</v>
      </c>
      <c r="CX59" s="41" t="s">
        <v>140</v>
      </c>
      <c r="CY59" s="41">
        <v>818</v>
      </c>
      <c r="CZ59" s="41">
        <v>0</v>
      </c>
      <c r="DA59" s="41">
        <v>12</v>
      </c>
      <c r="DB59" s="41">
        <v>20180201</v>
      </c>
      <c r="DC59" s="41">
        <v>0</v>
      </c>
      <c r="DD59" s="41">
        <v>0</v>
      </c>
      <c r="DE59" s="41">
        <v>44</v>
      </c>
      <c r="DF59" s="25">
        <v>32</v>
      </c>
      <c r="DG59" s="25">
        <v>0</v>
      </c>
      <c r="DH59" s="25">
        <v>0</v>
      </c>
      <c r="DI59" s="25">
        <v>0</v>
      </c>
      <c r="DJ59" s="25">
        <v>0</v>
      </c>
      <c r="DK59" s="25">
        <v>0</v>
      </c>
      <c r="DL59" s="25">
        <v>0</v>
      </c>
      <c r="DM59" s="25">
        <v>0</v>
      </c>
      <c r="DN59" s="25">
        <v>0</v>
      </c>
      <c r="DO59" s="25">
        <v>0</v>
      </c>
      <c r="DP59" s="25">
        <v>0</v>
      </c>
      <c r="DQ59" s="25">
        <v>0</v>
      </c>
      <c r="DR59" s="25">
        <v>0</v>
      </c>
      <c r="DS59" s="25">
        <v>0</v>
      </c>
      <c r="DT59" s="25">
        <v>0</v>
      </c>
      <c r="DU59" s="25">
        <v>0</v>
      </c>
      <c r="DV59" s="25">
        <v>0</v>
      </c>
      <c r="DW59" s="23">
        <v>1</v>
      </c>
      <c r="DX59" s="25">
        <v>4</v>
      </c>
      <c r="DY59" s="41" t="s">
        <v>151</v>
      </c>
      <c r="DZ59" s="41">
        <v>100</v>
      </c>
      <c r="EA59" s="41">
        <v>20180301</v>
      </c>
      <c r="EB59" s="41">
        <v>20180301</v>
      </c>
      <c r="EC59" s="41" t="s">
        <v>198</v>
      </c>
      <c r="ED59" s="41" t="s">
        <v>201</v>
      </c>
      <c r="EE59" s="41">
        <v>20180301</v>
      </c>
      <c r="EF59" s="41">
        <v>0</v>
      </c>
      <c r="EG59" s="41">
        <v>0</v>
      </c>
      <c r="EH59" s="41"/>
      <c r="EI59" s="41">
        <v>0</v>
      </c>
      <c r="EJ59" s="41" t="s">
        <v>140</v>
      </c>
      <c r="EK59" s="41">
        <v>818</v>
      </c>
      <c r="EL59" s="41">
        <v>0</v>
      </c>
      <c r="EM59" s="41">
        <v>12</v>
      </c>
      <c r="EN59" s="41">
        <v>20180201</v>
      </c>
      <c r="EO59" s="41">
        <v>0</v>
      </c>
      <c r="EP59" s="41">
        <v>0</v>
      </c>
      <c r="EQ59" s="41">
        <v>17</v>
      </c>
      <c r="ER59" s="25">
        <v>32</v>
      </c>
      <c r="ES59" s="25">
        <v>0</v>
      </c>
      <c r="ET59" s="25">
        <v>0</v>
      </c>
      <c r="EU59" s="25">
        <v>0</v>
      </c>
      <c r="EV59" s="25">
        <v>0</v>
      </c>
      <c r="EW59" s="25">
        <v>0</v>
      </c>
      <c r="EX59" s="25">
        <v>0</v>
      </c>
      <c r="EY59" s="25">
        <v>0</v>
      </c>
      <c r="EZ59" s="25">
        <v>0</v>
      </c>
      <c r="FA59" s="25">
        <v>0</v>
      </c>
      <c r="FB59" s="25">
        <v>0</v>
      </c>
      <c r="FC59" s="25">
        <v>0</v>
      </c>
      <c r="FD59" s="25">
        <v>0</v>
      </c>
      <c r="FE59" s="25">
        <v>0</v>
      </c>
      <c r="FF59" s="25">
        <v>0</v>
      </c>
      <c r="FG59" s="25">
        <v>0</v>
      </c>
      <c r="FH59" s="25">
        <v>0</v>
      </c>
      <c r="FI59" s="25">
        <v>1</v>
      </c>
      <c r="FJ59" s="25">
        <v>1</v>
      </c>
      <c r="FK59" s="25">
        <v>1</v>
      </c>
      <c r="FL59" s="25">
        <v>32</v>
      </c>
      <c r="FM59" s="25" t="s">
        <v>137</v>
      </c>
      <c r="FN59" s="25">
        <v>19870101</v>
      </c>
      <c r="FP59" s="28">
        <v>4</v>
      </c>
      <c r="FQ59" s="47">
        <v>1</v>
      </c>
      <c r="FR59" s="41">
        <v>1</v>
      </c>
      <c r="FS59" s="41" t="str">
        <f t="shared" si="0"/>
        <v>MFEF</v>
      </c>
      <c r="FT59" s="41">
        <f t="shared" si="1"/>
        <v>818</v>
      </c>
      <c r="FU59" s="41">
        <f t="shared" si="2"/>
        <v>32</v>
      </c>
      <c r="FV59" s="41">
        <v>55000</v>
      </c>
      <c r="FW59" s="41">
        <v>181.5</v>
      </c>
      <c r="FX59" s="41"/>
      <c r="FY59" s="29">
        <v>0</v>
      </c>
      <c r="FZ59" s="29">
        <v>0</v>
      </c>
      <c r="GA59" s="30">
        <v>0</v>
      </c>
      <c r="GB59" s="30">
        <v>0</v>
      </c>
      <c r="GC59" s="29">
        <v>0</v>
      </c>
      <c r="GD59" s="41">
        <v>0</v>
      </c>
      <c r="GE59" s="29">
        <v>0</v>
      </c>
      <c r="GF59" s="29">
        <v>0</v>
      </c>
      <c r="GG59" s="29">
        <v>0</v>
      </c>
      <c r="GH59" s="29">
        <v>0</v>
      </c>
      <c r="GI59" s="29">
        <v>0</v>
      </c>
      <c r="GJ59" s="29">
        <v>0</v>
      </c>
      <c r="GK59" s="29">
        <v>0</v>
      </c>
      <c r="GL59" s="29">
        <v>0</v>
      </c>
      <c r="GM59" s="29">
        <v>0</v>
      </c>
      <c r="GN59" s="29">
        <v>0</v>
      </c>
      <c r="GO59" s="29">
        <v>0</v>
      </c>
      <c r="GP59" s="29">
        <v>0</v>
      </c>
      <c r="GQ59" s="29">
        <v>0</v>
      </c>
      <c r="GR59" s="18">
        <v>1</v>
      </c>
      <c r="GS59" s="41">
        <v>2</v>
      </c>
      <c r="GT59" s="41" t="str">
        <f t="shared" si="3"/>
        <v>PURO</v>
      </c>
      <c r="GU59" s="41">
        <v>818</v>
      </c>
      <c r="GV59" s="41">
        <v>59</v>
      </c>
      <c r="GW59" s="41">
        <v>0</v>
      </c>
      <c r="GX59" s="41">
        <v>41.8</v>
      </c>
      <c r="GY59" s="41"/>
      <c r="GZ59" s="41">
        <v>0</v>
      </c>
      <c r="HA59" s="41">
        <v>0</v>
      </c>
      <c r="HB59" s="42">
        <v>0</v>
      </c>
      <c r="HC59" s="42">
        <v>0</v>
      </c>
      <c r="HD59" s="41">
        <v>0</v>
      </c>
      <c r="HE59" s="41">
        <v>0</v>
      </c>
      <c r="HF59" s="41">
        <v>0</v>
      </c>
      <c r="HG59" s="41">
        <v>0</v>
      </c>
      <c r="HH59" s="41">
        <v>0</v>
      </c>
      <c r="HI59" s="41">
        <v>0</v>
      </c>
      <c r="HJ59" s="41">
        <v>0</v>
      </c>
      <c r="HK59" s="41">
        <v>0</v>
      </c>
      <c r="HL59" s="41">
        <v>0</v>
      </c>
      <c r="HM59" s="41">
        <v>0</v>
      </c>
      <c r="HN59" s="41">
        <v>0</v>
      </c>
      <c r="HO59" s="41">
        <v>0</v>
      </c>
      <c r="HP59" s="41">
        <v>0</v>
      </c>
      <c r="HQ59" s="41">
        <v>0</v>
      </c>
      <c r="HR59" s="41">
        <v>0</v>
      </c>
      <c r="HS59" s="24">
        <v>1</v>
      </c>
      <c r="HT59" s="41">
        <v>3</v>
      </c>
      <c r="HU59" s="41" t="str">
        <f t="shared" si="4"/>
        <v>PUDT</v>
      </c>
      <c r="HV59" s="41">
        <v>818</v>
      </c>
      <c r="HW59" s="41">
        <v>59</v>
      </c>
      <c r="HX59" s="41">
        <v>0</v>
      </c>
      <c r="HY59" s="41">
        <v>48.4</v>
      </c>
      <c r="HZ59" s="42"/>
      <c r="IA59" s="41">
        <v>0</v>
      </c>
      <c r="IB59" s="41">
        <v>0</v>
      </c>
      <c r="IC59" s="42">
        <v>0</v>
      </c>
      <c r="ID59" s="42">
        <v>0</v>
      </c>
      <c r="IE59" s="41">
        <v>0</v>
      </c>
      <c r="IF59" s="43">
        <v>0</v>
      </c>
      <c r="IG59" s="41">
        <v>0</v>
      </c>
      <c r="IH59" s="41">
        <v>0</v>
      </c>
      <c r="II59" s="41">
        <v>0</v>
      </c>
      <c r="IJ59" s="41">
        <v>0</v>
      </c>
      <c r="IK59" s="41">
        <v>0</v>
      </c>
      <c r="IL59" s="41">
        <v>0</v>
      </c>
      <c r="IM59" s="41">
        <v>0</v>
      </c>
      <c r="IN59" s="41">
        <v>0</v>
      </c>
      <c r="IO59" s="41">
        <v>0</v>
      </c>
      <c r="IP59" s="41">
        <v>0</v>
      </c>
      <c r="IQ59" s="41">
        <v>0</v>
      </c>
      <c r="IR59" s="41">
        <v>0</v>
      </c>
      <c r="IS59" s="41">
        <v>0</v>
      </c>
      <c r="IT59" s="17">
        <v>1</v>
      </c>
      <c r="IU59" s="41">
        <v>4</v>
      </c>
      <c r="IV59" s="41" t="str">
        <f t="shared" si="5"/>
        <v>PUDS</v>
      </c>
      <c r="IW59" s="41">
        <v>818</v>
      </c>
      <c r="IX59" s="41">
        <v>59</v>
      </c>
      <c r="IY59" s="41">
        <v>0</v>
      </c>
      <c r="IZ59" s="41">
        <v>18.7</v>
      </c>
      <c r="JA59" s="42"/>
      <c r="JB59" s="41">
        <v>0</v>
      </c>
      <c r="JC59" s="41">
        <v>0</v>
      </c>
      <c r="JD59" s="42">
        <v>0</v>
      </c>
      <c r="JE59" s="42">
        <v>0</v>
      </c>
      <c r="JF59" s="41">
        <v>0</v>
      </c>
      <c r="JG59" s="41">
        <v>0</v>
      </c>
      <c r="JH59" s="41">
        <v>0</v>
      </c>
      <c r="JI59" s="41">
        <v>0</v>
      </c>
      <c r="JJ59" s="41">
        <v>0</v>
      </c>
      <c r="JK59" s="41">
        <v>0</v>
      </c>
      <c r="JL59" s="41">
        <v>0</v>
      </c>
      <c r="JM59" s="41">
        <v>0</v>
      </c>
      <c r="JN59" s="41">
        <v>0</v>
      </c>
      <c r="JO59" s="41">
        <v>0</v>
      </c>
      <c r="JP59" s="41">
        <v>0</v>
      </c>
      <c r="JQ59" s="41">
        <v>0</v>
      </c>
      <c r="JR59" s="41">
        <v>0</v>
      </c>
      <c r="JS59" s="41">
        <v>0</v>
      </c>
      <c r="JT59" s="41">
        <v>0</v>
      </c>
      <c r="JU59"/>
    </row>
    <row r="60" spans="1:281" ht="15.75">
      <c r="A60" s="25">
        <v>54</v>
      </c>
      <c r="B60" s="25">
        <v>20190301</v>
      </c>
      <c r="C60" s="25"/>
      <c r="D60" s="25" t="s">
        <v>132</v>
      </c>
      <c r="E60" s="25" t="s">
        <v>132</v>
      </c>
      <c r="F60" s="25" t="s">
        <v>133</v>
      </c>
      <c r="G60" s="25"/>
      <c r="H60" s="25">
        <v>100000054</v>
      </c>
      <c r="I60" s="25" t="s">
        <v>134</v>
      </c>
      <c r="J60" s="25" t="s">
        <v>135</v>
      </c>
      <c r="K60" s="25" t="s">
        <v>132</v>
      </c>
      <c r="L60" s="25">
        <v>4</v>
      </c>
      <c r="M60" s="25">
        <v>1</v>
      </c>
      <c r="N60" s="25">
        <v>1</v>
      </c>
      <c r="O60" s="45" t="s">
        <v>148</v>
      </c>
      <c r="P60" s="25">
        <v>100</v>
      </c>
      <c r="Q60" s="25">
        <v>20180301</v>
      </c>
      <c r="R60" s="25">
        <v>20180301</v>
      </c>
      <c r="S60" s="25" t="s">
        <v>137</v>
      </c>
      <c r="T60" s="25" t="s">
        <v>143</v>
      </c>
      <c r="U60" s="25">
        <v>20190301</v>
      </c>
      <c r="V60" s="25">
        <v>6</v>
      </c>
      <c r="W60" s="25">
        <v>6</v>
      </c>
      <c r="X60" s="25" t="s">
        <v>139</v>
      </c>
      <c r="Y60" s="25">
        <v>0</v>
      </c>
      <c r="Z60" s="25" t="s">
        <v>140</v>
      </c>
      <c r="AA60" s="25">
        <v>818</v>
      </c>
      <c r="AB60" s="41">
        <v>0</v>
      </c>
      <c r="AC60" s="41">
        <v>12</v>
      </c>
      <c r="AD60" s="41">
        <v>20180201</v>
      </c>
      <c r="AE60" s="41">
        <v>0</v>
      </c>
      <c r="AF60" s="26">
        <v>45000</v>
      </c>
      <c r="AG60" s="41">
        <v>154</v>
      </c>
      <c r="AH60" s="26">
        <v>31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0</v>
      </c>
      <c r="AT60" s="26">
        <v>0</v>
      </c>
      <c r="AU60" s="26">
        <v>0</v>
      </c>
      <c r="AV60" s="26">
        <v>0</v>
      </c>
      <c r="AW60" s="26">
        <v>0</v>
      </c>
      <c r="AX60" s="26">
        <v>0</v>
      </c>
      <c r="AY60" s="46">
        <v>1</v>
      </c>
      <c r="AZ60" s="25">
        <v>2</v>
      </c>
      <c r="BA60" s="41" t="s">
        <v>203</v>
      </c>
      <c r="BB60" s="41">
        <v>100</v>
      </c>
      <c r="BC60" s="41">
        <v>20180301</v>
      </c>
      <c r="BD60" s="41">
        <v>20180301</v>
      </c>
      <c r="BE60" s="41" t="s">
        <v>198</v>
      </c>
      <c r="BF60" s="41" t="s">
        <v>149</v>
      </c>
      <c r="BG60" s="41">
        <v>20180301</v>
      </c>
      <c r="BH60" s="41">
        <v>0</v>
      </c>
      <c r="BI60" s="41">
        <v>0</v>
      </c>
      <c r="BJ60" s="41"/>
      <c r="BK60" s="41">
        <v>0</v>
      </c>
      <c r="BL60" s="41" t="s">
        <v>140</v>
      </c>
      <c r="BM60" s="41">
        <v>818</v>
      </c>
      <c r="BN60" s="41">
        <v>0</v>
      </c>
      <c r="BO60" s="41">
        <v>12</v>
      </c>
      <c r="BP60" s="41">
        <v>20180201</v>
      </c>
      <c r="BQ60" s="41">
        <v>0</v>
      </c>
      <c r="BR60" s="41">
        <v>0</v>
      </c>
      <c r="BS60" s="41">
        <v>36</v>
      </c>
      <c r="BT60" s="25">
        <v>31</v>
      </c>
      <c r="BU60" s="25">
        <v>0</v>
      </c>
      <c r="BV60" s="25">
        <v>0</v>
      </c>
      <c r="BW60" s="25">
        <v>0</v>
      </c>
      <c r="BX60" s="25">
        <v>0</v>
      </c>
      <c r="BY60" s="25">
        <v>0</v>
      </c>
      <c r="BZ60" s="25">
        <v>0</v>
      </c>
      <c r="CA60" s="25">
        <v>0</v>
      </c>
      <c r="CB60" s="25">
        <v>0</v>
      </c>
      <c r="CC60" s="25">
        <v>0</v>
      </c>
      <c r="CD60" s="25">
        <v>0</v>
      </c>
      <c r="CE60" s="25">
        <v>0</v>
      </c>
      <c r="CF60" s="25">
        <v>0</v>
      </c>
      <c r="CG60" s="25">
        <v>0</v>
      </c>
      <c r="CH60" s="25">
        <v>0</v>
      </c>
      <c r="CI60" s="25">
        <v>0</v>
      </c>
      <c r="CJ60" s="25">
        <v>0</v>
      </c>
      <c r="CK60" s="22">
        <v>1</v>
      </c>
      <c r="CL60" s="25">
        <v>3</v>
      </c>
      <c r="CM60" s="41" t="s">
        <v>150</v>
      </c>
      <c r="CN60" s="41">
        <v>100</v>
      </c>
      <c r="CO60" s="41">
        <v>20180301</v>
      </c>
      <c r="CP60" s="41">
        <v>20180301</v>
      </c>
      <c r="CQ60" s="41" t="s">
        <v>198</v>
      </c>
      <c r="CR60" s="41" t="s">
        <v>200</v>
      </c>
      <c r="CS60" s="41">
        <v>20180301</v>
      </c>
      <c r="CT60" s="41">
        <v>0</v>
      </c>
      <c r="CU60" s="41">
        <v>0</v>
      </c>
      <c r="CV60" s="41"/>
      <c r="CW60" s="41">
        <v>0</v>
      </c>
      <c r="CX60" s="41" t="s">
        <v>140</v>
      </c>
      <c r="CY60" s="41">
        <v>818</v>
      </c>
      <c r="CZ60" s="41">
        <v>0</v>
      </c>
      <c r="DA60" s="41">
        <v>12</v>
      </c>
      <c r="DB60" s="41">
        <v>20180201</v>
      </c>
      <c r="DC60" s="41">
        <v>0</v>
      </c>
      <c r="DD60" s="41">
        <v>0</v>
      </c>
      <c r="DE60" s="41">
        <v>42</v>
      </c>
      <c r="DF60" s="25">
        <v>31</v>
      </c>
      <c r="DG60" s="25">
        <v>0</v>
      </c>
      <c r="DH60" s="25">
        <v>0</v>
      </c>
      <c r="DI60" s="25">
        <v>0</v>
      </c>
      <c r="DJ60" s="25">
        <v>0</v>
      </c>
      <c r="DK60" s="25">
        <v>0</v>
      </c>
      <c r="DL60" s="25">
        <v>0</v>
      </c>
      <c r="DM60" s="25">
        <v>0</v>
      </c>
      <c r="DN60" s="25">
        <v>0</v>
      </c>
      <c r="DO60" s="25">
        <v>0</v>
      </c>
      <c r="DP60" s="25">
        <v>0</v>
      </c>
      <c r="DQ60" s="25">
        <v>0</v>
      </c>
      <c r="DR60" s="25">
        <v>0</v>
      </c>
      <c r="DS60" s="25">
        <v>0</v>
      </c>
      <c r="DT60" s="25">
        <v>0</v>
      </c>
      <c r="DU60" s="25">
        <v>0</v>
      </c>
      <c r="DV60" s="25">
        <v>0</v>
      </c>
      <c r="DW60" s="23">
        <v>1</v>
      </c>
      <c r="DX60" s="25">
        <v>4</v>
      </c>
      <c r="DY60" s="41" t="s">
        <v>151</v>
      </c>
      <c r="DZ60" s="41">
        <v>100</v>
      </c>
      <c r="EA60" s="41">
        <v>20180301</v>
      </c>
      <c r="EB60" s="41">
        <v>20180301</v>
      </c>
      <c r="EC60" s="41" t="s">
        <v>198</v>
      </c>
      <c r="ED60" s="41" t="s">
        <v>201</v>
      </c>
      <c r="EE60" s="41">
        <v>20180301</v>
      </c>
      <c r="EF60" s="41">
        <v>0</v>
      </c>
      <c r="EG60" s="41">
        <v>0</v>
      </c>
      <c r="EH60" s="41"/>
      <c r="EI60" s="41">
        <v>0</v>
      </c>
      <c r="EJ60" s="41" t="s">
        <v>140</v>
      </c>
      <c r="EK60" s="41">
        <v>818</v>
      </c>
      <c r="EL60" s="41">
        <v>0</v>
      </c>
      <c r="EM60" s="41">
        <v>12</v>
      </c>
      <c r="EN60" s="41">
        <v>20180201</v>
      </c>
      <c r="EO60" s="41">
        <v>0</v>
      </c>
      <c r="EP60" s="41">
        <v>0</v>
      </c>
      <c r="EQ60" s="41">
        <v>16</v>
      </c>
      <c r="ER60" s="25">
        <v>31</v>
      </c>
      <c r="ES60" s="25">
        <v>0</v>
      </c>
      <c r="ET60" s="25">
        <v>0</v>
      </c>
      <c r="EU60" s="25">
        <v>0</v>
      </c>
      <c r="EV60" s="25">
        <v>0</v>
      </c>
      <c r="EW60" s="25">
        <v>0</v>
      </c>
      <c r="EX60" s="25">
        <v>0</v>
      </c>
      <c r="EY60" s="25">
        <v>0</v>
      </c>
      <c r="EZ60" s="25">
        <v>0</v>
      </c>
      <c r="FA60" s="25">
        <v>0</v>
      </c>
      <c r="FB60" s="25">
        <v>0</v>
      </c>
      <c r="FC60" s="25">
        <v>0</v>
      </c>
      <c r="FD60" s="25">
        <v>0</v>
      </c>
      <c r="FE60" s="25">
        <v>0</v>
      </c>
      <c r="FF60" s="25">
        <v>0</v>
      </c>
      <c r="FG60" s="25">
        <v>0</v>
      </c>
      <c r="FH60" s="25">
        <v>0</v>
      </c>
      <c r="FI60" s="25">
        <v>1</v>
      </c>
      <c r="FJ60" s="25">
        <v>1</v>
      </c>
      <c r="FK60" s="25">
        <v>1</v>
      </c>
      <c r="FL60" s="25">
        <v>31</v>
      </c>
      <c r="FM60" s="25" t="s">
        <v>137</v>
      </c>
      <c r="FN60" s="25">
        <v>19880101</v>
      </c>
      <c r="FP60" s="28">
        <v>4</v>
      </c>
      <c r="FQ60" s="47">
        <v>1</v>
      </c>
      <c r="FR60" s="41">
        <v>1</v>
      </c>
      <c r="FS60" s="41" t="str">
        <f t="shared" si="0"/>
        <v>MFEF</v>
      </c>
      <c r="FT60" s="41">
        <f t="shared" si="1"/>
        <v>818</v>
      </c>
      <c r="FU60" s="41">
        <f t="shared" si="2"/>
        <v>31</v>
      </c>
      <c r="FV60" s="41">
        <v>47700</v>
      </c>
      <c r="FW60" s="41">
        <v>163.24</v>
      </c>
      <c r="FX60" s="41"/>
      <c r="FY60" s="29">
        <v>0</v>
      </c>
      <c r="FZ60" s="29">
        <v>0</v>
      </c>
      <c r="GA60" s="30">
        <v>0</v>
      </c>
      <c r="GB60" s="30">
        <v>0</v>
      </c>
      <c r="GC60" s="29">
        <v>0</v>
      </c>
      <c r="GD60" s="41">
        <v>0</v>
      </c>
      <c r="GE60" s="29">
        <v>0</v>
      </c>
      <c r="GF60" s="29">
        <v>0</v>
      </c>
      <c r="GG60" s="29">
        <v>0</v>
      </c>
      <c r="GH60" s="29">
        <v>0</v>
      </c>
      <c r="GI60" s="29">
        <v>0</v>
      </c>
      <c r="GJ60" s="29">
        <v>0</v>
      </c>
      <c r="GK60" s="29">
        <v>0</v>
      </c>
      <c r="GL60" s="29">
        <v>0</v>
      </c>
      <c r="GM60" s="29">
        <v>0</v>
      </c>
      <c r="GN60" s="29">
        <v>0</v>
      </c>
      <c r="GO60" s="29">
        <v>0</v>
      </c>
      <c r="GP60" s="29">
        <v>0</v>
      </c>
      <c r="GQ60" s="29">
        <v>0</v>
      </c>
      <c r="GR60" s="18">
        <v>1</v>
      </c>
      <c r="GS60" s="41">
        <v>2</v>
      </c>
      <c r="GT60" s="41" t="str">
        <f t="shared" si="3"/>
        <v>PURO</v>
      </c>
      <c r="GU60" s="41">
        <v>818</v>
      </c>
      <c r="GV60" s="41">
        <v>58</v>
      </c>
      <c r="GW60" s="41">
        <v>0</v>
      </c>
      <c r="GX60" s="41">
        <v>38.159999999999997</v>
      </c>
      <c r="GY60" s="41"/>
      <c r="GZ60" s="41">
        <v>0</v>
      </c>
      <c r="HA60" s="41">
        <v>0</v>
      </c>
      <c r="HB60" s="42">
        <v>0</v>
      </c>
      <c r="HC60" s="42">
        <v>0</v>
      </c>
      <c r="HD60" s="41">
        <v>0</v>
      </c>
      <c r="HE60" s="41">
        <v>0</v>
      </c>
      <c r="HF60" s="41">
        <v>0</v>
      </c>
      <c r="HG60" s="41">
        <v>0</v>
      </c>
      <c r="HH60" s="41">
        <v>0</v>
      </c>
      <c r="HI60" s="41">
        <v>0</v>
      </c>
      <c r="HJ60" s="41">
        <v>0</v>
      </c>
      <c r="HK60" s="41">
        <v>0</v>
      </c>
      <c r="HL60" s="41">
        <v>0</v>
      </c>
      <c r="HM60" s="41">
        <v>0</v>
      </c>
      <c r="HN60" s="41">
        <v>0</v>
      </c>
      <c r="HO60" s="41">
        <v>0</v>
      </c>
      <c r="HP60" s="41">
        <v>0</v>
      </c>
      <c r="HQ60" s="41">
        <v>0</v>
      </c>
      <c r="HR60" s="41">
        <v>0</v>
      </c>
      <c r="HS60" s="24">
        <v>1</v>
      </c>
      <c r="HT60" s="41">
        <v>3</v>
      </c>
      <c r="HU60" s="41" t="str">
        <f t="shared" si="4"/>
        <v>PUDT</v>
      </c>
      <c r="HV60" s="41">
        <v>818</v>
      </c>
      <c r="HW60" s="41">
        <v>58</v>
      </c>
      <c r="HX60" s="41">
        <v>0</v>
      </c>
      <c r="HY60" s="41">
        <v>44.52</v>
      </c>
      <c r="HZ60" s="42"/>
      <c r="IA60" s="41">
        <v>0</v>
      </c>
      <c r="IB60" s="41">
        <v>0</v>
      </c>
      <c r="IC60" s="42">
        <v>0</v>
      </c>
      <c r="ID60" s="42">
        <v>0</v>
      </c>
      <c r="IE60" s="41">
        <v>0</v>
      </c>
      <c r="IF60" s="43">
        <v>0</v>
      </c>
      <c r="IG60" s="41">
        <v>0</v>
      </c>
      <c r="IH60" s="41">
        <v>0</v>
      </c>
      <c r="II60" s="41">
        <v>0</v>
      </c>
      <c r="IJ60" s="41">
        <v>0</v>
      </c>
      <c r="IK60" s="41">
        <v>0</v>
      </c>
      <c r="IL60" s="41">
        <v>0</v>
      </c>
      <c r="IM60" s="41">
        <v>0</v>
      </c>
      <c r="IN60" s="41">
        <v>0</v>
      </c>
      <c r="IO60" s="41">
        <v>0</v>
      </c>
      <c r="IP60" s="41">
        <v>0</v>
      </c>
      <c r="IQ60" s="41">
        <v>0</v>
      </c>
      <c r="IR60" s="41">
        <v>0</v>
      </c>
      <c r="IS60" s="41">
        <v>0</v>
      </c>
      <c r="IT60" s="17">
        <v>1</v>
      </c>
      <c r="IU60" s="41">
        <v>4</v>
      </c>
      <c r="IV60" s="41" t="str">
        <f t="shared" si="5"/>
        <v>PUDS</v>
      </c>
      <c r="IW60" s="41">
        <v>818</v>
      </c>
      <c r="IX60" s="41">
        <v>58</v>
      </c>
      <c r="IY60" s="41">
        <v>0</v>
      </c>
      <c r="IZ60" s="41">
        <v>16.96</v>
      </c>
      <c r="JA60" s="42"/>
      <c r="JB60" s="41">
        <v>0</v>
      </c>
      <c r="JC60" s="41">
        <v>0</v>
      </c>
      <c r="JD60" s="42">
        <v>0</v>
      </c>
      <c r="JE60" s="42">
        <v>0</v>
      </c>
      <c r="JF60" s="41">
        <v>0</v>
      </c>
      <c r="JG60" s="41">
        <v>0</v>
      </c>
      <c r="JH60" s="41">
        <v>0</v>
      </c>
      <c r="JI60" s="41">
        <v>0</v>
      </c>
      <c r="JJ60" s="41">
        <v>0</v>
      </c>
      <c r="JK60" s="41">
        <v>0</v>
      </c>
      <c r="JL60" s="41">
        <v>0</v>
      </c>
      <c r="JM60" s="41">
        <v>0</v>
      </c>
      <c r="JN60" s="41">
        <v>0</v>
      </c>
      <c r="JO60" s="41">
        <v>0</v>
      </c>
      <c r="JP60" s="41">
        <v>0</v>
      </c>
      <c r="JQ60" s="41">
        <v>0</v>
      </c>
      <c r="JR60" s="41">
        <v>0</v>
      </c>
      <c r="JS60" s="41">
        <v>0</v>
      </c>
      <c r="JT60" s="41">
        <v>0</v>
      </c>
      <c r="JU60"/>
    </row>
    <row r="61" spans="1:281" ht="15.75">
      <c r="A61" s="25">
        <v>55</v>
      </c>
      <c r="B61" s="25">
        <v>20190301</v>
      </c>
      <c r="C61" s="25"/>
      <c r="D61" s="25" t="s">
        <v>132</v>
      </c>
      <c r="E61" s="25" t="s">
        <v>132</v>
      </c>
      <c r="F61" s="25" t="s">
        <v>133</v>
      </c>
      <c r="G61" s="25"/>
      <c r="H61" s="25">
        <v>100000055</v>
      </c>
      <c r="I61" s="25" t="s">
        <v>134</v>
      </c>
      <c r="J61" s="25" t="s">
        <v>135</v>
      </c>
      <c r="K61" s="25" t="s">
        <v>132</v>
      </c>
      <c r="L61" s="25">
        <v>4</v>
      </c>
      <c r="M61" s="25">
        <v>1</v>
      </c>
      <c r="N61" s="25">
        <v>1</v>
      </c>
      <c r="O61" s="45" t="s">
        <v>148</v>
      </c>
      <c r="P61" s="25">
        <v>100</v>
      </c>
      <c r="Q61" s="25">
        <v>20180301</v>
      </c>
      <c r="R61" s="25">
        <v>20180301</v>
      </c>
      <c r="S61" s="25" t="s">
        <v>137</v>
      </c>
      <c r="T61" s="25" t="s">
        <v>143</v>
      </c>
      <c r="U61" s="25">
        <v>20190301</v>
      </c>
      <c r="V61" s="25">
        <v>6</v>
      </c>
      <c r="W61" s="25">
        <v>6</v>
      </c>
      <c r="X61" s="25" t="s">
        <v>139</v>
      </c>
      <c r="Y61" s="25">
        <v>0</v>
      </c>
      <c r="Z61" s="25" t="s">
        <v>140</v>
      </c>
      <c r="AA61" s="25">
        <v>818</v>
      </c>
      <c r="AB61" s="41">
        <v>0</v>
      </c>
      <c r="AC61" s="41">
        <v>12</v>
      </c>
      <c r="AD61" s="41">
        <v>20180201</v>
      </c>
      <c r="AE61" s="41">
        <v>0</v>
      </c>
      <c r="AF61" s="26">
        <v>40000</v>
      </c>
      <c r="AG61" s="41">
        <v>142</v>
      </c>
      <c r="AH61" s="26">
        <v>30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>
        <v>0</v>
      </c>
      <c r="AR61" s="26">
        <v>0</v>
      </c>
      <c r="AS61" s="26">
        <v>0</v>
      </c>
      <c r="AT61" s="26">
        <v>0</v>
      </c>
      <c r="AU61" s="26">
        <v>0</v>
      </c>
      <c r="AV61" s="26">
        <v>0</v>
      </c>
      <c r="AW61" s="26">
        <v>0</v>
      </c>
      <c r="AX61" s="26">
        <v>0</v>
      </c>
      <c r="AY61" s="46">
        <v>1</v>
      </c>
      <c r="AZ61" s="25">
        <v>2</v>
      </c>
      <c r="BA61" s="41" t="s">
        <v>203</v>
      </c>
      <c r="BB61" s="41">
        <v>100</v>
      </c>
      <c r="BC61" s="41">
        <v>20180301</v>
      </c>
      <c r="BD61" s="41">
        <v>20180301</v>
      </c>
      <c r="BE61" s="41" t="s">
        <v>198</v>
      </c>
      <c r="BF61" s="41" t="s">
        <v>149</v>
      </c>
      <c r="BG61" s="41">
        <v>20180301</v>
      </c>
      <c r="BH61" s="41">
        <v>0</v>
      </c>
      <c r="BI61" s="41">
        <v>0</v>
      </c>
      <c r="BJ61" s="41"/>
      <c r="BK61" s="41">
        <v>0</v>
      </c>
      <c r="BL61" s="41" t="s">
        <v>140</v>
      </c>
      <c r="BM61" s="41">
        <v>818</v>
      </c>
      <c r="BN61" s="41">
        <v>0</v>
      </c>
      <c r="BO61" s="41">
        <v>12</v>
      </c>
      <c r="BP61" s="41">
        <v>20180201</v>
      </c>
      <c r="BQ61" s="41">
        <v>0</v>
      </c>
      <c r="BR61" s="41">
        <v>0</v>
      </c>
      <c r="BS61" s="41">
        <v>34</v>
      </c>
      <c r="BT61" s="25">
        <v>30</v>
      </c>
      <c r="BU61" s="25">
        <v>0</v>
      </c>
      <c r="BV61" s="25">
        <v>0</v>
      </c>
      <c r="BW61" s="25">
        <v>0</v>
      </c>
      <c r="BX61" s="25">
        <v>0</v>
      </c>
      <c r="BY61" s="25">
        <v>0</v>
      </c>
      <c r="BZ61" s="25">
        <v>0</v>
      </c>
      <c r="CA61" s="25">
        <v>0</v>
      </c>
      <c r="CB61" s="25">
        <v>0</v>
      </c>
      <c r="CC61" s="25">
        <v>0</v>
      </c>
      <c r="CD61" s="25">
        <v>0</v>
      </c>
      <c r="CE61" s="25">
        <v>0</v>
      </c>
      <c r="CF61" s="25">
        <v>0</v>
      </c>
      <c r="CG61" s="25">
        <v>0</v>
      </c>
      <c r="CH61" s="25">
        <v>0</v>
      </c>
      <c r="CI61" s="25">
        <v>0</v>
      </c>
      <c r="CJ61" s="25">
        <v>0</v>
      </c>
      <c r="CK61" s="22">
        <v>1</v>
      </c>
      <c r="CL61" s="25">
        <v>3</v>
      </c>
      <c r="CM61" s="41" t="s">
        <v>150</v>
      </c>
      <c r="CN61" s="41">
        <v>100</v>
      </c>
      <c r="CO61" s="41">
        <v>20180301</v>
      </c>
      <c r="CP61" s="41">
        <v>20180301</v>
      </c>
      <c r="CQ61" s="41" t="s">
        <v>198</v>
      </c>
      <c r="CR61" s="41" t="s">
        <v>200</v>
      </c>
      <c r="CS61" s="41">
        <v>20180301</v>
      </c>
      <c r="CT61" s="41">
        <v>0</v>
      </c>
      <c r="CU61" s="41">
        <v>0</v>
      </c>
      <c r="CV61" s="41"/>
      <c r="CW61" s="41">
        <v>0</v>
      </c>
      <c r="CX61" s="41" t="s">
        <v>140</v>
      </c>
      <c r="CY61" s="41">
        <v>818</v>
      </c>
      <c r="CZ61" s="41">
        <v>0</v>
      </c>
      <c r="DA61" s="41">
        <v>12</v>
      </c>
      <c r="DB61" s="41">
        <v>20180201</v>
      </c>
      <c r="DC61" s="41">
        <v>0</v>
      </c>
      <c r="DD61" s="41">
        <v>0</v>
      </c>
      <c r="DE61" s="41">
        <v>39</v>
      </c>
      <c r="DF61" s="25">
        <v>30</v>
      </c>
      <c r="DG61" s="25">
        <v>0</v>
      </c>
      <c r="DH61" s="25">
        <v>0</v>
      </c>
      <c r="DI61" s="25">
        <v>0</v>
      </c>
      <c r="DJ61" s="25">
        <v>0</v>
      </c>
      <c r="DK61" s="25">
        <v>0</v>
      </c>
      <c r="DL61" s="25">
        <v>0</v>
      </c>
      <c r="DM61" s="25">
        <v>0</v>
      </c>
      <c r="DN61" s="25">
        <v>0</v>
      </c>
      <c r="DO61" s="25">
        <v>0</v>
      </c>
      <c r="DP61" s="25">
        <v>0</v>
      </c>
      <c r="DQ61" s="25">
        <v>0</v>
      </c>
      <c r="DR61" s="25">
        <v>0</v>
      </c>
      <c r="DS61" s="25">
        <v>0</v>
      </c>
      <c r="DT61" s="25">
        <v>0</v>
      </c>
      <c r="DU61" s="25">
        <v>0</v>
      </c>
      <c r="DV61" s="25">
        <v>0</v>
      </c>
      <c r="DW61" s="23">
        <v>1</v>
      </c>
      <c r="DX61" s="25">
        <v>4</v>
      </c>
      <c r="DY61" s="41" t="s">
        <v>151</v>
      </c>
      <c r="DZ61" s="41">
        <v>100</v>
      </c>
      <c r="EA61" s="41">
        <v>20180301</v>
      </c>
      <c r="EB61" s="41">
        <v>20180301</v>
      </c>
      <c r="EC61" s="41" t="s">
        <v>198</v>
      </c>
      <c r="ED61" s="41" t="s">
        <v>201</v>
      </c>
      <c r="EE61" s="41">
        <v>20180301</v>
      </c>
      <c r="EF61" s="41">
        <v>0</v>
      </c>
      <c r="EG61" s="41">
        <v>0</v>
      </c>
      <c r="EH61" s="41"/>
      <c r="EI61" s="41">
        <v>0</v>
      </c>
      <c r="EJ61" s="41" t="s">
        <v>140</v>
      </c>
      <c r="EK61" s="41">
        <v>818</v>
      </c>
      <c r="EL61" s="41">
        <v>0</v>
      </c>
      <c r="EM61" s="41">
        <v>12</v>
      </c>
      <c r="EN61" s="41">
        <v>20180201</v>
      </c>
      <c r="EO61" s="41">
        <v>0</v>
      </c>
      <c r="EP61" s="41">
        <v>0</v>
      </c>
      <c r="EQ61" s="41">
        <v>15</v>
      </c>
      <c r="ER61" s="25">
        <v>30</v>
      </c>
      <c r="ES61" s="25">
        <v>0</v>
      </c>
      <c r="ET61" s="25">
        <v>0</v>
      </c>
      <c r="EU61" s="25">
        <v>0</v>
      </c>
      <c r="EV61" s="25">
        <v>0</v>
      </c>
      <c r="EW61" s="25">
        <v>0</v>
      </c>
      <c r="EX61" s="25">
        <v>0</v>
      </c>
      <c r="EY61" s="25">
        <v>0</v>
      </c>
      <c r="EZ61" s="25">
        <v>0</v>
      </c>
      <c r="FA61" s="25">
        <v>0</v>
      </c>
      <c r="FB61" s="25">
        <v>0</v>
      </c>
      <c r="FC61" s="25">
        <v>0</v>
      </c>
      <c r="FD61" s="25">
        <v>0</v>
      </c>
      <c r="FE61" s="25">
        <v>0</v>
      </c>
      <c r="FF61" s="25">
        <v>0</v>
      </c>
      <c r="FG61" s="25">
        <v>0</v>
      </c>
      <c r="FH61" s="25">
        <v>0</v>
      </c>
      <c r="FI61" s="25">
        <v>1</v>
      </c>
      <c r="FJ61" s="25">
        <v>1</v>
      </c>
      <c r="FK61" s="25">
        <v>1</v>
      </c>
      <c r="FL61" s="25">
        <v>30</v>
      </c>
      <c r="FM61" s="25" t="s">
        <v>137</v>
      </c>
      <c r="FN61" s="25">
        <v>19890101</v>
      </c>
      <c r="FP61" s="28">
        <v>4</v>
      </c>
      <c r="FQ61" s="47">
        <v>1</v>
      </c>
      <c r="FR61" s="41">
        <v>1</v>
      </c>
      <c r="FS61" s="41" t="str">
        <f t="shared" si="0"/>
        <v>MFEF</v>
      </c>
      <c r="FT61" s="41">
        <f t="shared" si="1"/>
        <v>818</v>
      </c>
      <c r="FU61" s="41">
        <f t="shared" si="2"/>
        <v>30</v>
      </c>
      <c r="FV61" s="41">
        <v>42400</v>
      </c>
      <c r="FW61" s="41">
        <v>150.52000000000001</v>
      </c>
      <c r="FX61" s="41"/>
      <c r="FY61" s="29">
        <v>0</v>
      </c>
      <c r="FZ61" s="29">
        <v>0</v>
      </c>
      <c r="GA61" s="30">
        <v>0</v>
      </c>
      <c r="GB61" s="30">
        <v>0</v>
      </c>
      <c r="GC61" s="29">
        <v>0</v>
      </c>
      <c r="GD61" s="41">
        <v>0</v>
      </c>
      <c r="GE61" s="29">
        <v>0</v>
      </c>
      <c r="GF61" s="29">
        <v>0</v>
      </c>
      <c r="GG61" s="29">
        <v>0</v>
      </c>
      <c r="GH61" s="29">
        <v>0</v>
      </c>
      <c r="GI61" s="29">
        <v>0</v>
      </c>
      <c r="GJ61" s="29">
        <v>0</v>
      </c>
      <c r="GK61" s="29">
        <v>0</v>
      </c>
      <c r="GL61" s="29">
        <v>0</v>
      </c>
      <c r="GM61" s="29">
        <v>0</v>
      </c>
      <c r="GN61" s="29">
        <v>0</v>
      </c>
      <c r="GO61" s="29">
        <v>0</v>
      </c>
      <c r="GP61" s="29">
        <v>0</v>
      </c>
      <c r="GQ61" s="29">
        <v>0</v>
      </c>
      <c r="GR61" s="18">
        <v>1</v>
      </c>
      <c r="GS61" s="41">
        <v>2</v>
      </c>
      <c r="GT61" s="41" t="str">
        <f t="shared" si="3"/>
        <v>PURO</v>
      </c>
      <c r="GU61" s="41">
        <v>818</v>
      </c>
      <c r="GV61" s="41">
        <v>57</v>
      </c>
      <c r="GW61" s="41">
        <v>0</v>
      </c>
      <c r="GX61" s="41">
        <v>36.04</v>
      </c>
      <c r="GY61" s="41"/>
      <c r="GZ61" s="41">
        <v>0</v>
      </c>
      <c r="HA61" s="41">
        <v>0</v>
      </c>
      <c r="HB61" s="42">
        <v>0</v>
      </c>
      <c r="HC61" s="42">
        <v>0</v>
      </c>
      <c r="HD61" s="41">
        <v>0</v>
      </c>
      <c r="HE61" s="41">
        <v>0</v>
      </c>
      <c r="HF61" s="41">
        <v>0</v>
      </c>
      <c r="HG61" s="41">
        <v>0</v>
      </c>
      <c r="HH61" s="41">
        <v>0</v>
      </c>
      <c r="HI61" s="41">
        <v>0</v>
      </c>
      <c r="HJ61" s="41">
        <v>0</v>
      </c>
      <c r="HK61" s="41">
        <v>0</v>
      </c>
      <c r="HL61" s="41">
        <v>0</v>
      </c>
      <c r="HM61" s="41">
        <v>0</v>
      </c>
      <c r="HN61" s="41">
        <v>0</v>
      </c>
      <c r="HO61" s="41">
        <v>0</v>
      </c>
      <c r="HP61" s="41">
        <v>0</v>
      </c>
      <c r="HQ61" s="41">
        <v>0</v>
      </c>
      <c r="HR61" s="41">
        <v>0</v>
      </c>
      <c r="HS61" s="24">
        <v>1</v>
      </c>
      <c r="HT61" s="41">
        <v>3</v>
      </c>
      <c r="HU61" s="41" t="str">
        <f t="shared" si="4"/>
        <v>PUDT</v>
      </c>
      <c r="HV61" s="41">
        <v>818</v>
      </c>
      <c r="HW61" s="41">
        <v>57</v>
      </c>
      <c r="HX61" s="41">
        <v>0</v>
      </c>
      <c r="HY61" s="41">
        <v>41.34</v>
      </c>
      <c r="HZ61" s="42"/>
      <c r="IA61" s="41">
        <v>0</v>
      </c>
      <c r="IB61" s="41">
        <v>0</v>
      </c>
      <c r="IC61" s="42">
        <v>0</v>
      </c>
      <c r="ID61" s="42">
        <v>0</v>
      </c>
      <c r="IE61" s="41">
        <v>0</v>
      </c>
      <c r="IF61" s="43">
        <v>0</v>
      </c>
      <c r="IG61" s="41">
        <v>0</v>
      </c>
      <c r="IH61" s="41">
        <v>0</v>
      </c>
      <c r="II61" s="41">
        <v>0</v>
      </c>
      <c r="IJ61" s="41">
        <v>0</v>
      </c>
      <c r="IK61" s="41">
        <v>0</v>
      </c>
      <c r="IL61" s="41">
        <v>0</v>
      </c>
      <c r="IM61" s="41">
        <v>0</v>
      </c>
      <c r="IN61" s="41">
        <v>0</v>
      </c>
      <c r="IO61" s="41">
        <v>0</v>
      </c>
      <c r="IP61" s="41">
        <v>0</v>
      </c>
      <c r="IQ61" s="41">
        <v>0</v>
      </c>
      <c r="IR61" s="41">
        <v>0</v>
      </c>
      <c r="IS61" s="41">
        <v>0</v>
      </c>
      <c r="IT61" s="17">
        <v>1</v>
      </c>
      <c r="IU61" s="41">
        <v>4</v>
      </c>
      <c r="IV61" s="41" t="str">
        <f t="shared" si="5"/>
        <v>PUDS</v>
      </c>
      <c r="IW61" s="41">
        <v>818</v>
      </c>
      <c r="IX61" s="41">
        <v>57</v>
      </c>
      <c r="IY61" s="41">
        <v>0</v>
      </c>
      <c r="IZ61" s="41">
        <v>15.9</v>
      </c>
      <c r="JA61" s="42"/>
      <c r="JB61" s="41">
        <v>0</v>
      </c>
      <c r="JC61" s="41">
        <v>0</v>
      </c>
      <c r="JD61" s="42">
        <v>0</v>
      </c>
      <c r="JE61" s="42">
        <v>0</v>
      </c>
      <c r="JF61" s="41">
        <v>0</v>
      </c>
      <c r="JG61" s="41">
        <v>0</v>
      </c>
      <c r="JH61" s="41">
        <v>0</v>
      </c>
      <c r="JI61" s="41">
        <v>0</v>
      </c>
      <c r="JJ61" s="41">
        <v>0</v>
      </c>
      <c r="JK61" s="41">
        <v>0</v>
      </c>
      <c r="JL61" s="41">
        <v>0</v>
      </c>
      <c r="JM61" s="41">
        <v>0</v>
      </c>
      <c r="JN61" s="41">
        <v>0</v>
      </c>
      <c r="JO61" s="41">
        <v>0</v>
      </c>
      <c r="JP61" s="41">
        <v>0</v>
      </c>
      <c r="JQ61" s="41">
        <v>0</v>
      </c>
      <c r="JR61" s="41">
        <v>0</v>
      </c>
      <c r="JS61" s="41">
        <v>0</v>
      </c>
      <c r="JT61" s="41">
        <v>0</v>
      </c>
      <c r="JU61"/>
    </row>
    <row r="62" spans="1:281" ht="15.75">
      <c r="A62" s="25">
        <v>56</v>
      </c>
      <c r="B62" s="25">
        <v>20190301</v>
      </c>
      <c r="C62" s="25"/>
      <c r="D62" s="25" t="s">
        <v>132</v>
      </c>
      <c r="E62" s="25" t="s">
        <v>132</v>
      </c>
      <c r="F62" s="25" t="s">
        <v>133</v>
      </c>
      <c r="G62" s="25"/>
      <c r="H62" s="25">
        <v>100000056</v>
      </c>
      <c r="I62" s="25" t="s">
        <v>134</v>
      </c>
      <c r="J62" s="25" t="s">
        <v>135</v>
      </c>
      <c r="K62" s="25" t="s">
        <v>132</v>
      </c>
      <c r="L62" s="25">
        <v>4</v>
      </c>
      <c r="M62" s="25">
        <v>1</v>
      </c>
      <c r="N62" s="25">
        <v>1</v>
      </c>
      <c r="O62" s="45" t="s">
        <v>148</v>
      </c>
      <c r="P62" s="25">
        <v>100</v>
      </c>
      <c r="Q62" s="25">
        <v>20180301</v>
      </c>
      <c r="R62" s="25">
        <v>20180301</v>
      </c>
      <c r="S62" s="25" t="s">
        <v>137</v>
      </c>
      <c r="T62" s="25" t="s">
        <v>145</v>
      </c>
      <c r="U62" s="25">
        <v>20190301</v>
      </c>
      <c r="V62" s="25">
        <v>6</v>
      </c>
      <c r="W62" s="25">
        <v>6</v>
      </c>
      <c r="X62" s="25" t="s">
        <v>139</v>
      </c>
      <c r="Y62" s="25">
        <v>0</v>
      </c>
      <c r="Z62" s="25" t="s">
        <v>140</v>
      </c>
      <c r="AA62" s="25">
        <v>818</v>
      </c>
      <c r="AB62" s="41">
        <v>0</v>
      </c>
      <c r="AC62" s="41">
        <v>12</v>
      </c>
      <c r="AD62" s="41">
        <v>20180201</v>
      </c>
      <c r="AE62" s="41">
        <v>0</v>
      </c>
      <c r="AF62" s="26">
        <v>35000</v>
      </c>
      <c r="AG62" s="41">
        <v>130</v>
      </c>
      <c r="AH62" s="26">
        <v>29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0</v>
      </c>
      <c r="AX62" s="26">
        <v>0</v>
      </c>
      <c r="AY62" s="46">
        <v>1</v>
      </c>
      <c r="AZ62" s="25">
        <v>2</v>
      </c>
      <c r="BA62" s="41" t="s">
        <v>203</v>
      </c>
      <c r="BB62" s="41">
        <v>100</v>
      </c>
      <c r="BC62" s="41">
        <v>20180301</v>
      </c>
      <c r="BD62" s="41">
        <v>20180301</v>
      </c>
      <c r="BE62" s="41" t="s">
        <v>198</v>
      </c>
      <c r="BF62" s="41" t="s">
        <v>149</v>
      </c>
      <c r="BG62" s="41">
        <v>20180301</v>
      </c>
      <c r="BH62" s="41">
        <v>0</v>
      </c>
      <c r="BI62" s="41">
        <v>0</v>
      </c>
      <c r="BJ62" s="41"/>
      <c r="BK62" s="41">
        <v>0</v>
      </c>
      <c r="BL62" s="41" t="s">
        <v>140</v>
      </c>
      <c r="BM62" s="41">
        <v>818</v>
      </c>
      <c r="BN62" s="41">
        <v>0</v>
      </c>
      <c r="BO62" s="41">
        <v>12</v>
      </c>
      <c r="BP62" s="41">
        <v>20180201</v>
      </c>
      <c r="BQ62" s="41">
        <v>0</v>
      </c>
      <c r="BR62" s="41">
        <v>0</v>
      </c>
      <c r="BS62" s="41">
        <v>32</v>
      </c>
      <c r="BT62" s="25">
        <v>29</v>
      </c>
      <c r="BU62" s="25">
        <v>0</v>
      </c>
      <c r="BV62" s="25">
        <v>0</v>
      </c>
      <c r="BW62" s="25">
        <v>0</v>
      </c>
      <c r="BX62" s="25">
        <v>0</v>
      </c>
      <c r="BY62" s="25">
        <v>0</v>
      </c>
      <c r="BZ62" s="25">
        <v>0</v>
      </c>
      <c r="CA62" s="25">
        <v>0</v>
      </c>
      <c r="CB62" s="25">
        <v>0</v>
      </c>
      <c r="CC62" s="25">
        <v>0</v>
      </c>
      <c r="CD62" s="25">
        <v>0</v>
      </c>
      <c r="CE62" s="25">
        <v>0</v>
      </c>
      <c r="CF62" s="25">
        <v>0</v>
      </c>
      <c r="CG62" s="25">
        <v>0</v>
      </c>
      <c r="CH62" s="25">
        <v>0</v>
      </c>
      <c r="CI62" s="25">
        <v>0</v>
      </c>
      <c r="CJ62" s="25">
        <v>0</v>
      </c>
      <c r="CK62" s="22">
        <v>1</v>
      </c>
      <c r="CL62" s="25">
        <v>3</v>
      </c>
      <c r="CM62" s="41" t="s">
        <v>150</v>
      </c>
      <c r="CN62" s="41">
        <v>100</v>
      </c>
      <c r="CO62" s="41">
        <v>20180301</v>
      </c>
      <c r="CP62" s="41">
        <v>20180301</v>
      </c>
      <c r="CQ62" s="41" t="s">
        <v>198</v>
      </c>
      <c r="CR62" s="41" t="s">
        <v>200</v>
      </c>
      <c r="CS62" s="41">
        <v>20180301</v>
      </c>
      <c r="CT62" s="41">
        <v>0</v>
      </c>
      <c r="CU62" s="41">
        <v>0</v>
      </c>
      <c r="CV62" s="41"/>
      <c r="CW62" s="41">
        <v>0</v>
      </c>
      <c r="CX62" s="41" t="s">
        <v>140</v>
      </c>
      <c r="CY62" s="41">
        <v>818</v>
      </c>
      <c r="CZ62" s="41">
        <v>0</v>
      </c>
      <c r="DA62" s="41">
        <v>12</v>
      </c>
      <c r="DB62" s="41">
        <v>20180201</v>
      </c>
      <c r="DC62" s="41">
        <v>0</v>
      </c>
      <c r="DD62" s="41">
        <v>0</v>
      </c>
      <c r="DE62" s="41">
        <v>36</v>
      </c>
      <c r="DF62" s="25">
        <v>29</v>
      </c>
      <c r="DG62" s="25">
        <v>0</v>
      </c>
      <c r="DH62" s="25">
        <v>0</v>
      </c>
      <c r="DI62" s="25">
        <v>0</v>
      </c>
      <c r="DJ62" s="25">
        <v>0</v>
      </c>
      <c r="DK62" s="25">
        <v>0</v>
      </c>
      <c r="DL62" s="25">
        <v>0</v>
      </c>
      <c r="DM62" s="25">
        <v>0</v>
      </c>
      <c r="DN62" s="25">
        <v>0</v>
      </c>
      <c r="DO62" s="25">
        <v>0</v>
      </c>
      <c r="DP62" s="25">
        <v>0</v>
      </c>
      <c r="DQ62" s="25">
        <v>0</v>
      </c>
      <c r="DR62" s="25">
        <v>0</v>
      </c>
      <c r="DS62" s="25">
        <v>0</v>
      </c>
      <c r="DT62" s="25">
        <v>0</v>
      </c>
      <c r="DU62" s="25">
        <v>0</v>
      </c>
      <c r="DV62" s="25">
        <v>0</v>
      </c>
      <c r="DW62" s="23">
        <v>1</v>
      </c>
      <c r="DX62" s="25">
        <v>4</v>
      </c>
      <c r="DY62" s="41" t="s">
        <v>151</v>
      </c>
      <c r="DZ62" s="41">
        <v>100</v>
      </c>
      <c r="EA62" s="41">
        <v>20180301</v>
      </c>
      <c r="EB62" s="41">
        <v>20180301</v>
      </c>
      <c r="EC62" s="41" t="s">
        <v>198</v>
      </c>
      <c r="ED62" s="41" t="s">
        <v>201</v>
      </c>
      <c r="EE62" s="41">
        <v>20180301</v>
      </c>
      <c r="EF62" s="41">
        <v>0</v>
      </c>
      <c r="EG62" s="41">
        <v>0</v>
      </c>
      <c r="EH62" s="41"/>
      <c r="EI62" s="41">
        <v>0</v>
      </c>
      <c r="EJ62" s="41" t="s">
        <v>140</v>
      </c>
      <c r="EK62" s="41">
        <v>818</v>
      </c>
      <c r="EL62" s="41">
        <v>0</v>
      </c>
      <c r="EM62" s="41">
        <v>12</v>
      </c>
      <c r="EN62" s="41">
        <v>20180201</v>
      </c>
      <c r="EO62" s="41">
        <v>0</v>
      </c>
      <c r="EP62" s="41">
        <v>0</v>
      </c>
      <c r="EQ62" s="41">
        <v>14</v>
      </c>
      <c r="ER62" s="25">
        <v>29</v>
      </c>
      <c r="ES62" s="25">
        <v>0</v>
      </c>
      <c r="ET62" s="25">
        <v>0</v>
      </c>
      <c r="EU62" s="25">
        <v>0</v>
      </c>
      <c r="EV62" s="25">
        <v>0</v>
      </c>
      <c r="EW62" s="25">
        <v>0</v>
      </c>
      <c r="EX62" s="25">
        <v>0</v>
      </c>
      <c r="EY62" s="25">
        <v>0</v>
      </c>
      <c r="EZ62" s="25">
        <v>0</v>
      </c>
      <c r="FA62" s="25">
        <v>0</v>
      </c>
      <c r="FB62" s="25">
        <v>0</v>
      </c>
      <c r="FC62" s="25">
        <v>0</v>
      </c>
      <c r="FD62" s="25">
        <v>0</v>
      </c>
      <c r="FE62" s="25">
        <v>0</v>
      </c>
      <c r="FF62" s="25">
        <v>0</v>
      </c>
      <c r="FG62" s="25">
        <v>0</v>
      </c>
      <c r="FH62" s="25">
        <v>0</v>
      </c>
      <c r="FI62" s="25">
        <v>1</v>
      </c>
      <c r="FJ62" s="25">
        <v>1</v>
      </c>
      <c r="FK62" s="25">
        <v>1</v>
      </c>
      <c r="FL62" s="25">
        <v>29</v>
      </c>
      <c r="FM62" s="25" t="s">
        <v>137</v>
      </c>
      <c r="FN62" s="25">
        <v>19900101</v>
      </c>
      <c r="FP62" s="28">
        <v>4</v>
      </c>
      <c r="FQ62" s="47">
        <v>1</v>
      </c>
      <c r="FR62" s="41">
        <v>1</v>
      </c>
      <c r="FS62" s="41" t="str">
        <f t="shared" si="0"/>
        <v>MFEF</v>
      </c>
      <c r="FT62" s="41">
        <f t="shared" si="1"/>
        <v>818</v>
      </c>
      <c r="FU62" s="41">
        <f t="shared" si="2"/>
        <v>29</v>
      </c>
      <c r="FV62" s="41">
        <v>37100</v>
      </c>
      <c r="FW62" s="41">
        <v>137.80000000000001</v>
      </c>
      <c r="FX62" s="41"/>
      <c r="FY62" s="29">
        <v>0</v>
      </c>
      <c r="FZ62" s="29">
        <v>0</v>
      </c>
      <c r="GA62" s="30">
        <v>0</v>
      </c>
      <c r="GB62" s="30">
        <v>0</v>
      </c>
      <c r="GC62" s="29">
        <v>0</v>
      </c>
      <c r="GD62" s="41">
        <v>0</v>
      </c>
      <c r="GE62" s="29">
        <v>0</v>
      </c>
      <c r="GF62" s="29">
        <v>0</v>
      </c>
      <c r="GG62" s="29">
        <v>0</v>
      </c>
      <c r="GH62" s="29">
        <v>0</v>
      </c>
      <c r="GI62" s="29">
        <v>0</v>
      </c>
      <c r="GJ62" s="29">
        <v>0</v>
      </c>
      <c r="GK62" s="29">
        <v>0</v>
      </c>
      <c r="GL62" s="29">
        <v>0</v>
      </c>
      <c r="GM62" s="29">
        <v>0</v>
      </c>
      <c r="GN62" s="29">
        <v>0</v>
      </c>
      <c r="GO62" s="29">
        <v>0</v>
      </c>
      <c r="GP62" s="29">
        <v>0</v>
      </c>
      <c r="GQ62" s="29">
        <v>0</v>
      </c>
      <c r="GR62" s="18">
        <v>1</v>
      </c>
      <c r="GS62" s="41">
        <v>2</v>
      </c>
      <c r="GT62" s="41" t="str">
        <f t="shared" si="3"/>
        <v>PURO</v>
      </c>
      <c r="GU62" s="41">
        <v>818</v>
      </c>
      <c r="GV62" s="41">
        <v>60</v>
      </c>
      <c r="GW62" s="41">
        <v>0</v>
      </c>
      <c r="GX62" s="41">
        <v>33.92</v>
      </c>
      <c r="GY62" s="41"/>
      <c r="GZ62" s="41">
        <v>0</v>
      </c>
      <c r="HA62" s="41">
        <v>0</v>
      </c>
      <c r="HB62" s="42">
        <v>0</v>
      </c>
      <c r="HC62" s="42">
        <v>0</v>
      </c>
      <c r="HD62" s="41">
        <v>0</v>
      </c>
      <c r="HE62" s="41">
        <v>0</v>
      </c>
      <c r="HF62" s="41">
        <v>0</v>
      </c>
      <c r="HG62" s="41">
        <v>0</v>
      </c>
      <c r="HH62" s="41">
        <v>0</v>
      </c>
      <c r="HI62" s="41">
        <v>0</v>
      </c>
      <c r="HJ62" s="41">
        <v>0</v>
      </c>
      <c r="HK62" s="41">
        <v>0</v>
      </c>
      <c r="HL62" s="41">
        <v>0</v>
      </c>
      <c r="HM62" s="41">
        <v>0</v>
      </c>
      <c r="HN62" s="41">
        <v>0</v>
      </c>
      <c r="HO62" s="41">
        <v>0</v>
      </c>
      <c r="HP62" s="41">
        <v>0</v>
      </c>
      <c r="HQ62" s="41">
        <v>0</v>
      </c>
      <c r="HR62" s="41">
        <v>0</v>
      </c>
      <c r="HS62" s="24">
        <v>1</v>
      </c>
      <c r="HT62" s="41">
        <v>3</v>
      </c>
      <c r="HU62" s="41" t="str">
        <f t="shared" si="4"/>
        <v>PUDT</v>
      </c>
      <c r="HV62" s="41">
        <v>818</v>
      </c>
      <c r="HW62" s="41">
        <v>60</v>
      </c>
      <c r="HX62" s="41">
        <v>0</v>
      </c>
      <c r="HY62" s="41">
        <v>38.159999999999997</v>
      </c>
      <c r="HZ62" s="42"/>
      <c r="IA62" s="41">
        <v>0</v>
      </c>
      <c r="IB62" s="41">
        <v>0</v>
      </c>
      <c r="IC62" s="42">
        <v>0</v>
      </c>
      <c r="ID62" s="42">
        <v>0</v>
      </c>
      <c r="IE62" s="41">
        <v>0</v>
      </c>
      <c r="IF62" s="43">
        <v>0</v>
      </c>
      <c r="IG62" s="41">
        <v>0</v>
      </c>
      <c r="IH62" s="41">
        <v>0</v>
      </c>
      <c r="II62" s="41">
        <v>0</v>
      </c>
      <c r="IJ62" s="41">
        <v>0</v>
      </c>
      <c r="IK62" s="41">
        <v>0</v>
      </c>
      <c r="IL62" s="41">
        <v>0</v>
      </c>
      <c r="IM62" s="41">
        <v>0</v>
      </c>
      <c r="IN62" s="41">
        <v>0</v>
      </c>
      <c r="IO62" s="41">
        <v>0</v>
      </c>
      <c r="IP62" s="41">
        <v>0</v>
      </c>
      <c r="IQ62" s="41">
        <v>0</v>
      </c>
      <c r="IR62" s="41">
        <v>0</v>
      </c>
      <c r="IS62" s="41">
        <v>0</v>
      </c>
      <c r="IT62" s="17">
        <v>1</v>
      </c>
      <c r="IU62" s="41">
        <v>4</v>
      </c>
      <c r="IV62" s="41" t="str">
        <f t="shared" si="5"/>
        <v>PUDS</v>
      </c>
      <c r="IW62" s="41">
        <v>818</v>
      </c>
      <c r="IX62" s="41">
        <v>60</v>
      </c>
      <c r="IY62" s="41">
        <v>0</v>
      </c>
      <c r="IZ62" s="41">
        <v>14.84</v>
      </c>
      <c r="JA62" s="42"/>
      <c r="JB62" s="41">
        <v>0</v>
      </c>
      <c r="JC62" s="41">
        <v>0</v>
      </c>
      <c r="JD62" s="42">
        <v>0</v>
      </c>
      <c r="JE62" s="42">
        <v>0</v>
      </c>
      <c r="JF62" s="41">
        <v>0</v>
      </c>
      <c r="JG62" s="41">
        <v>0</v>
      </c>
      <c r="JH62" s="41">
        <v>0</v>
      </c>
      <c r="JI62" s="41">
        <v>0</v>
      </c>
      <c r="JJ62" s="41">
        <v>0</v>
      </c>
      <c r="JK62" s="41">
        <v>0</v>
      </c>
      <c r="JL62" s="41">
        <v>0</v>
      </c>
      <c r="JM62" s="41">
        <v>0</v>
      </c>
      <c r="JN62" s="41">
        <v>0</v>
      </c>
      <c r="JO62" s="41">
        <v>0</v>
      </c>
      <c r="JP62" s="41">
        <v>0</v>
      </c>
      <c r="JQ62" s="41">
        <v>0</v>
      </c>
      <c r="JR62" s="41">
        <v>0</v>
      </c>
      <c r="JS62" s="41">
        <v>0</v>
      </c>
      <c r="JT62" s="41">
        <v>0</v>
      </c>
      <c r="JU62"/>
    </row>
    <row r="63" spans="1:281" ht="15.75">
      <c r="A63" s="25">
        <v>57</v>
      </c>
      <c r="B63" s="25">
        <v>20190301</v>
      </c>
      <c r="C63" s="25"/>
      <c r="D63" s="25" t="s">
        <v>132</v>
      </c>
      <c r="E63" s="25" t="s">
        <v>132</v>
      </c>
      <c r="F63" s="25" t="s">
        <v>133</v>
      </c>
      <c r="G63" s="25"/>
      <c r="H63" s="25">
        <v>100000057</v>
      </c>
      <c r="I63" s="25" t="s">
        <v>134</v>
      </c>
      <c r="J63" s="25" t="s">
        <v>135</v>
      </c>
      <c r="K63" s="25" t="s">
        <v>132</v>
      </c>
      <c r="L63" s="25">
        <v>4</v>
      </c>
      <c r="M63" s="25">
        <v>1</v>
      </c>
      <c r="N63" s="25">
        <v>1</v>
      </c>
      <c r="O63" s="45" t="s">
        <v>148</v>
      </c>
      <c r="P63" s="25">
        <v>100</v>
      </c>
      <c r="Q63" s="25">
        <v>20180301</v>
      </c>
      <c r="R63" s="25">
        <v>20180301</v>
      </c>
      <c r="S63" s="25" t="s">
        <v>137</v>
      </c>
      <c r="T63" s="25" t="s">
        <v>145</v>
      </c>
      <c r="U63" s="25">
        <v>20190301</v>
      </c>
      <c r="V63" s="25">
        <v>6</v>
      </c>
      <c r="W63" s="25">
        <v>6</v>
      </c>
      <c r="X63" s="25" t="s">
        <v>139</v>
      </c>
      <c r="Y63" s="25">
        <v>0</v>
      </c>
      <c r="Z63" s="25" t="s">
        <v>140</v>
      </c>
      <c r="AA63" s="25">
        <v>818</v>
      </c>
      <c r="AB63" s="41">
        <v>0</v>
      </c>
      <c r="AC63" s="41">
        <v>12</v>
      </c>
      <c r="AD63" s="41">
        <v>20180201</v>
      </c>
      <c r="AE63" s="41">
        <v>0</v>
      </c>
      <c r="AF63" s="26">
        <v>30000</v>
      </c>
      <c r="AG63" s="41">
        <v>118</v>
      </c>
      <c r="AH63" s="26">
        <v>28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0</v>
      </c>
      <c r="AT63" s="26">
        <v>0</v>
      </c>
      <c r="AU63" s="26">
        <v>0</v>
      </c>
      <c r="AV63" s="26">
        <v>0</v>
      </c>
      <c r="AW63" s="26">
        <v>0</v>
      </c>
      <c r="AX63" s="26">
        <v>0</v>
      </c>
      <c r="AY63" s="46">
        <v>1</v>
      </c>
      <c r="AZ63" s="25">
        <v>2</v>
      </c>
      <c r="BA63" s="41" t="s">
        <v>203</v>
      </c>
      <c r="BB63" s="41">
        <v>100</v>
      </c>
      <c r="BC63" s="41">
        <v>20180301</v>
      </c>
      <c r="BD63" s="41">
        <v>20180301</v>
      </c>
      <c r="BE63" s="41" t="s">
        <v>198</v>
      </c>
      <c r="BF63" s="41" t="s">
        <v>149</v>
      </c>
      <c r="BG63" s="41">
        <v>20180301</v>
      </c>
      <c r="BH63" s="41">
        <v>0</v>
      </c>
      <c r="BI63" s="41">
        <v>0</v>
      </c>
      <c r="BJ63" s="41"/>
      <c r="BK63" s="41">
        <v>0</v>
      </c>
      <c r="BL63" s="41" t="s">
        <v>140</v>
      </c>
      <c r="BM63" s="41">
        <v>818</v>
      </c>
      <c r="BN63" s="41">
        <v>0</v>
      </c>
      <c r="BO63" s="41">
        <v>12</v>
      </c>
      <c r="BP63" s="41">
        <v>20180201</v>
      </c>
      <c r="BQ63" s="41">
        <v>0</v>
      </c>
      <c r="BR63" s="41">
        <v>0</v>
      </c>
      <c r="BS63" s="41">
        <v>29</v>
      </c>
      <c r="BT63" s="25">
        <v>28</v>
      </c>
      <c r="BU63" s="25">
        <v>0</v>
      </c>
      <c r="BV63" s="25">
        <v>0</v>
      </c>
      <c r="BW63" s="25">
        <v>0</v>
      </c>
      <c r="BX63" s="25">
        <v>0</v>
      </c>
      <c r="BY63" s="25">
        <v>0</v>
      </c>
      <c r="BZ63" s="25">
        <v>0</v>
      </c>
      <c r="CA63" s="25">
        <v>0</v>
      </c>
      <c r="CB63" s="25">
        <v>0</v>
      </c>
      <c r="CC63" s="25">
        <v>0</v>
      </c>
      <c r="CD63" s="25">
        <v>0</v>
      </c>
      <c r="CE63" s="25">
        <v>0</v>
      </c>
      <c r="CF63" s="25">
        <v>0</v>
      </c>
      <c r="CG63" s="25">
        <v>0</v>
      </c>
      <c r="CH63" s="25">
        <v>0</v>
      </c>
      <c r="CI63" s="25">
        <v>0</v>
      </c>
      <c r="CJ63" s="25">
        <v>0</v>
      </c>
      <c r="CK63" s="22">
        <v>1</v>
      </c>
      <c r="CL63" s="25">
        <v>3</v>
      </c>
      <c r="CM63" s="41" t="s">
        <v>150</v>
      </c>
      <c r="CN63" s="41">
        <v>100</v>
      </c>
      <c r="CO63" s="41">
        <v>20180301</v>
      </c>
      <c r="CP63" s="41">
        <v>20180301</v>
      </c>
      <c r="CQ63" s="41" t="s">
        <v>198</v>
      </c>
      <c r="CR63" s="41" t="s">
        <v>200</v>
      </c>
      <c r="CS63" s="41">
        <v>20180301</v>
      </c>
      <c r="CT63" s="41">
        <v>0</v>
      </c>
      <c r="CU63" s="41">
        <v>0</v>
      </c>
      <c r="CV63" s="41"/>
      <c r="CW63" s="41">
        <v>0</v>
      </c>
      <c r="CX63" s="41" t="s">
        <v>140</v>
      </c>
      <c r="CY63" s="41">
        <v>818</v>
      </c>
      <c r="CZ63" s="41">
        <v>0</v>
      </c>
      <c r="DA63" s="41">
        <v>12</v>
      </c>
      <c r="DB63" s="41">
        <v>20180201</v>
      </c>
      <c r="DC63" s="41">
        <v>0</v>
      </c>
      <c r="DD63" s="41">
        <v>0</v>
      </c>
      <c r="DE63" s="41">
        <v>33</v>
      </c>
      <c r="DF63" s="25">
        <v>28</v>
      </c>
      <c r="DG63" s="25">
        <v>0</v>
      </c>
      <c r="DH63" s="25">
        <v>0</v>
      </c>
      <c r="DI63" s="25">
        <v>0</v>
      </c>
      <c r="DJ63" s="25">
        <v>0</v>
      </c>
      <c r="DK63" s="25">
        <v>0</v>
      </c>
      <c r="DL63" s="25">
        <v>0</v>
      </c>
      <c r="DM63" s="25">
        <v>0</v>
      </c>
      <c r="DN63" s="25">
        <v>0</v>
      </c>
      <c r="DO63" s="25">
        <v>0</v>
      </c>
      <c r="DP63" s="25">
        <v>0</v>
      </c>
      <c r="DQ63" s="25">
        <v>0</v>
      </c>
      <c r="DR63" s="25">
        <v>0</v>
      </c>
      <c r="DS63" s="25">
        <v>0</v>
      </c>
      <c r="DT63" s="25">
        <v>0</v>
      </c>
      <c r="DU63" s="25">
        <v>0</v>
      </c>
      <c r="DV63" s="25">
        <v>0</v>
      </c>
      <c r="DW63" s="23">
        <v>1</v>
      </c>
      <c r="DX63" s="25">
        <v>4</v>
      </c>
      <c r="DY63" s="41" t="s">
        <v>151</v>
      </c>
      <c r="DZ63" s="41">
        <v>100</v>
      </c>
      <c r="EA63" s="41">
        <v>20180301</v>
      </c>
      <c r="EB63" s="41">
        <v>20180301</v>
      </c>
      <c r="EC63" s="41" t="s">
        <v>198</v>
      </c>
      <c r="ED63" s="41" t="s">
        <v>201</v>
      </c>
      <c r="EE63" s="41">
        <v>20180301</v>
      </c>
      <c r="EF63" s="41">
        <v>0</v>
      </c>
      <c r="EG63" s="41">
        <v>0</v>
      </c>
      <c r="EH63" s="41"/>
      <c r="EI63" s="41">
        <v>0</v>
      </c>
      <c r="EJ63" s="41" t="s">
        <v>140</v>
      </c>
      <c r="EK63" s="41">
        <v>818</v>
      </c>
      <c r="EL63" s="41">
        <v>0</v>
      </c>
      <c r="EM63" s="41">
        <v>12</v>
      </c>
      <c r="EN63" s="41">
        <v>20180201</v>
      </c>
      <c r="EO63" s="41">
        <v>0</v>
      </c>
      <c r="EP63" s="41">
        <v>0</v>
      </c>
      <c r="EQ63" s="41">
        <v>14</v>
      </c>
      <c r="ER63" s="25">
        <v>28</v>
      </c>
      <c r="ES63" s="25">
        <v>0</v>
      </c>
      <c r="ET63" s="25">
        <v>0</v>
      </c>
      <c r="EU63" s="25">
        <v>0</v>
      </c>
      <c r="EV63" s="25">
        <v>0</v>
      </c>
      <c r="EW63" s="25">
        <v>0</v>
      </c>
      <c r="EX63" s="25">
        <v>0</v>
      </c>
      <c r="EY63" s="25">
        <v>0</v>
      </c>
      <c r="EZ63" s="25">
        <v>0</v>
      </c>
      <c r="FA63" s="25">
        <v>0</v>
      </c>
      <c r="FB63" s="25">
        <v>0</v>
      </c>
      <c r="FC63" s="25">
        <v>0</v>
      </c>
      <c r="FD63" s="25">
        <v>0</v>
      </c>
      <c r="FE63" s="25">
        <v>0</v>
      </c>
      <c r="FF63" s="25">
        <v>0</v>
      </c>
      <c r="FG63" s="25">
        <v>0</v>
      </c>
      <c r="FH63" s="25">
        <v>0</v>
      </c>
      <c r="FI63" s="25">
        <v>1</v>
      </c>
      <c r="FJ63" s="25">
        <v>1</v>
      </c>
      <c r="FK63" s="25">
        <v>1</v>
      </c>
      <c r="FL63" s="25">
        <v>28</v>
      </c>
      <c r="FM63" s="25" t="s">
        <v>137</v>
      </c>
      <c r="FN63" s="25">
        <v>19910101</v>
      </c>
      <c r="FP63" s="28">
        <v>4</v>
      </c>
      <c r="FQ63" s="47">
        <v>1</v>
      </c>
      <c r="FR63" s="41">
        <v>1</v>
      </c>
      <c r="FS63" s="41" t="str">
        <f t="shared" si="0"/>
        <v>MFEF</v>
      </c>
      <c r="FT63" s="41">
        <f t="shared" si="1"/>
        <v>818</v>
      </c>
      <c r="FU63" s="41">
        <f t="shared" si="2"/>
        <v>28</v>
      </c>
      <c r="FV63" s="41">
        <v>31800</v>
      </c>
      <c r="FW63" s="41">
        <v>125.08</v>
      </c>
      <c r="FX63" s="41"/>
      <c r="FY63" s="29">
        <v>0</v>
      </c>
      <c r="FZ63" s="29">
        <v>0</v>
      </c>
      <c r="GA63" s="30">
        <v>0</v>
      </c>
      <c r="GB63" s="30">
        <v>0</v>
      </c>
      <c r="GC63" s="29">
        <v>0</v>
      </c>
      <c r="GD63" s="41">
        <v>0</v>
      </c>
      <c r="GE63" s="29">
        <v>0</v>
      </c>
      <c r="GF63" s="29">
        <v>0</v>
      </c>
      <c r="GG63" s="29">
        <v>0</v>
      </c>
      <c r="GH63" s="29">
        <v>0</v>
      </c>
      <c r="GI63" s="29">
        <v>0</v>
      </c>
      <c r="GJ63" s="29">
        <v>0</v>
      </c>
      <c r="GK63" s="29">
        <v>0</v>
      </c>
      <c r="GL63" s="29">
        <v>0</v>
      </c>
      <c r="GM63" s="29">
        <v>0</v>
      </c>
      <c r="GN63" s="29">
        <v>0</v>
      </c>
      <c r="GO63" s="29">
        <v>0</v>
      </c>
      <c r="GP63" s="29">
        <v>0</v>
      </c>
      <c r="GQ63" s="29">
        <v>0</v>
      </c>
      <c r="GR63" s="18">
        <v>1</v>
      </c>
      <c r="GS63" s="41">
        <v>2</v>
      </c>
      <c r="GT63" s="41" t="str">
        <f t="shared" si="3"/>
        <v>PURO</v>
      </c>
      <c r="GU63" s="41">
        <v>818</v>
      </c>
      <c r="GV63" s="41">
        <v>59</v>
      </c>
      <c r="GW63" s="41">
        <v>0</v>
      </c>
      <c r="GX63" s="41">
        <v>30.74</v>
      </c>
      <c r="GY63" s="41"/>
      <c r="GZ63" s="41">
        <v>0</v>
      </c>
      <c r="HA63" s="41">
        <v>0</v>
      </c>
      <c r="HB63" s="42">
        <v>0</v>
      </c>
      <c r="HC63" s="42">
        <v>0</v>
      </c>
      <c r="HD63" s="41">
        <v>0</v>
      </c>
      <c r="HE63" s="41">
        <v>0</v>
      </c>
      <c r="HF63" s="41">
        <v>0</v>
      </c>
      <c r="HG63" s="41">
        <v>0</v>
      </c>
      <c r="HH63" s="41">
        <v>0</v>
      </c>
      <c r="HI63" s="41">
        <v>0</v>
      </c>
      <c r="HJ63" s="41">
        <v>0</v>
      </c>
      <c r="HK63" s="41">
        <v>0</v>
      </c>
      <c r="HL63" s="41">
        <v>0</v>
      </c>
      <c r="HM63" s="41">
        <v>0</v>
      </c>
      <c r="HN63" s="41">
        <v>0</v>
      </c>
      <c r="HO63" s="41">
        <v>0</v>
      </c>
      <c r="HP63" s="41">
        <v>0</v>
      </c>
      <c r="HQ63" s="41">
        <v>0</v>
      </c>
      <c r="HR63" s="41">
        <v>0</v>
      </c>
      <c r="HS63" s="24">
        <v>1</v>
      </c>
      <c r="HT63" s="41">
        <v>3</v>
      </c>
      <c r="HU63" s="41" t="str">
        <f t="shared" si="4"/>
        <v>PUDT</v>
      </c>
      <c r="HV63" s="41">
        <v>818</v>
      </c>
      <c r="HW63" s="41">
        <v>59</v>
      </c>
      <c r="HX63" s="41">
        <v>0</v>
      </c>
      <c r="HY63" s="41">
        <v>34.979999999999997</v>
      </c>
      <c r="HZ63" s="42"/>
      <c r="IA63" s="41">
        <v>0</v>
      </c>
      <c r="IB63" s="41">
        <v>0</v>
      </c>
      <c r="IC63" s="42">
        <v>0</v>
      </c>
      <c r="ID63" s="42">
        <v>0</v>
      </c>
      <c r="IE63" s="41">
        <v>0</v>
      </c>
      <c r="IF63" s="43">
        <v>0</v>
      </c>
      <c r="IG63" s="41">
        <v>0</v>
      </c>
      <c r="IH63" s="41">
        <v>0</v>
      </c>
      <c r="II63" s="41">
        <v>0</v>
      </c>
      <c r="IJ63" s="41">
        <v>0</v>
      </c>
      <c r="IK63" s="41">
        <v>0</v>
      </c>
      <c r="IL63" s="41">
        <v>0</v>
      </c>
      <c r="IM63" s="41">
        <v>0</v>
      </c>
      <c r="IN63" s="41">
        <v>0</v>
      </c>
      <c r="IO63" s="41">
        <v>0</v>
      </c>
      <c r="IP63" s="41">
        <v>0</v>
      </c>
      <c r="IQ63" s="41">
        <v>0</v>
      </c>
      <c r="IR63" s="41">
        <v>0</v>
      </c>
      <c r="IS63" s="41">
        <v>0</v>
      </c>
      <c r="IT63" s="17">
        <v>1</v>
      </c>
      <c r="IU63" s="41">
        <v>4</v>
      </c>
      <c r="IV63" s="41" t="str">
        <f t="shared" si="5"/>
        <v>PUDS</v>
      </c>
      <c r="IW63" s="41">
        <v>818</v>
      </c>
      <c r="IX63" s="41">
        <v>59</v>
      </c>
      <c r="IY63" s="41">
        <v>0</v>
      </c>
      <c r="IZ63" s="41">
        <v>14.84</v>
      </c>
      <c r="JA63" s="42"/>
      <c r="JB63" s="41">
        <v>0</v>
      </c>
      <c r="JC63" s="41">
        <v>0</v>
      </c>
      <c r="JD63" s="42">
        <v>0</v>
      </c>
      <c r="JE63" s="42">
        <v>0</v>
      </c>
      <c r="JF63" s="41">
        <v>0</v>
      </c>
      <c r="JG63" s="41">
        <v>0</v>
      </c>
      <c r="JH63" s="41">
        <v>0</v>
      </c>
      <c r="JI63" s="41">
        <v>0</v>
      </c>
      <c r="JJ63" s="41">
        <v>0</v>
      </c>
      <c r="JK63" s="41">
        <v>0</v>
      </c>
      <c r="JL63" s="41">
        <v>0</v>
      </c>
      <c r="JM63" s="41">
        <v>0</v>
      </c>
      <c r="JN63" s="41">
        <v>0</v>
      </c>
      <c r="JO63" s="41">
        <v>0</v>
      </c>
      <c r="JP63" s="41">
        <v>0</v>
      </c>
      <c r="JQ63" s="41">
        <v>0</v>
      </c>
      <c r="JR63" s="41">
        <v>0</v>
      </c>
      <c r="JS63" s="41">
        <v>0</v>
      </c>
      <c r="JT63" s="41">
        <v>0</v>
      </c>
      <c r="JU63"/>
    </row>
    <row r="64" spans="1:281" ht="15.75">
      <c r="A64" s="25">
        <v>58</v>
      </c>
      <c r="B64" s="25">
        <v>20190301</v>
      </c>
      <c r="C64" s="25"/>
      <c r="D64" s="25" t="s">
        <v>132</v>
      </c>
      <c r="E64" s="25" t="s">
        <v>132</v>
      </c>
      <c r="F64" s="25" t="s">
        <v>133</v>
      </c>
      <c r="G64" s="25"/>
      <c r="H64" s="25">
        <v>100000058</v>
      </c>
      <c r="I64" s="25" t="s">
        <v>134</v>
      </c>
      <c r="J64" s="25" t="s">
        <v>135</v>
      </c>
      <c r="K64" s="25" t="s">
        <v>132</v>
      </c>
      <c r="L64" s="25">
        <v>4</v>
      </c>
      <c r="M64" s="25">
        <v>1</v>
      </c>
      <c r="N64" s="25">
        <v>1</v>
      </c>
      <c r="O64" s="45" t="s">
        <v>148</v>
      </c>
      <c r="P64" s="25">
        <v>100</v>
      </c>
      <c r="Q64" s="25">
        <v>20180301</v>
      </c>
      <c r="R64" s="25">
        <v>20180301</v>
      </c>
      <c r="S64" s="25" t="s">
        <v>137</v>
      </c>
      <c r="T64" s="25" t="s">
        <v>145</v>
      </c>
      <c r="U64" s="25">
        <v>20190301</v>
      </c>
      <c r="V64" s="25">
        <v>6</v>
      </c>
      <c r="W64" s="25">
        <v>6</v>
      </c>
      <c r="X64" s="25" t="s">
        <v>139</v>
      </c>
      <c r="Y64" s="25">
        <v>0</v>
      </c>
      <c r="Z64" s="25" t="s">
        <v>140</v>
      </c>
      <c r="AA64" s="25">
        <v>818</v>
      </c>
      <c r="AB64" s="41">
        <v>0</v>
      </c>
      <c r="AC64" s="41">
        <v>12</v>
      </c>
      <c r="AD64" s="41">
        <v>20180201</v>
      </c>
      <c r="AE64" s="41">
        <v>0</v>
      </c>
      <c r="AF64" s="26">
        <v>25000</v>
      </c>
      <c r="AG64" s="41">
        <v>107</v>
      </c>
      <c r="AH64" s="26">
        <v>27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0</v>
      </c>
      <c r="AT64" s="26">
        <v>0</v>
      </c>
      <c r="AU64" s="26">
        <v>0</v>
      </c>
      <c r="AV64" s="26">
        <v>0</v>
      </c>
      <c r="AW64" s="26">
        <v>0</v>
      </c>
      <c r="AX64" s="26">
        <v>0</v>
      </c>
      <c r="AY64" s="46">
        <v>1</v>
      </c>
      <c r="AZ64" s="25">
        <v>2</v>
      </c>
      <c r="BA64" s="41" t="s">
        <v>203</v>
      </c>
      <c r="BB64" s="41">
        <v>100</v>
      </c>
      <c r="BC64" s="41">
        <v>20180301</v>
      </c>
      <c r="BD64" s="41">
        <v>20180301</v>
      </c>
      <c r="BE64" s="41" t="s">
        <v>198</v>
      </c>
      <c r="BF64" s="41" t="s">
        <v>149</v>
      </c>
      <c r="BG64" s="41">
        <v>20180301</v>
      </c>
      <c r="BH64" s="41">
        <v>0</v>
      </c>
      <c r="BI64" s="41">
        <v>0</v>
      </c>
      <c r="BJ64" s="41"/>
      <c r="BK64" s="41">
        <v>0</v>
      </c>
      <c r="BL64" s="41" t="s">
        <v>140</v>
      </c>
      <c r="BM64" s="41">
        <v>818</v>
      </c>
      <c r="BN64" s="41">
        <v>0</v>
      </c>
      <c r="BO64" s="41">
        <v>12</v>
      </c>
      <c r="BP64" s="41">
        <v>20180201</v>
      </c>
      <c r="BQ64" s="41">
        <v>0</v>
      </c>
      <c r="BR64" s="41">
        <v>0</v>
      </c>
      <c r="BS64" s="41">
        <v>27</v>
      </c>
      <c r="BT64" s="25">
        <v>27</v>
      </c>
      <c r="BU64" s="25">
        <v>0</v>
      </c>
      <c r="BV64" s="25">
        <v>0</v>
      </c>
      <c r="BW64" s="25">
        <v>0</v>
      </c>
      <c r="BX64" s="25">
        <v>0</v>
      </c>
      <c r="BY64" s="25">
        <v>0</v>
      </c>
      <c r="BZ64" s="25">
        <v>0</v>
      </c>
      <c r="CA64" s="25">
        <v>0</v>
      </c>
      <c r="CB64" s="25">
        <v>0</v>
      </c>
      <c r="CC64" s="25">
        <v>0</v>
      </c>
      <c r="CD64" s="25">
        <v>0</v>
      </c>
      <c r="CE64" s="25">
        <v>0</v>
      </c>
      <c r="CF64" s="25">
        <v>0</v>
      </c>
      <c r="CG64" s="25">
        <v>0</v>
      </c>
      <c r="CH64" s="25">
        <v>0</v>
      </c>
      <c r="CI64" s="25">
        <v>0</v>
      </c>
      <c r="CJ64" s="25">
        <v>0</v>
      </c>
      <c r="CK64" s="22">
        <v>1</v>
      </c>
      <c r="CL64" s="25">
        <v>3</v>
      </c>
      <c r="CM64" s="41" t="s">
        <v>150</v>
      </c>
      <c r="CN64" s="41">
        <v>100</v>
      </c>
      <c r="CO64" s="41">
        <v>20180301</v>
      </c>
      <c r="CP64" s="41">
        <v>20180301</v>
      </c>
      <c r="CQ64" s="41" t="s">
        <v>198</v>
      </c>
      <c r="CR64" s="41" t="s">
        <v>200</v>
      </c>
      <c r="CS64" s="41">
        <v>20180301</v>
      </c>
      <c r="CT64" s="41">
        <v>0</v>
      </c>
      <c r="CU64" s="41">
        <v>0</v>
      </c>
      <c r="CV64" s="41"/>
      <c r="CW64" s="41">
        <v>0</v>
      </c>
      <c r="CX64" s="41" t="s">
        <v>140</v>
      </c>
      <c r="CY64" s="41">
        <v>818</v>
      </c>
      <c r="CZ64" s="41">
        <v>0</v>
      </c>
      <c r="DA64" s="41">
        <v>12</v>
      </c>
      <c r="DB64" s="41">
        <v>20180201</v>
      </c>
      <c r="DC64" s="41">
        <v>0</v>
      </c>
      <c r="DD64" s="41">
        <v>0</v>
      </c>
      <c r="DE64" s="41">
        <v>31</v>
      </c>
      <c r="DF64" s="25">
        <v>27</v>
      </c>
      <c r="DG64" s="25">
        <v>0</v>
      </c>
      <c r="DH64" s="25">
        <v>0</v>
      </c>
      <c r="DI64" s="25">
        <v>0</v>
      </c>
      <c r="DJ64" s="25">
        <v>0</v>
      </c>
      <c r="DK64" s="25">
        <v>0</v>
      </c>
      <c r="DL64" s="25">
        <v>0</v>
      </c>
      <c r="DM64" s="25">
        <v>0</v>
      </c>
      <c r="DN64" s="25">
        <v>0</v>
      </c>
      <c r="DO64" s="25">
        <v>0</v>
      </c>
      <c r="DP64" s="25">
        <v>0</v>
      </c>
      <c r="DQ64" s="25">
        <v>0</v>
      </c>
      <c r="DR64" s="25">
        <v>0</v>
      </c>
      <c r="DS64" s="25">
        <v>0</v>
      </c>
      <c r="DT64" s="25">
        <v>0</v>
      </c>
      <c r="DU64" s="25">
        <v>0</v>
      </c>
      <c r="DV64" s="25">
        <v>0</v>
      </c>
      <c r="DW64" s="23">
        <v>1</v>
      </c>
      <c r="DX64" s="25">
        <v>4</v>
      </c>
      <c r="DY64" s="41" t="s">
        <v>151</v>
      </c>
      <c r="DZ64" s="41">
        <v>100</v>
      </c>
      <c r="EA64" s="41">
        <v>20180301</v>
      </c>
      <c r="EB64" s="41">
        <v>20180301</v>
      </c>
      <c r="EC64" s="41" t="s">
        <v>198</v>
      </c>
      <c r="ED64" s="41" t="s">
        <v>201</v>
      </c>
      <c r="EE64" s="41">
        <v>20180301</v>
      </c>
      <c r="EF64" s="41">
        <v>0</v>
      </c>
      <c r="EG64" s="41">
        <v>0</v>
      </c>
      <c r="EH64" s="41"/>
      <c r="EI64" s="41">
        <v>0</v>
      </c>
      <c r="EJ64" s="41" t="s">
        <v>140</v>
      </c>
      <c r="EK64" s="41">
        <v>818</v>
      </c>
      <c r="EL64" s="41">
        <v>0</v>
      </c>
      <c r="EM64" s="41">
        <v>12</v>
      </c>
      <c r="EN64" s="41">
        <v>20180201</v>
      </c>
      <c r="EO64" s="41">
        <v>0</v>
      </c>
      <c r="EP64" s="41">
        <v>0</v>
      </c>
      <c r="EQ64" s="41">
        <v>13</v>
      </c>
      <c r="ER64" s="25">
        <v>27</v>
      </c>
      <c r="ES64" s="25">
        <v>0</v>
      </c>
      <c r="ET64" s="25">
        <v>0</v>
      </c>
      <c r="EU64" s="25">
        <v>0</v>
      </c>
      <c r="EV64" s="25">
        <v>0</v>
      </c>
      <c r="EW64" s="25">
        <v>0</v>
      </c>
      <c r="EX64" s="25">
        <v>0</v>
      </c>
      <c r="EY64" s="25">
        <v>0</v>
      </c>
      <c r="EZ64" s="25">
        <v>0</v>
      </c>
      <c r="FA64" s="25">
        <v>0</v>
      </c>
      <c r="FB64" s="25">
        <v>0</v>
      </c>
      <c r="FC64" s="25">
        <v>0</v>
      </c>
      <c r="FD64" s="25">
        <v>0</v>
      </c>
      <c r="FE64" s="25">
        <v>0</v>
      </c>
      <c r="FF64" s="25">
        <v>0</v>
      </c>
      <c r="FG64" s="25">
        <v>0</v>
      </c>
      <c r="FH64" s="25">
        <v>0</v>
      </c>
      <c r="FI64" s="25">
        <v>1</v>
      </c>
      <c r="FJ64" s="25">
        <v>1</v>
      </c>
      <c r="FK64" s="25">
        <v>1</v>
      </c>
      <c r="FL64" s="25">
        <v>27</v>
      </c>
      <c r="FM64" s="25" t="s">
        <v>137</v>
      </c>
      <c r="FN64" s="25">
        <v>19920101</v>
      </c>
      <c r="FP64" s="28">
        <v>4</v>
      </c>
      <c r="FQ64" s="47">
        <v>1</v>
      </c>
      <c r="FR64" s="41">
        <v>1</v>
      </c>
      <c r="FS64" s="41" t="str">
        <f t="shared" si="0"/>
        <v>MFEF</v>
      </c>
      <c r="FT64" s="41">
        <f t="shared" si="1"/>
        <v>818</v>
      </c>
      <c r="FU64" s="41">
        <f t="shared" si="2"/>
        <v>27</v>
      </c>
      <c r="FV64" s="41">
        <v>26500</v>
      </c>
      <c r="FW64" s="41">
        <v>113.42</v>
      </c>
      <c r="FX64" s="41"/>
      <c r="FY64" s="29">
        <v>0</v>
      </c>
      <c r="FZ64" s="29">
        <v>0</v>
      </c>
      <c r="GA64" s="30">
        <v>0</v>
      </c>
      <c r="GB64" s="30">
        <v>0</v>
      </c>
      <c r="GC64" s="29">
        <v>0</v>
      </c>
      <c r="GD64" s="41">
        <v>0</v>
      </c>
      <c r="GE64" s="29">
        <v>0</v>
      </c>
      <c r="GF64" s="29">
        <v>0</v>
      </c>
      <c r="GG64" s="29">
        <v>0</v>
      </c>
      <c r="GH64" s="29">
        <v>0</v>
      </c>
      <c r="GI64" s="29">
        <v>0</v>
      </c>
      <c r="GJ64" s="29">
        <v>0</v>
      </c>
      <c r="GK64" s="29">
        <v>0</v>
      </c>
      <c r="GL64" s="29">
        <v>0</v>
      </c>
      <c r="GM64" s="29">
        <v>0</v>
      </c>
      <c r="GN64" s="29">
        <v>0</v>
      </c>
      <c r="GO64" s="29">
        <v>0</v>
      </c>
      <c r="GP64" s="29">
        <v>0</v>
      </c>
      <c r="GQ64" s="29">
        <v>0</v>
      </c>
      <c r="GR64" s="18">
        <v>1</v>
      </c>
      <c r="GS64" s="41">
        <v>2</v>
      </c>
      <c r="GT64" s="41" t="str">
        <f t="shared" si="3"/>
        <v>PURO</v>
      </c>
      <c r="GU64" s="41">
        <v>818</v>
      </c>
      <c r="GV64" s="41">
        <v>40</v>
      </c>
      <c r="GW64" s="41">
        <v>0</v>
      </c>
      <c r="GX64" s="41">
        <v>28.62</v>
      </c>
      <c r="GY64" s="41"/>
      <c r="GZ64" s="41">
        <v>0</v>
      </c>
      <c r="HA64" s="41">
        <v>0</v>
      </c>
      <c r="HB64" s="42">
        <v>0</v>
      </c>
      <c r="HC64" s="42">
        <v>0</v>
      </c>
      <c r="HD64" s="41">
        <v>0</v>
      </c>
      <c r="HE64" s="41">
        <v>0</v>
      </c>
      <c r="HF64" s="41">
        <v>0</v>
      </c>
      <c r="HG64" s="41">
        <v>0</v>
      </c>
      <c r="HH64" s="41">
        <v>0</v>
      </c>
      <c r="HI64" s="41">
        <v>0</v>
      </c>
      <c r="HJ64" s="41">
        <v>0</v>
      </c>
      <c r="HK64" s="41">
        <v>0</v>
      </c>
      <c r="HL64" s="41">
        <v>0</v>
      </c>
      <c r="HM64" s="41">
        <v>0</v>
      </c>
      <c r="HN64" s="41">
        <v>0</v>
      </c>
      <c r="HO64" s="41">
        <v>0</v>
      </c>
      <c r="HP64" s="41">
        <v>0</v>
      </c>
      <c r="HQ64" s="41">
        <v>0</v>
      </c>
      <c r="HR64" s="41">
        <v>0</v>
      </c>
      <c r="HS64" s="24">
        <v>1</v>
      </c>
      <c r="HT64" s="41">
        <v>3</v>
      </c>
      <c r="HU64" s="41" t="str">
        <f t="shared" si="4"/>
        <v>PUDT</v>
      </c>
      <c r="HV64" s="41">
        <v>818</v>
      </c>
      <c r="HW64" s="41">
        <v>40</v>
      </c>
      <c r="HX64" s="41">
        <v>0</v>
      </c>
      <c r="HY64" s="41">
        <v>32.86</v>
      </c>
      <c r="HZ64" s="42"/>
      <c r="IA64" s="41">
        <v>0</v>
      </c>
      <c r="IB64" s="41">
        <v>0</v>
      </c>
      <c r="IC64" s="42">
        <v>0</v>
      </c>
      <c r="ID64" s="42">
        <v>0</v>
      </c>
      <c r="IE64" s="41">
        <v>0</v>
      </c>
      <c r="IF64" s="43">
        <v>0</v>
      </c>
      <c r="IG64" s="41">
        <v>0</v>
      </c>
      <c r="IH64" s="41">
        <v>0</v>
      </c>
      <c r="II64" s="41">
        <v>0</v>
      </c>
      <c r="IJ64" s="41">
        <v>0</v>
      </c>
      <c r="IK64" s="41">
        <v>0</v>
      </c>
      <c r="IL64" s="41">
        <v>0</v>
      </c>
      <c r="IM64" s="41">
        <v>0</v>
      </c>
      <c r="IN64" s="41">
        <v>0</v>
      </c>
      <c r="IO64" s="41">
        <v>0</v>
      </c>
      <c r="IP64" s="41">
        <v>0</v>
      </c>
      <c r="IQ64" s="41">
        <v>0</v>
      </c>
      <c r="IR64" s="41">
        <v>0</v>
      </c>
      <c r="IS64" s="41">
        <v>0</v>
      </c>
      <c r="IT64" s="17">
        <v>1</v>
      </c>
      <c r="IU64" s="41">
        <v>4</v>
      </c>
      <c r="IV64" s="41" t="str">
        <f t="shared" si="5"/>
        <v>PUDS</v>
      </c>
      <c r="IW64" s="41">
        <v>818</v>
      </c>
      <c r="IX64" s="41">
        <v>40</v>
      </c>
      <c r="IY64" s="41">
        <v>0</v>
      </c>
      <c r="IZ64" s="41">
        <v>13.78</v>
      </c>
      <c r="JA64" s="42"/>
      <c r="JB64" s="41">
        <v>0</v>
      </c>
      <c r="JC64" s="41">
        <v>0</v>
      </c>
      <c r="JD64" s="42">
        <v>0</v>
      </c>
      <c r="JE64" s="42">
        <v>0</v>
      </c>
      <c r="JF64" s="41">
        <v>0</v>
      </c>
      <c r="JG64" s="41">
        <v>0</v>
      </c>
      <c r="JH64" s="41">
        <v>0</v>
      </c>
      <c r="JI64" s="41">
        <v>0</v>
      </c>
      <c r="JJ64" s="41">
        <v>0</v>
      </c>
      <c r="JK64" s="41">
        <v>0</v>
      </c>
      <c r="JL64" s="41">
        <v>0</v>
      </c>
      <c r="JM64" s="41">
        <v>0</v>
      </c>
      <c r="JN64" s="41">
        <v>0</v>
      </c>
      <c r="JO64" s="41">
        <v>0</v>
      </c>
      <c r="JP64" s="41">
        <v>0</v>
      </c>
      <c r="JQ64" s="41">
        <v>0</v>
      </c>
      <c r="JR64" s="41">
        <v>0</v>
      </c>
      <c r="JS64" s="41">
        <v>0</v>
      </c>
      <c r="JT64" s="41">
        <v>0</v>
      </c>
      <c r="JU64"/>
    </row>
    <row r="65" spans="1:281" ht="15.75">
      <c r="A65" s="25">
        <v>59</v>
      </c>
      <c r="B65" s="25">
        <v>20190301</v>
      </c>
      <c r="C65" s="25"/>
      <c r="D65" s="25" t="s">
        <v>132</v>
      </c>
      <c r="E65" s="25" t="s">
        <v>132</v>
      </c>
      <c r="F65" s="25" t="s">
        <v>133</v>
      </c>
      <c r="G65" s="25"/>
      <c r="H65" s="25">
        <v>100000059</v>
      </c>
      <c r="I65" s="25" t="s">
        <v>134</v>
      </c>
      <c r="J65" s="25" t="s">
        <v>135</v>
      </c>
      <c r="K65" s="25" t="s">
        <v>132</v>
      </c>
      <c r="L65" s="25">
        <v>4</v>
      </c>
      <c r="M65" s="25">
        <v>1</v>
      </c>
      <c r="N65" s="25">
        <v>1</v>
      </c>
      <c r="O65" s="45" t="s">
        <v>148</v>
      </c>
      <c r="P65" s="25">
        <v>100</v>
      </c>
      <c r="Q65" s="25">
        <v>20180301</v>
      </c>
      <c r="R65" s="25">
        <v>20180301</v>
      </c>
      <c r="S65" s="25" t="s">
        <v>137</v>
      </c>
      <c r="T65" s="25" t="s">
        <v>145</v>
      </c>
      <c r="U65" s="25">
        <v>20190301</v>
      </c>
      <c r="V65" s="25">
        <v>6</v>
      </c>
      <c r="W65" s="25">
        <v>6</v>
      </c>
      <c r="X65" s="25" t="s">
        <v>139</v>
      </c>
      <c r="Y65" s="25">
        <v>0</v>
      </c>
      <c r="Z65" s="25" t="s">
        <v>140</v>
      </c>
      <c r="AA65" s="25">
        <v>818</v>
      </c>
      <c r="AB65" s="41">
        <v>0</v>
      </c>
      <c r="AC65" s="41">
        <v>12</v>
      </c>
      <c r="AD65" s="41">
        <v>20180201</v>
      </c>
      <c r="AE65" s="41">
        <v>0</v>
      </c>
      <c r="AF65" s="26">
        <v>20000</v>
      </c>
      <c r="AG65" s="41">
        <v>95</v>
      </c>
      <c r="AH65" s="26">
        <v>26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0</v>
      </c>
      <c r="AT65" s="26">
        <v>0</v>
      </c>
      <c r="AU65" s="26">
        <v>0</v>
      </c>
      <c r="AV65" s="26">
        <v>0</v>
      </c>
      <c r="AW65" s="26">
        <v>0</v>
      </c>
      <c r="AX65" s="26">
        <v>0</v>
      </c>
      <c r="AY65" s="46">
        <v>1</v>
      </c>
      <c r="AZ65" s="25">
        <v>2</v>
      </c>
      <c r="BA65" s="41" t="s">
        <v>203</v>
      </c>
      <c r="BB65" s="41">
        <v>100</v>
      </c>
      <c r="BC65" s="41">
        <v>20180301</v>
      </c>
      <c r="BD65" s="41">
        <v>20180301</v>
      </c>
      <c r="BE65" s="41" t="s">
        <v>198</v>
      </c>
      <c r="BF65" s="41" t="s">
        <v>149</v>
      </c>
      <c r="BG65" s="41">
        <v>20180301</v>
      </c>
      <c r="BH65" s="41">
        <v>0</v>
      </c>
      <c r="BI65" s="41">
        <v>0</v>
      </c>
      <c r="BJ65" s="41"/>
      <c r="BK65" s="41">
        <v>0</v>
      </c>
      <c r="BL65" s="41" t="s">
        <v>140</v>
      </c>
      <c r="BM65" s="41">
        <v>818</v>
      </c>
      <c r="BN65" s="41">
        <v>0</v>
      </c>
      <c r="BO65" s="41">
        <v>12</v>
      </c>
      <c r="BP65" s="41">
        <v>20180201</v>
      </c>
      <c r="BQ65" s="41">
        <v>0</v>
      </c>
      <c r="BR65" s="41">
        <v>0</v>
      </c>
      <c r="BS65" s="41">
        <v>25</v>
      </c>
      <c r="BT65" s="25">
        <v>26</v>
      </c>
      <c r="BU65" s="25">
        <v>0</v>
      </c>
      <c r="BV65" s="25">
        <v>0</v>
      </c>
      <c r="BW65" s="25">
        <v>0</v>
      </c>
      <c r="BX65" s="25">
        <v>0</v>
      </c>
      <c r="BY65" s="25">
        <v>0</v>
      </c>
      <c r="BZ65" s="25">
        <v>0</v>
      </c>
      <c r="CA65" s="25">
        <v>0</v>
      </c>
      <c r="CB65" s="25">
        <v>0</v>
      </c>
      <c r="CC65" s="25">
        <v>0</v>
      </c>
      <c r="CD65" s="25">
        <v>0</v>
      </c>
      <c r="CE65" s="25">
        <v>0</v>
      </c>
      <c r="CF65" s="25">
        <v>0</v>
      </c>
      <c r="CG65" s="25">
        <v>0</v>
      </c>
      <c r="CH65" s="25">
        <v>0</v>
      </c>
      <c r="CI65" s="25">
        <v>0</v>
      </c>
      <c r="CJ65" s="25">
        <v>0</v>
      </c>
      <c r="CK65" s="22">
        <v>1</v>
      </c>
      <c r="CL65" s="25">
        <v>3</v>
      </c>
      <c r="CM65" s="41" t="s">
        <v>150</v>
      </c>
      <c r="CN65" s="41">
        <v>100</v>
      </c>
      <c r="CO65" s="41">
        <v>20180301</v>
      </c>
      <c r="CP65" s="41">
        <v>20180301</v>
      </c>
      <c r="CQ65" s="41" t="s">
        <v>198</v>
      </c>
      <c r="CR65" s="41" t="s">
        <v>200</v>
      </c>
      <c r="CS65" s="41">
        <v>20180301</v>
      </c>
      <c r="CT65" s="41">
        <v>0</v>
      </c>
      <c r="CU65" s="41">
        <v>0</v>
      </c>
      <c r="CV65" s="41"/>
      <c r="CW65" s="41">
        <v>0</v>
      </c>
      <c r="CX65" s="41" t="s">
        <v>140</v>
      </c>
      <c r="CY65" s="41">
        <v>818</v>
      </c>
      <c r="CZ65" s="41">
        <v>0</v>
      </c>
      <c r="DA65" s="41">
        <v>12</v>
      </c>
      <c r="DB65" s="41">
        <v>20180201</v>
      </c>
      <c r="DC65" s="41">
        <v>0</v>
      </c>
      <c r="DD65" s="41">
        <v>0</v>
      </c>
      <c r="DE65" s="41">
        <v>28</v>
      </c>
      <c r="DF65" s="25">
        <v>26</v>
      </c>
      <c r="DG65" s="25">
        <v>0</v>
      </c>
      <c r="DH65" s="25">
        <v>0</v>
      </c>
      <c r="DI65" s="25">
        <v>0</v>
      </c>
      <c r="DJ65" s="25">
        <v>0</v>
      </c>
      <c r="DK65" s="25">
        <v>0</v>
      </c>
      <c r="DL65" s="25">
        <v>0</v>
      </c>
      <c r="DM65" s="25">
        <v>0</v>
      </c>
      <c r="DN65" s="25">
        <v>0</v>
      </c>
      <c r="DO65" s="25">
        <v>0</v>
      </c>
      <c r="DP65" s="25">
        <v>0</v>
      </c>
      <c r="DQ65" s="25">
        <v>0</v>
      </c>
      <c r="DR65" s="25">
        <v>0</v>
      </c>
      <c r="DS65" s="25">
        <v>0</v>
      </c>
      <c r="DT65" s="25">
        <v>0</v>
      </c>
      <c r="DU65" s="25">
        <v>0</v>
      </c>
      <c r="DV65" s="25">
        <v>0</v>
      </c>
      <c r="DW65" s="23">
        <v>1</v>
      </c>
      <c r="DX65" s="25">
        <v>4</v>
      </c>
      <c r="DY65" s="41" t="s">
        <v>151</v>
      </c>
      <c r="DZ65" s="41">
        <v>100</v>
      </c>
      <c r="EA65" s="41">
        <v>20180301</v>
      </c>
      <c r="EB65" s="41">
        <v>20180301</v>
      </c>
      <c r="EC65" s="41" t="s">
        <v>198</v>
      </c>
      <c r="ED65" s="41" t="s">
        <v>201</v>
      </c>
      <c r="EE65" s="41">
        <v>20180301</v>
      </c>
      <c r="EF65" s="41">
        <v>0</v>
      </c>
      <c r="EG65" s="41">
        <v>0</v>
      </c>
      <c r="EH65" s="41"/>
      <c r="EI65" s="41">
        <v>0</v>
      </c>
      <c r="EJ65" s="41" t="s">
        <v>140</v>
      </c>
      <c r="EK65" s="41">
        <v>818</v>
      </c>
      <c r="EL65" s="41">
        <v>0</v>
      </c>
      <c r="EM65" s="41">
        <v>12</v>
      </c>
      <c r="EN65" s="41">
        <v>20180201</v>
      </c>
      <c r="EO65" s="41">
        <v>0</v>
      </c>
      <c r="EP65" s="41">
        <v>0</v>
      </c>
      <c r="EQ65" s="41">
        <v>12</v>
      </c>
      <c r="ER65" s="25">
        <v>26</v>
      </c>
      <c r="ES65" s="25">
        <v>0</v>
      </c>
      <c r="ET65" s="25">
        <v>0</v>
      </c>
      <c r="EU65" s="25">
        <v>0</v>
      </c>
      <c r="EV65" s="25">
        <v>0</v>
      </c>
      <c r="EW65" s="25">
        <v>0</v>
      </c>
      <c r="EX65" s="25">
        <v>0</v>
      </c>
      <c r="EY65" s="25">
        <v>0</v>
      </c>
      <c r="EZ65" s="25">
        <v>0</v>
      </c>
      <c r="FA65" s="25">
        <v>0</v>
      </c>
      <c r="FB65" s="25">
        <v>0</v>
      </c>
      <c r="FC65" s="25">
        <v>0</v>
      </c>
      <c r="FD65" s="25">
        <v>0</v>
      </c>
      <c r="FE65" s="25">
        <v>0</v>
      </c>
      <c r="FF65" s="25">
        <v>0</v>
      </c>
      <c r="FG65" s="25">
        <v>0</v>
      </c>
      <c r="FH65" s="25">
        <v>0</v>
      </c>
      <c r="FI65" s="25">
        <v>1</v>
      </c>
      <c r="FJ65" s="25">
        <v>1</v>
      </c>
      <c r="FK65" s="25">
        <v>1</v>
      </c>
      <c r="FL65" s="25">
        <v>26</v>
      </c>
      <c r="FM65" s="25" t="s">
        <v>137</v>
      </c>
      <c r="FN65" s="25">
        <v>19930101</v>
      </c>
      <c r="FP65" s="28">
        <v>4</v>
      </c>
      <c r="FQ65" s="47">
        <v>1</v>
      </c>
      <c r="FR65" s="41">
        <v>1</v>
      </c>
      <c r="FS65" s="41" t="str">
        <f t="shared" si="0"/>
        <v>MFEF</v>
      </c>
      <c r="FT65" s="41">
        <f t="shared" si="1"/>
        <v>818</v>
      </c>
      <c r="FU65" s="41">
        <f t="shared" si="2"/>
        <v>26</v>
      </c>
      <c r="FV65" s="41">
        <v>21200</v>
      </c>
      <c r="FW65" s="41">
        <v>100.7</v>
      </c>
      <c r="FX65" s="41"/>
      <c r="FY65" s="29">
        <v>0</v>
      </c>
      <c r="FZ65" s="29">
        <v>0</v>
      </c>
      <c r="GA65" s="30">
        <v>0</v>
      </c>
      <c r="GB65" s="30">
        <v>0</v>
      </c>
      <c r="GC65" s="29">
        <v>0</v>
      </c>
      <c r="GD65" s="41">
        <v>0</v>
      </c>
      <c r="GE65" s="29">
        <v>0</v>
      </c>
      <c r="GF65" s="29">
        <v>0</v>
      </c>
      <c r="GG65" s="29">
        <v>0</v>
      </c>
      <c r="GH65" s="29">
        <v>0</v>
      </c>
      <c r="GI65" s="29">
        <v>0</v>
      </c>
      <c r="GJ65" s="29">
        <v>0</v>
      </c>
      <c r="GK65" s="29">
        <v>0</v>
      </c>
      <c r="GL65" s="29">
        <v>0</v>
      </c>
      <c r="GM65" s="29">
        <v>0</v>
      </c>
      <c r="GN65" s="29">
        <v>0</v>
      </c>
      <c r="GO65" s="29">
        <v>0</v>
      </c>
      <c r="GP65" s="29">
        <v>0</v>
      </c>
      <c r="GQ65" s="29">
        <v>0</v>
      </c>
      <c r="GR65" s="18">
        <v>1</v>
      </c>
      <c r="GS65" s="41">
        <v>2</v>
      </c>
      <c r="GT65" s="41" t="str">
        <f t="shared" si="3"/>
        <v>PURO</v>
      </c>
      <c r="GU65" s="41">
        <v>818</v>
      </c>
      <c r="GV65" s="41">
        <v>33</v>
      </c>
      <c r="GW65" s="41">
        <v>0</v>
      </c>
      <c r="GX65" s="41">
        <v>26.5</v>
      </c>
      <c r="GY65" s="41"/>
      <c r="GZ65" s="41">
        <v>0</v>
      </c>
      <c r="HA65" s="41">
        <v>0</v>
      </c>
      <c r="HB65" s="42">
        <v>0</v>
      </c>
      <c r="HC65" s="42">
        <v>0</v>
      </c>
      <c r="HD65" s="41">
        <v>0</v>
      </c>
      <c r="HE65" s="41">
        <v>0</v>
      </c>
      <c r="HF65" s="41">
        <v>0</v>
      </c>
      <c r="HG65" s="41">
        <v>0</v>
      </c>
      <c r="HH65" s="41">
        <v>0</v>
      </c>
      <c r="HI65" s="41">
        <v>0</v>
      </c>
      <c r="HJ65" s="41">
        <v>0</v>
      </c>
      <c r="HK65" s="41">
        <v>0</v>
      </c>
      <c r="HL65" s="41">
        <v>0</v>
      </c>
      <c r="HM65" s="41">
        <v>0</v>
      </c>
      <c r="HN65" s="41">
        <v>0</v>
      </c>
      <c r="HO65" s="41">
        <v>0</v>
      </c>
      <c r="HP65" s="41">
        <v>0</v>
      </c>
      <c r="HQ65" s="41">
        <v>0</v>
      </c>
      <c r="HR65" s="41">
        <v>0</v>
      </c>
      <c r="HS65" s="24">
        <v>1</v>
      </c>
      <c r="HT65" s="41">
        <v>3</v>
      </c>
      <c r="HU65" s="41" t="str">
        <f t="shared" si="4"/>
        <v>PUDT</v>
      </c>
      <c r="HV65" s="41">
        <v>818</v>
      </c>
      <c r="HW65" s="41">
        <v>33</v>
      </c>
      <c r="HX65" s="41">
        <v>0</v>
      </c>
      <c r="HY65" s="41">
        <v>29.68</v>
      </c>
      <c r="HZ65" s="42"/>
      <c r="IA65" s="41">
        <v>0</v>
      </c>
      <c r="IB65" s="41">
        <v>0</v>
      </c>
      <c r="IC65" s="42">
        <v>0</v>
      </c>
      <c r="ID65" s="42">
        <v>0</v>
      </c>
      <c r="IE65" s="41">
        <v>0</v>
      </c>
      <c r="IF65" s="43">
        <v>0</v>
      </c>
      <c r="IG65" s="41">
        <v>0</v>
      </c>
      <c r="IH65" s="41">
        <v>0</v>
      </c>
      <c r="II65" s="41">
        <v>0</v>
      </c>
      <c r="IJ65" s="41">
        <v>0</v>
      </c>
      <c r="IK65" s="41">
        <v>0</v>
      </c>
      <c r="IL65" s="41">
        <v>0</v>
      </c>
      <c r="IM65" s="41">
        <v>0</v>
      </c>
      <c r="IN65" s="41">
        <v>0</v>
      </c>
      <c r="IO65" s="41">
        <v>0</v>
      </c>
      <c r="IP65" s="41">
        <v>0</v>
      </c>
      <c r="IQ65" s="41">
        <v>0</v>
      </c>
      <c r="IR65" s="41">
        <v>0</v>
      </c>
      <c r="IS65" s="41">
        <v>0</v>
      </c>
      <c r="IT65" s="17">
        <v>1</v>
      </c>
      <c r="IU65" s="41">
        <v>4</v>
      </c>
      <c r="IV65" s="41" t="str">
        <f t="shared" si="5"/>
        <v>PUDS</v>
      </c>
      <c r="IW65" s="41">
        <v>818</v>
      </c>
      <c r="IX65" s="41">
        <v>33</v>
      </c>
      <c r="IY65" s="41">
        <v>0</v>
      </c>
      <c r="IZ65" s="41">
        <v>12.72</v>
      </c>
      <c r="JA65" s="42"/>
      <c r="JB65" s="41">
        <v>0</v>
      </c>
      <c r="JC65" s="41">
        <v>0</v>
      </c>
      <c r="JD65" s="42">
        <v>0</v>
      </c>
      <c r="JE65" s="42">
        <v>0</v>
      </c>
      <c r="JF65" s="41">
        <v>0</v>
      </c>
      <c r="JG65" s="41">
        <v>0</v>
      </c>
      <c r="JH65" s="41">
        <v>0</v>
      </c>
      <c r="JI65" s="41">
        <v>0</v>
      </c>
      <c r="JJ65" s="41">
        <v>0</v>
      </c>
      <c r="JK65" s="41">
        <v>0</v>
      </c>
      <c r="JL65" s="41">
        <v>0</v>
      </c>
      <c r="JM65" s="41">
        <v>0</v>
      </c>
      <c r="JN65" s="41">
        <v>0</v>
      </c>
      <c r="JO65" s="41">
        <v>0</v>
      </c>
      <c r="JP65" s="41">
        <v>0</v>
      </c>
      <c r="JQ65" s="41">
        <v>0</v>
      </c>
      <c r="JR65" s="41">
        <v>0</v>
      </c>
      <c r="JS65" s="41">
        <v>0</v>
      </c>
      <c r="JT65" s="41">
        <v>0</v>
      </c>
      <c r="JU65"/>
    </row>
    <row r="66" spans="1:281" ht="15.75">
      <c r="A66" s="25">
        <v>60</v>
      </c>
      <c r="B66" s="25">
        <v>20190301</v>
      </c>
      <c r="C66" s="25"/>
      <c r="D66" s="25" t="s">
        <v>132</v>
      </c>
      <c r="E66" s="25" t="s">
        <v>132</v>
      </c>
      <c r="F66" s="25" t="s">
        <v>133</v>
      </c>
      <c r="G66" s="25"/>
      <c r="H66" s="25">
        <v>100000060</v>
      </c>
      <c r="I66" s="25" t="s">
        <v>134</v>
      </c>
      <c r="J66" s="25" t="s">
        <v>135</v>
      </c>
      <c r="K66" s="25" t="s">
        <v>132</v>
      </c>
      <c r="L66" s="25">
        <v>4</v>
      </c>
      <c r="M66" s="25">
        <v>1</v>
      </c>
      <c r="N66" s="25">
        <v>1</v>
      </c>
      <c r="O66" s="45" t="s">
        <v>148</v>
      </c>
      <c r="P66" s="25">
        <v>100</v>
      </c>
      <c r="Q66" s="25">
        <v>20180301</v>
      </c>
      <c r="R66" s="25">
        <v>20180301</v>
      </c>
      <c r="S66" s="25" t="s">
        <v>137</v>
      </c>
      <c r="T66" s="25" t="s">
        <v>145</v>
      </c>
      <c r="U66" s="25">
        <v>20190301</v>
      </c>
      <c r="V66" s="25">
        <v>6</v>
      </c>
      <c r="W66" s="25">
        <v>6</v>
      </c>
      <c r="X66" s="25" t="s">
        <v>139</v>
      </c>
      <c r="Y66" s="25">
        <v>0</v>
      </c>
      <c r="Z66" s="25" t="s">
        <v>140</v>
      </c>
      <c r="AA66" s="25">
        <v>818</v>
      </c>
      <c r="AB66" s="41">
        <v>0</v>
      </c>
      <c r="AC66" s="41">
        <v>12</v>
      </c>
      <c r="AD66" s="41">
        <v>20180201</v>
      </c>
      <c r="AE66" s="41">
        <v>0</v>
      </c>
      <c r="AF66" s="26">
        <v>15000</v>
      </c>
      <c r="AG66" s="41">
        <v>73</v>
      </c>
      <c r="AH66" s="26">
        <v>25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0</v>
      </c>
      <c r="AT66" s="26">
        <v>0</v>
      </c>
      <c r="AU66" s="26">
        <v>0</v>
      </c>
      <c r="AV66" s="26">
        <v>0</v>
      </c>
      <c r="AW66" s="26">
        <v>0</v>
      </c>
      <c r="AX66" s="26">
        <v>0</v>
      </c>
      <c r="AY66" s="46">
        <v>1</v>
      </c>
      <c r="AZ66" s="25">
        <v>2</v>
      </c>
      <c r="BA66" s="41" t="s">
        <v>203</v>
      </c>
      <c r="BB66" s="41">
        <v>100</v>
      </c>
      <c r="BC66" s="41">
        <v>20180301</v>
      </c>
      <c r="BD66" s="41">
        <v>20180301</v>
      </c>
      <c r="BE66" s="41" t="s">
        <v>198</v>
      </c>
      <c r="BF66" s="41" t="s">
        <v>149</v>
      </c>
      <c r="BG66" s="41">
        <v>20180301</v>
      </c>
      <c r="BH66" s="41">
        <v>0</v>
      </c>
      <c r="BI66" s="41">
        <v>0</v>
      </c>
      <c r="BJ66" s="41"/>
      <c r="BK66" s="41">
        <v>0</v>
      </c>
      <c r="BL66" s="41" t="s">
        <v>140</v>
      </c>
      <c r="BM66" s="41">
        <v>818</v>
      </c>
      <c r="BN66" s="41">
        <v>0</v>
      </c>
      <c r="BO66" s="41">
        <v>12</v>
      </c>
      <c r="BP66" s="41">
        <v>20180201</v>
      </c>
      <c r="BQ66" s="41">
        <v>0</v>
      </c>
      <c r="BR66" s="41">
        <v>0</v>
      </c>
      <c r="BS66" s="41">
        <v>23</v>
      </c>
      <c r="BT66" s="25">
        <v>25</v>
      </c>
      <c r="BU66" s="25">
        <v>0</v>
      </c>
      <c r="BV66" s="25">
        <v>0</v>
      </c>
      <c r="BW66" s="25">
        <v>0</v>
      </c>
      <c r="BX66" s="25">
        <v>0</v>
      </c>
      <c r="BY66" s="25">
        <v>0</v>
      </c>
      <c r="BZ66" s="25">
        <v>0</v>
      </c>
      <c r="CA66" s="25">
        <v>0</v>
      </c>
      <c r="CB66" s="25">
        <v>0</v>
      </c>
      <c r="CC66" s="25">
        <v>0</v>
      </c>
      <c r="CD66" s="25">
        <v>0</v>
      </c>
      <c r="CE66" s="25">
        <v>0</v>
      </c>
      <c r="CF66" s="25">
        <v>0</v>
      </c>
      <c r="CG66" s="25">
        <v>0</v>
      </c>
      <c r="CH66" s="25">
        <v>0</v>
      </c>
      <c r="CI66" s="25">
        <v>0</v>
      </c>
      <c r="CJ66" s="25">
        <v>0</v>
      </c>
      <c r="CK66" s="22">
        <v>1</v>
      </c>
      <c r="CL66" s="25">
        <v>3</v>
      </c>
      <c r="CM66" s="41" t="s">
        <v>150</v>
      </c>
      <c r="CN66" s="41">
        <v>100</v>
      </c>
      <c r="CO66" s="41">
        <v>20180301</v>
      </c>
      <c r="CP66" s="41">
        <v>20180301</v>
      </c>
      <c r="CQ66" s="41" t="s">
        <v>198</v>
      </c>
      <c r="CR66" s="41" t="s">
        <v>200</v>
      </c>
      <c r="CS66" s="41">
        <v>20180301</v>
      </c>
      <c r="CT66" s="41">
        <v>0</v>
      </c>
      <c r="CU66" s="41">
        <v>0</v>
      </c>
      <c r="CV66" s="41"/>
      <c r="CW66" s="41">
        <v>0</v>
      </c>
      <c r="CX66" s="41" t="s">
        <v>140</v>
      </c>
      <c r="CY66" s="41">
        <v>818</v>
      </c>
      <c r="CZ66" s="41">
        <v>0</v>
      </c>
      <c r="DA66" s="41">
        <v>12</v>
      </c>
      <c r="DB66" s="41">
        <v>20180201</v>
      </c>
      <c r="DC66" s="41">
        <v>0</v>
      </c>
      <c r="DD66" s="41">
        <v>0</v>
      </c>
      <c r="DE66" s="41">
        <v>24</v>
      </c>
      <c r="DF66" s="25">
        <v>25</v>
      </c>
      <c r="DG66" s="25">
        <v>0</v>
      </c>
      <c r="DH66" s="25">
        <v>0</v>
      </c>
      <c r="DI66" s="25">
        <v>0</v>
      </c>
      <c r="DJ66" s="25">
        <v>0</v>
      </c>
      <c r="DK66" s="25">
        <v>0</v>
      </c>
      <c r="DL66" s="25">
        <v>0</v>
      </c>
      <c r="DM66" s="25">
        <v>0</v>
      </c>
      <c r="DN66" s="25">
        <v>0</v>
      </c>
      <c r="DO66" s="25">
        <v>0</v>
      </c>
      <c r="DP66" s="25">
        <v>0</v>
      </c>
      <c r="DQ66" s="25">
        <v>0</v>
      </c>
      <c r="DR66" s="25">
        <v>0</v>
      </c>
      <c r="DS66" s="25">
        <v>0</v>
      </c>
      <c r="DT66" s="25">
        <v>0</v>
      </c>
      <c r="DU66" s="25">
        <v>0</v>
      </c>
      <c r="DV66" s="25">
        <v>0</v>
      </c>
      <c r="DW66" s="23">
        <v>1</v>
      </c>
      <c r="DX66" s="25">
        <v>4</v>
      </c>
      <c r="DY66" s="41" t="s">
        <v>151</v>
      </c>
      <c r="DZ66" s="41">
        <v>100</v>
      </c>
      <c r="EA66" s="41">
        <v>20180301</v>
      </c>
      <c r="EB66" s="41">
        <v>20180301</v>
      </c>
      <c r="EC66" s="41" t="s">
        <v>198</v>
      </c>
      <c r="ED66" s="41" t="s">
        <v>201</v>
      </c>
      <c r="EE66" s="41">
        <v>20180301</v>
      </c>
      <c r="EF66" s="41">
        <v>0</v>
      </c>
      <c r="EG66" s="41">
        <v>0</v>
      </c>
      <c r="EH66" s="41"/>
      <c r="EI66" s="41">
        <v>0</v>
      </c>
      <c r="EJ66" s="41" t="s">
        <v>140</v>
      </c>
      <c r="EK66" s="41">
        <v>818</v>
      </c>
      <c r="EL66" s="41">
        <v>0</v>
      </c>
      <c r="EM66" s="41">
        <v>12</v>
      </c>
      <c r="EN66" s="41">
        <v>20180201</v>
      </c>
      <c r="EO66" s="41">
        <v>0</v>
      </c>
      <c r="EP66" s="41">
        <v>0</v>
      </c>
      <c r="EQ66" s="41">
        <v>11</v>
      </c>
      <c r="ER66" s="25">
        <v>25</v>
      </c>
      <c r="ES66" s="25">
        <v>0</v>
      </c>
      <c r="ET66" s="25">
        <v>0</v>
      </c>
      <c r="EU66" s="25">
        <v>0</v>
      </c>
      <c r="EV66" s="25">
        <v>0</v>
      </c>
      <c r="EW66" s="25">
        <v>0</v>
      </c>
      <c r="EX66" s="25">
        <v>0</v>
      </c>
      <c r="EY66" s="25">
        <v>0</v>
      </c>
      <c r="EZ66" s="25">
        <v>0</v>
      </c>
      <c r="FA66" s="25">
        <v>0</v>
      </c>
      <c r="FB66" s="25">
        <v>0</v>
      </c>
      <c r="FC66" s="25">
        <v>0</v>
      </c>
      <c r="FD66" s="25">
        <v>0</v>
      </c>
      <c r="FE66" s="25">
        <v>0</v>
      </c>
      <c r="FF66" s="25">
        <v>0</v>
      </c>
      <c r="FG66" s="25">
        <v>0</v>
      </c>
      <c r="FH66" s="25">
        <v>0</v>
      </c>
      <c r="FI66" s="25">
        <v>1</v>
      </c>
      <c r="FJ66" s="25">
        <v>1</v>
      </c>
      <c r="FK66" s="25">
        <v>1</v>
      </c>
      <c r="FL66" s="25">
        <v>25</v>
      </c>
      <c r="FM66" s="25" t="s">
        <v>137</v>
      </c>
      <c r="FN66" s="25">
        <v>19940101</v>
      </c>
      <c r="FP66" s="28">
        <v>4</v>
      </c>
      <c r="FQ66" s="47">
        <v>1</v>
      </c>
      <c r="FR66" s="41">
        <v>1</v>
      </c>
      <c r="FS66" s="41" t="str">
        <f t="shared" si="0"/>
        <v>MFEF</v>
      </c>
      <c r="FT66" s="41">
        <f t="shared" si="1"/>
        <v>818</v>
      </c>
      <c r="FU66" s="41">
        <f t="shared" si="2"/>
        <v>25</v>
      </c>
      <c r="FV66" s="41">
        <v>15900</v>
      </c>
      <c r="FW66" s="41">
        <v>77.38</v>
      </c>
      <c r="FX66" s="41"/>
      <c r="FY66" s="29">
        <v>0</v>
      </c>
      <c r="FZ66" s="29">
        <v>0</v>
      </c>
      <c r="GA66" s="30">
        <v>0</v>
      </c>
      <c r="GB66" s="30">
        <v>0</v>
      </c>
      <c r="GC66" s="29">
        <v>0</v>
      </c>
      <c r="GD66" s="41">
        <v>0</v>
      </c>
      <c r="GE66" s="29">
        <v>0</v>
      </c>
      <c r="GF66" s="29">
        <v>0</v>
      </c>
      <c r="GG66" s="29">
        <v>0</v>
      </c>
      <c r="GH66" s="29">
        <v>0</v>
      </c>
      <c r="GI66" s="29">
        <v>0</v>
      </c>
      <c r="GJ66" s="29">
        <v>0</v>
      </c>
      <c r="GK66" s="29">
        <v>0</v>
      </c>
      <c r="GL66" s="29">
        <v>0</v>
      </c>
      <c r="GM66" s="29">
        <v>0</v>
      </c>
      <c r="GN66" s="29">
        <v>0</v>
      </c>
      <c r="GO66" s="29">
        <v>0</v>
      </c>
      <c r="GP66" s="29">
        <v>0</v>
      </c>
      <c r="GQ66" s="29">
        <v>0</v>
      </c>
      <c r="GR66" s="18">
        <v>1</v>
      </c>
      <c r="GS66" s="41">
        <v>2</v>
      </c>
      <c r="GT66" s="41" t="str">
        <f t="shared" si="3"/>
        <v>PURO</v>
      </c>
      <c r="GU66" s="41">
        <v>818</v>
      </c>
      <c r="GV66" s="41">
        <v>51</v>
      </c>
      <c r="GW66" s="41">
        <v>0</v>
      </c>
      <c r="GX66" s="41">
        <v>24.38</v>
      </c>
      <c r="GY66" s="41"/>
      <c r="GZ66" s="41">
        <v>0</v>
      </c>
      <c r="HA66" s="41">
        <v>0</v>
      </c>
      <c r="HB66" s="42">
        <v>0</v>
      </c>
      <c r="HC66" s="42">
        <v>0</v>
      </c>
      <c r="HD66" s="41">
        <v>0</v>
      </c>
      <c r="HE66" s="41">
        <v>0</v>
      </c>
      <c r="HF66" s="41">
        <v>0</v>
      </c>
      <c r="HG66" s="41">
        <v>0</v>
      </c>
      <c r="HH66" s="41">
        <v>0</v>
      </c>
      <c r="HI66" s="41">
        <v>0</v>
      </c>
      <c r="HJ66" s="41">
        <v>0</v>
      </c>
      <c r="HK66" s="41">
        <v>0</v>
      </c>
      <c r="HL66" s="41">
        <v>0</v>
      </c>
      <c r="HM66" s="41">
        <v>0</v>
      </c>
      <c r="HN66" s="41">
        <v>0</v>
      </c>
      <c r="HO66" s="41">
        <v>0</v>
      </c>
      <c r="HP66" s="41">
        <v>0</v>
      </c>
      <c r="HQ66" s="41">
        <v>0</v>
      </c>
      <c r="HR66" s="41">
        <v>0</v>
      </c>
      <c r="HS66" s="24">
        <v>1</v>
      </c>
      <c r="HT66" s="41">
        <v>3</v>
      </c>
      <c r="HU66" s="41" t="str">
        <f t="shared" si="4"/>
        <v>PUDT</v>
      </c>
      <c r="HV66" s="41">
        <v>818</v>
      </c>
      <c r="HW66" s="41">
        <v>51</v>
      </c>
      <c r="HX66" s="41">
        <v>0</v>
      </c>
      <c r="HY66" s="41">
        <v>25.44</v>
      </c>
      <c r="HZ66" s="42"/>
      <c r="IA66" s="41">
        <v>0</v>
      </c>
      <c r="IB66" s="41">
        <v>0</v>
      </c>
      <c r="IC66" s="42">
        <v>0</v>
      </c>
      <c r="ID66" s="42">
        <v>0</v>
      </c>
      <c r="IE66" s="41">
        <v>0</v>
      </c>
      <c r="IF66" s="43">
        <v>0</v>
      </c>
      <c r="IG66" s="41">
        <v>0</v>
      </c>
      <c r="IH66" s="41">
        <v>0</v>
      </c>
      <c r="II66" s="41">
        <v>0</v>
      </c>
      <c r="IJ66" s="41">
        <v>0</v>
      </c>
      <c r="IK66" s="41">
        <v>0</v>
      </c>
      <c r="IL66" s="41">
        <v>0</v>
      </c>
      <c r="IM66" s="41">
        <v>0</v>
      </c>
      <c r="IN66" s="41">
        <v>0</v>
      </c>
      <c r="IO66" s="41">
        <v>0</v>
      </c>
      <c r="IP66" s="41">
        <v>0</v>
      </c>
      <c r="IQ66" s="41">
        <v>0</v>
      </c>
      <c r="IR66" s="41">
        <v>0</v>
      </c>
      <c r="IS66" s="41">
        <v>0</v>
      </c>
      <c r="IT66" s="17">
        <v>1</v>
      </c>
      <c r="IU66" s="41">
        <v>4</v>
      </c>
      <c r="IV66" s="41" t="str">
        <f t="shared" si="5"/>
        <v>PUDS</v>
      </c>
      <c r="IW66" s="41">
        <v>818</v>
      </c>
      <c r="IX66" s="41">
        <v>51</v>
      </c>
      <c r="IY66" s="41">
        <v>0</v>
      </c>
      <c r="IZ66" s="41">
        <v>11.66</v>
      </c>
      <c r="JA66" s="42"/>
      <c r="JB66" s="41">
        <v>0</v>
      </c>
      <c r="JC66" s="41">
        <v>0</v>
      </c>
      <c r="JD66" s="42">
        <v>0</v>
      </c>
      <c r="JE66" s="42">
        <v>0</v>
      </c>
      <c r="JF66" s="41">
        <v>0</v>
      </c>
      <c r="JG66" s="41">
        <v>0</v>
      </c>
      <c r="JH66" s="41">
        <v>0</v>
      </c>
      <c r="JI66" s="41">
        <v>0</v>
      </c>
      <c r="JJ66" s="41">
        <v>0</v>
      </c>
      <c r="JK66" s="41">
        <v>0</v>
      </c>
      <c r="JL66" s="41">
        <v>0</v>
      </c>
      <c r="JM66" s="41">
        <v>0</v>
      </c>
      <c r="JN66" s="41">
        <v>0</v>
      </c>
      <c r="JO66" s="41">
        <v>0</v>
      </c>
      <c r="JP66" s="41">
        <v>0</v>
      </c>
      <c r="JQ66" s="41">
        <v>0</v>
      </c>
      <c r="JR66" s="41">
        <v>0</v>
      </c>
      <c r="JS66" s="41">
        <v>0</v>
      </c>
      <c r="JT66" s="41">
        <v>0</v>
      </c>
      <c r="JU66"/>
    </row>
    <row r="67" spans="1:281" ht="15.75">
      <c r="A67" s="25">
        <v>61</v>
      </c>
      <c r="B67" s="25">
        <v>20190301</v>
      </c>
      <c r="C67" s="25"/>
      <c r="D67" s="25" t="s">
        <v>132</v>
      </c>
      <c r="E67" s="25" t="s">
        <v>132</v>
      </c>
      <c r="F67" s="25" t="s">
        <v>133</v>
      </c>
      <c r="G67" s="25"/>
      <c r="H67" s="25">
        <v>100000061</v>
      </c>
      <c r="I67" s="25" t="s">
        <v>134</v>
      </c>
      <c r="J67" s="25" t="s">
        <v>135</v>
      </c>
      <c r="K67" s="25" t="s">
        <v>132</v>
      </c>
      <c r="L67" s="25">
        <v>4</v>
      </c>
      <c r="M67" s="25">
        <v>1</v>
      </c>
      <c r="N67" s="25">
        <v>1</v>
      </c>
      <c r="O67" s="45" t="s">
        <v>148</v>
      </c>
      <c r="P67" s="25">
        <v>100</v>
      </c>
      <c r="Q67" s="25">
        <v>20180301</v>
      </c>
      <c r="R67" s="25">
        <v>20180301</v>
      </c>
      <c r="S67" s="25" t="s">
        <v>137</v>
      </c>
      <c r="T67" s="25" t="s">
        <v>147</v>
      </c>
      <c r="U67" s="25">
        <v>20190301</v>
      </c>
      <c r="V67" s="25">
        <v>6</v>
      </c>
      <c r="W67" s="25">
        <v>6</v>
      </c>
      <c r="X67" s="25" t="s">
        <v>139</v>
      </c>
      <c r="Y67" s="25">
        <v>0</v>
      </c>
      <c r="Z67" s="25" t="s">
        <v>140</v>
      </c>
      <c r="AA67" s="25">
        <v>818</v>
      </c>
      <c r="AB67" s="41">
        <v>0</v>
      </c>
      <c r="AC67" s="41">
        <v>12</v>
      </c>
      <c r="AD67" s="41">
        <v>20180201</v>
      </c>
      <c r="AE67" s="41">
        <v>0</v>
      </c>
      <c r="AF67" s="26">
        <v>10000</v>
      </c>
      <c r="AG67" s="41">
        <v>65</v>
      </c>
      <c r="AH67" s="26">
        <v>24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0</v>
      </c>
      <c r="AT67" s="26">
        <v>0</v>
      </c>
      <c r="AU67" s="26">
        <v>0</v>
      </c>
      <c r="AV67" s="26">
        <v>0</v>
      </c>
      <c r="AW67" s="26">
        <v>0</v>
      </c>
      <c r="AX67" s="26">
        <v>0</v>
      </c>
      <c r="AY67" s="46">
        <v>1</v>
      </c>
      <c r="AZ67" s="25">
        <v>2</v>
      </c>
      <c r="BA67" s="41" t="s">
        <v>203</v>
      </c>
      <c r="BB67" s="41">
        <v>100</v>
      </c>
      <c r="BC67" s="41">
        <v>20180301</v>
      </c>
      <c r="BD67" s="41">
        <v>20180301</v>
      </c>
      <c r="BE67" s="41" t="s">
        <v>198</v>
      </c>
      <c r="BF67" s="41" t="s">
        <v>149</v>
      </c>
      <c r="BG67" s="41">
        <v>20180301</v>
      </c>
      <c r="BH67" s="41">
        <v>0</v>
      </c>
      <c r="BI67" s="41">
        <v>0</v>
      </c>
      <c r="BJ67" s="41"/>
      <c r="BK67" s="41">
        <v>0</v>
      </c>
      <c r="BL67" s="41" t="s">
        <v>140</v>
      </c>
      <c r="BM67" s="41">
        <v>818</v>
      </c>
      <c r="BN67" s="41">
        <v>0</v>
      </c>
      <c r="BO67" s="41">
        <v>12</v>
      </c>
      <c r="BP67" s="41">
        <v>20180201</v>
      </c>
      <c r="BQ67" s="41">
        <v>0</v>
      </c>
      <c r="BR67" s="41">
        <v>0</v>
      </c>
      <c r="BS67" s="41">
        <v>21</v>
      </c>
      <c r="BT67" s="25">
        <v>24</v>
      </c>
      <c r="BU67" s="25">
        <v>0</v>
      </c>
      <c r="BV67" s="25">
        <v>0</v>
      </c>
      <c r="BW67" s="25">
        <v>0</v>
      </c>
      <c r="BX67" s="25">
        <v>0</v>
      </c>
      <c r="BY67" s="25">
        <v>0</v>
      </c>
      <c r="BZ67" s="25">
        <v>0</v>
      </c>
      <c r="CA67" s="25">
        <v>0</v>
      </c>
      <c r="CB67" s="25">
        <v>0</v>
      </c>
      <c r="CC67" s="25">
        <v>0</v>
      </c>
      <c r="CD67" s="25">
        <v>0</v>
      </c>
      <c r="CE67" s="25">
        <v>0</v>
      </c>
      <c r="CF67" s="25">
        <v>0</v>
      </c>
      <c r="CG67" s="25">
        <v>0</v>
      </c>
      <c r="CH67" s="25">
        <v>0</v>
      </c>
      <c r="CI67" s="25">
        <v>0</v>
      </c>
      <c r="CJ67" s="25">
        <v>0</v>
      </c>
      <c r="CK67" s="22">
        <v>1</v>
      </c>
      <c r="CL67" s="25">
        <v>3</v>
      </c>
      <c r="CM67" s="41" t="s">
        <v>150</v>
      </c>
      <c r="CN67" s="41">
        <v>100</v>
      </c>
      <c r="CO67" s="41">
        <v>20180301</v>
      </c>
      <c r="CP67" s="41">
        <v>20180301</v>
      </c>
      <c r="CQ67" s="41" t="s">
        <v>198</v>
      </c>
      <c r="CR67" s="41" t="s">
        <v>200</v>
      </c>
      <c r="CS67" s="41">
        <v>20180301</v>
      </c>
      <c r="CT67" s="41">
        <v>0</v>
      </c>
      <c r="CU67" s="41">
        <v>0</v>
      </c>
      <c r="CV67" s="41"/>
      <c r="CW67" s="41">
        <v>0</v>
      </c>
      <c r="CX67" s="41" t="s">
        <v>140</v>
      </c>
      <c r="CY67" s="41">
        <v>818</v>
      </c>
      <c r="CZ67" s="41">
        <v>0</v>
      </c>
      <c r="DA67" s="41">
        <v>12</v>
      </c>
      <c r="DB67" s="41">
        <v>20180201</v>
      </c>
      <c r="DC67" s="41">
        <v>0</v>
      </c>
      <c r="DD67" s="41">
        <v>0</v>
      </c>
      <c r="DE67" s="41">
        <v>22</v>
      </c>
      <c r="DF67" s="25">
        <v>24</v>
      </c>
      <c r="DG67" s="25">
        <v>0</v>
      </c>
      <c r="DH67" s="25">
        <v>0</v>
      </c>
      <c r="DI67" s="25">
        <v>0</v>
      </c>
      <c r="DJ67" s="25">
        <v>0</v>
      </c>
      <c r="DK67" s="25">
        <v>0</v>
      </c>
      <c r="DL67" s="25">
        <v>0</v>
      </c>
      <c r="DM67" s="25">
        <v>0</v>
      </c>
      <c r="DN67" s="25">
        <v>0</v>
      </c>
      <c r="DO67" s="25">
        <v>0</v>
      </c>
      <c r="DP67" s="25">
        <v>0</v>
      </c>
      <c r="DQ67" s="25">
        <v>0</v>
      </c>
      <c r="DR67" s="25">
        <v>0</v>
      </c>
      <c r="DS67" s="25">
        <v>0</v>
      </c>
      <c r="DT67" s="25">
        <v>0</v>
      </c>
      <c r="DU67" s="25">
        <v>0</v>
      </c>
      <c r="DV67" s="25">
        <v>0</v>
      </c>
      <c r="DW67" s="23">
        <v>1</v>
      </c>
      <c r="DX67" s="25">
        <v>4</v>
      </c>
      <c r="DY67" s="41" t="s">
        <v>151</v>
      </c>
      <c r="DZ67" s="41">
        <v>100</v>
      </c>
      <c r="EA67" s="41">
        <v>20180301</v>
      </c>
      <c r="EB67" s="41">
        <v>20180301</v>
      </c>
      <c r="EC67" s="41" t="s">
        <v>198</v>
      </c>
      <c r="ED67" s="41" t="s">
        <v>201</v>
      </c>
      <c r="EE67" s="41">
        <v>20180301</v>
      </c>
      <c r="EF67" s="41">
        <v>0</v>
      </c>
      <c r="EG67" s="41">
        <v>0</v>
      </c>
      <c r="EH67" s="41"/>
      <c r="EI67" s="41">
        <v>0</v>
      </c>
      <c r="EJ67" s="41" t="s">
        <v>140</v>
      </c>
      <c r="EK67" s="41">
        <v>818</v>
      </c>
      <c r="EL67" s="41">
        <v>0</v>
      </c>
      <c r="EM67" s="41">
        <v>12</v>
      </c>
      <c r="EN67" s="41">
        <v>20180201</v>
      </c>
      <c r="EO67" s="41">
        <v>0</v>
      </c>
      <c r="EP67" s="41">
        <v>0</v>
      </c>
      <c r="EQ67" s="41">
        <v>10</v>
      </c>
      <c r="ER67" s="25">
        <v>24</v>
      </c>
      <c r="ES67" s="25">
        <v>0</v>
      </c>
      <c r="ET67" s="25">
        <v>0</v>
      </c>
      <c r="EU67" s="25">
        <v>0</v>
      </c>
      <c r="EV67" s="25">
        <v>0</v>
      </c>
      <c r="EW67" s="25">
        <v>0</v>
      </c>
      <c r="EX67" s="25">
        <v>0</v>
      </c>
      <c r="EY67" s="25">
        <v>0</v>
      </c>
      <c r="EZ67" s="25">
        <v>0</v>
      </c>
      <c r="FA67" s="25">
        <v>0</v>
      </c>
      <c r="FB67" s="25">
        <v>0</v>
      </c>
      <c r="FC67" s="25">
        <v>0</v>
      </c>
      <c r="FD67" s="25">
        <v>0</v>
      </c>
      <c r="FE67" s="25">
        <v>0</v>
      </c>
      <c r="FF67" s="25">
        <v>0</v>
      </c>
      <c r="FG67" s="25">
        <v>0</v>
      </c>
      <c r="FH67" s="25">
        <v>0</v>
      </c>
      <c r="FI67" s="25">
        <v>1</v>
      </c>
      <c r="FJ67" s="25">
        <v>1</v>
      </c>
      <c r="FK67" s="25">
        <v>1</v>
      </c>
      <c r="FL67" s="25">
        <v>24</v>
      </c>
      <c r="FM67" s="25" t="s">
        <v>137</v>
      </c>
      <c r="FN67" s="25">
        <v>19950101</v>
      </c>
      <c r="FP67" s="28">
        <v>4</v>
      </c>
      <c r="FQ67" s="47">
        <v>1</v>
      </c>
      <c r="FR67" s="41">
        <v>1</v>
      </c>
      <c r="FS67" s="41" t="str">
        <f t="shared" si="0"/>
        <v>MFEF</v>
      </c>
      <c r="FT67" s="41">
        <f t="shared" si="1"/>
        <v>818</v>
      </c>
      <c r="FU67" s="41">
        <f t="shared" si="2"/>
        <v>24</v>
      </c>
      <c r="FV67" s="41">
        <v>10600</v>
      </c>
      <c r="FW67" s="41">
        <v>68.900000000000006</v>
      </c>
      <c r="FX67" s="41"/>
      <c r="FY67" s="29">
        <v>0</v>
      </c>
      <c r="FZ67" s="29">
        <v>0</v>
      </c>
      <c r="GA67" s="30">
        <v>0</v>
      </c>
      <c r="GB67" s="30">
        <v>0</v>
      </c>
      <c r="GC67" s="29">
        <v>0</v>
      </c>
      <c r="GD67" s="41">
        <v>0</v>
      </c>
      <c r="GE67" s="29">
        <v>0</v>
      </c>
      <c r="GF67" s="29">
        <v>0</v>
      </c>
      <c r="GG67" s="29">
        <v>0</v>
      </c>
      <c r="GH67" s="29">
        <v>0</v>
      </c>
      <c r="GI67" s="29">
        <v>0</v>
      </c>
      <c r="GJ67" s="29">
        <v>0</v>
      </c>
      <c r="GK67" s="29">
        <v>0</v>
      </c>
      <c r="GL67" s="29">
        <v>0</v>
      </c>
      <c r="GM67" s="29">
        <v>0</v>
      </c>
      <c r="GN67" s="29">
        <v>0</v>
      </c>
      <c r="GO67" s="29">
        <v>0</v>
      </c>
      <c r="GP67" s="29">
        <v>0</v>
      </c>
      <c r="GQ67" s="29">
        <v>0</v>
      </c>
      <c r="GR67" s="18">
        <v>1</v>
      </c>
      <c r="GS67" s="41">
        <v>2</v>
      </c>
      <c r="GT67" s="41" t="str">
        <f t="shared" si="3"/>
        <v>PURO</v>
      </c>
      <c r="GU67" s="41">
        <v>818</v>
      </c>
      <c r="GV67" s="41">
        <v>71</v>
      </c>
      <c r="GW67" s="41">
        <v>0</v>
      </c>
      <c r="GX67" s="41">
        <v>22.26</v>
      </c>
      <c r="GY67" s="41"/>
      <c r="GZ67" s="41">
        <v>0</v>
      </c>
      <c r="HA67" s="41">
        <v>0</v>
      </c>
      <c r="HB67" s="42">
        <v>0</v>
      </c>
      <c r="HC67" s="42">
        <v>0</v>
      </c>
      <c r="HD67" s="41">
        <v>0</v>
      </c>
      <c r="HE67" s="41">
        <v>0</v>
      </c>
      <c r="HF67" s="41">
        <v>0</v>
      </c>
      <c r="HG67" s="41">
        <v>0</v>
      </c>
      <c r="HH67" s="41">
        <v>0</v>
      </c>
      <c r="HI67" s="41">
        <v>0</v>
      </c>
      <c r="HJ67" s="41">
        <v>0</v>
      </c>
      <c r="HK67" s="41">
        <v>0</v>
      </c>
      <c r="HL67" s="41">
        <v>0</v>
      </c>
      <c r="HM67" s="41">
        <v>0</v>
      </c>
      <c r="HN67" s="41">
        <v>0</v>
      </c>
      <c r="HO67" s="41">
        <v>0</v>
      </c>
      <c r="HP67" s="41">
        <v>0</v>
      </c>
      <c r="HQ67" s="41">
        <v>0</v>
      </c>
      <c r="HR67" s="41">
        <v>0</v>
      </c>
      <c r="HS67" s="24">
        <v>1</v>
      </c>
      <c r="HT67" s="41">
        <v>3</v>
      </c>
      <c r="HU67" s="41" t="str">
        <f t="shared" si="4"/>
        <v>PUDT</v>
      </c>
      <c r="HV67" s="41">
        <v>818</v>
      </c>
      <c r="HW67" s="41">
        <v>71</v>
      </c>
      <c r="HX67" s="41">
        <v>0</v>
      </c>
      <c r="HY67" s="41">
        <v>23.32</v>
      </c>
      <c r="HZ67" s="42"/>
      <c r="IA67" s="41">
        <v>0</v>
      </c>
      <c r="IB67" s="41">
        <v>0</v>
      </c>
      <c r="IC67" s="42">
        <v>0</v>
      </c>
      <c r="ID67" s="42">
        <v>0</v>
      </c>
      <c r="IE67" s="41">
        <v>0</v>
      </c>
      <c r="IF67" s="43">
        <v>0</v>
      </c>
      <c r="IG67" s="41">
        <v>0</v>
      </c>
      <c r="IH67" s="41">
        <v>0</v>
      </c>
      <c r="II67" s="41">
        <v>0</v>
      </c>
      <c r="IJ67" s="41">
        <v>0</v>
      </c>
      <c r="IK67" s="41">
        <v>0</v>
      </c>
      <c r="IL67" s="41">
        <v>0</v>
      </c>
      <c r="IM67" s="41">
        <v>0</v>
      </c>
      <c r="IN67" s="41">
        <v>0</v>
      </c>
      <c r="IO67" s="41">
        <v>0</v>
      </c>
      <c r="IP67" s="41">
        <v>0</v>
      </c>
      <c r="IQ67" s="41">
        <v>0</v>
      </c>
      <c r="IR67" s="41">
        <v>0</v>
      </c>
      <c r="IS67" s="41">
        <v>0</v>
      </c>
      <c r="IT67" s="17">
        <v>1</v>
      </c>
      <c r="IU67" s="41">
        <v>4</v>
      </c>
      <c r="IV67" s="41" t="str">
        <f t="shared" si="5"/>
        <v>PUDS</v>
      </c>
      <c r="IW67" s="41">
        <v>818</v>
      </c>
      <c r="IX67" s="41">
        <v>71</v>
      </c>
      <c r="IY67" s="41">
        <v>0</v>
      </c>
      <c r="IZ67" s="41">
        <v>10.6</v>
      </c>
      <c r="JA67" s="42"/>
      <c r="JB67" s="41">
        <v>0</v>
      </c>
      <c r="JC67" s="41">
        <v>0</v>
      </c>
      <c r="JD67" s="42">
        <v>0</v>
      </c>
      <c r="JE67" s="42">
        <v>0</v>
      </c>
      <c r="JF67" s="41">
        <v>0</v>
      </c>
      <c r="JG67" s="41">
        <v>0</v>
      </c>
      <c r="JH67" s="41">
        <v>0</v>
      </c>
      <c r="JI67" s="41">
        <v>0</v>
      </c>
      <c r="JJ67" s="41">
        <v>0</v>
      </c>
      <c r="JK67" s="41">
        <v>0</v>
      </c>
      <c r="JL67" s="41">
        <v>0</v>
      </c>
      <c r="JM67" s="41">
        <v>0</v>
      </c>
      <c r="JN67" s="41">
        <v>0</v>
      </c>
      <c r="JO67" s="41">
        <v>0</v>
      </c>
      <c r="JP67" s="41">
        <v>0</v>
      </c>
      <c r="JQ67" s="41">
        <v>0</v>
      </c>
      <c r="JR67" s="41">
        <v>0</v>
      </c>
      <c r="JS67" s="41">
        <v>0</v>
      </c>
      <c r="JT67" s="41">
        <v>0</v>
      </c>
      <c r="JU67"/>
    </row>
    <row r="68" spans="1:281" ht="15.75">
      <c r="A68" s="25">
        <v>62</v>
      </c>
      <c r="B68" s="25">
        <v>20190301</v>
      </c>
      <c r="C68" s="25"/>
      <c r="D68" s="25" t="s">
        <v>132</v>
      </c>
      <c r="E68" s="25" t="s">
        <v>132</v>
      </c>
      <c r="F68" s="25" t="s">
        <v>133</v>
      </c>
      <c r="G68" s="25"/>
      <c r="H68" s="25">
        <v>100000062</v>
      </c>
      <c r="I68" s="25" t="s">
        <v>134</v>
      </c>
      <c r="J68" s="25" t="s">
        <v>135</v>
      </c>
      <c r="K68" s="25" t="s">
        <v>132</v>
      </c>
      <c r="L68" s="25">
        <v>4</v>
      </c>
      <c r="M68" s="25">
        <v>1</v>
      </c>
      <c r="N68" s="25">
        <v>1</v>
      </c>
      <c r="O68" s="45" t="s">
        <v>148</v>
      </c>
      <c r="P68" s="25">
        <v>100</v>
      </c>
      <c r="Q68" s="25">
        <v>20180301</v>
      </c>
      <c r="R68" s="25">
        <v>20180301</v>
      </c>
      <c r="S68" s="25" t="s">
        <v>137</v>
      </c>
      <c r="T68" s="25" t="s">
        <v>147</v>
      </c>
      <c r="U68" s="25">
        <v>20190301</v>
      </c>
      <c r="V68" s="25">
        <v>6</v>
      </c>
      <c r="W68" s="25">
        <v>6</v>
      </c>
      <c r="X68" s="25" t="s">
        <v>139</v>
      </c>
      <c r="Y68" s="25">
        <v>0</v>
      </c>
      <c r="Z68" s="25" t="s">
        <v>140</v>
      </c>
      <c r="AA68" s="25">
        <v>818</v>
      </c>
      <c r="AB68" s="41">
        <v>0</v>
      </c>
      <c r="AC68" s="41">
        <v>12</v>
      </c>
      <c r="AD68" s="41">
        <v>20180201</v>
      </c>
      <c r="AE68" s="41">
        <v>0</v>
      </c>
      <c r="AF68" s="26">
        <v>5000</v>
      </c>
      <c r="AG68" s="41">
        <v>57</v>
      </c>
      <c r="AH68" s="26">
        <v>23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0</v>
      </c>
      <c r="AU68" s="26">
        <v>0</v>
      </c>
      <c r="AV68" s="26">
        <v>0</v>
      </c>
      <c r="AW68" s="26">
        <v>0</v>
      </c>
      <c r="AX68" s="26">
        <v>0</v>
      </c>
      <c r="AY68" s="46">
        <v>1</v>
      </c>
      <c r="AZ68" s="25">
        <v>2</v>
      </c>
      <c r="BA68" s="41" t="s">
        <v>203</v>
      </c>
      <c r="BB68" s="41">
        <v>100</v>
      </c>
      <c r="BC68" s="41">
        <v>20180301</v>
      </c>
      <c r="BD68" s="41">
        <v>20180301</v>
      </c>
      <c r="BE68" s="41" t="s">
        <v>198</v>
      </c>
      <c r="BF68" s="41" t="s">
        <v>149</v>
      </c>
      <c r="BG68" s="41">
        <v>20180301</v>
      </c>
      <c r="BH68" s="41">
        <v>0</v>
      </c>
      <c r="BI68" s="41">
        <v>0</v>
      </c>
      <c r="BJ68" s="41"/>
      <c r="BK68" s="41">
        <v>0</v>
      </c>
      <c r="BL68" s="41" t="s">
        <v>140</v>
      </c>
      <c r="BM68" s="41">
        <v>818</v>
      </c>
      <c r="BN68" s="41">
        <v>0</v>
      </c>
      <c r="BO68" s="41">
        <v>12</v>
      </c>
      <c r="BP68" s="41">
        <v>20180201</v>
      </c>
      <c r="BQ68" s="41">
        <v>0</v>
      </c>
      <c r="BR68" s="41">
        <v>0</v>
      </c>
      <c r="BS68" s="41">
        <v>20</v>
      </c>
      <c r="BT68" s="25">
        <v>23</v>
      </c>
      <c r="BU68" s="25">
        <v>0</v>
      </c>
      <c r="BV68" s="25">
        <v>0</v>
      </c>
      <c r="BW68" s="25">
        <v>0</v>
      </c>
      <c r="BX68" s="25">
        <v>0</v>
      </c>
      <c r="BY68" s="25">
        <v>0</v>
      </c>
      <c r="BZ68" s="25">
        <v>0</v>
      </c>
      <c r="CA68" s="25">
        <v>0</v>
      </c>
      <c r="CB68" s="25">
        <v>0</v>
      </c>
      <c r="CC68" s="25">
        <v>0</v>
      </c>
      <c r="CD68" s="25">
        <v>0</v>
      </c>
      <c r="CE68" s="25">
        <v>0</v>
      </c>
      <c r="CF68" s="25">
        <v>0</v>
      </c>
      <c r="CG68" s="25">
        <v>0</v>
      </c>
      <c r="CH68" s="25">
        <v>0</v>
      </c>
      <c r="CI68" s="25">
        <v>0</v>
      </c>
      <c r="CJ68" s="25">
        <v>0</v>
      </c>
      <c r="CK68" s="22">
        <v>1</v>
      </c>
      <c r="CL68" s="25">
        <v>3</v>
      </c>
      <c r="CM68" s="41" t="s">
        <v>150</v>
      </c>
      <c r="CN68" s="41">
        <v>100</v>
      </c>
      <c r="CO68" s="41">
        <v>20180301</v>
      </c>
      <c r="CP68" s="41">
        <v>20180301</v>
      </c>
      <c r="CQ68" s="41" t="s">
        <v>198</v>
      </c>
      <c r="CR68" s="41" t="s">
        <v>200</v>
      </c>
      <c r="CS68" s="41">
        <v>20180301</v>
      </c>
      <c r="CT68" s="41">
        <v>0</v>
      </c>
      <c r="CU68" s="41">
        <v>0</v>
      </c>
      <c r="CV68" s="41"/>
      <c r="CW68" s="41">
        <v>0</v>
      </c>
      <c r="CX68" s="41" t="s">
        <v>140</v>
      </c>
      <c r="CY68" s="41">
        <v>818</v>
      </c>
      <c r="CZ68" s="41">
        <v>0</v>
      </c>
      <c r="DA68" s="41">
        <v>12</v>
      </c>
      <c r="DB68" s="41">
        <v>20180201</v>
      </c>
      <c r="DC68" s="41">
        <v>0</v>
      </c>
      <c r="DD68" s="41">
        <v>0</v>
      </c>
      <c r="DE68" s="41">
        <v>20</v>
      </c>
      <c r="DF68" s="25">
        <v>23</v>
      </c>
      <c r="DG68" s="25">
        <v>0</v>
      </c>
      <c r="DH68" s="25">
        <v>0</v>
      </c>
      <c r="DI68" s="25">
        <v>0</v>
      </c>
      <c r="DJ68" s="25">
        <v>0</v>
      </c>
      <c r="DK68" s="25">
        <v>0</v>
      </c>
      <c r="DL68" s="25">
        <v>0</v>
      </c>
      <c r="DM68" s="25">
        <v>0</v>
      </c>
      <c r="DN68" s="25">
        <v>0</v>
      </c>
      <c r="DO68" s="25">
        <v>0</v>
      </c>
      <c r="DP68" s="25">
        <v>0</v>
      </c>
      <c r="DQ68" s="25">
        <v>0</v>
      </c>
      <c r="DR68" s="25">
        <v>0</v>
      </c>
      <c r="DS68" s="25">
        <v>0</v>
      </c>
      <c r="DT68" s="25">
        <v>0</v>
      </c>
      <c r="DU68" s="25">
        <v>0</v>
      </c>
      <c r="DV68" s="25">
        <v>0</v>
      </c>
      <c r="DW68" s="23">
        <v>1</v>
      </c>
      <c r="DX68" s="25">
        <v>4</v>
      </c>
      <c r="DY68" s="41" t="s">
        <v>151</v>
      </c>
      <c r="DZ68" s="41">
        <v>100</v>
      </c>
      <c r="EA68" s="41">
        <v>20180301</v>
      </c>
      <c r="EB68" s="41">
        <v>20180301</v>
      </c>
      <c r="EC68" s="41" t="s">
        <v>198</v>
      </c>
      <c r="ED68" s="41" t="s">
        <v>201</v>
      </c>
      <c r="EE68" s="41">
        <v>20180301</v>
      </c>
      <c r="EF68" s="41">
        <v>0</v>
      </c>
      <c r="EG68" s="41">
        <v>0</v>
      </c>
      <c r="EH68" s="41"/>
      <c r="EI68" s="41">
        <v>0</v>
      </c>
      <c r="EJ68" s="41" t="s">
        <v>140</v>
      </c>
      <c r="EK68" s="41">
        <v>818</v>
      </c>
      <c r="EL68" s="41">
        <v>0</v>
      </c>
      <c r="EM68" s="41">
        <v>12</v>
      </c>
      <c r="EN68" s="41">
        <v>20180201</v>
      </c>
      <c r="EO68" s="41">
        <v>0</v>
      </c>
      <c r="EP68" s="41">
        <v>0</v>
      </c>
      <c r="EQ68" s="41">
        <v>10</v>
      </c>
      <c r="ER68" s="25">
        <v>23</v>
      </c>
      <c r="ES68" s="25">
        <v>0</v>
      </c>
      <c r="ET68" s="25">
        <v>0</v>
      </c>
      <c r="EU68" s="25">
        <v>0</v>
      </c>
      <c r="EV68" s="25">
        <v>0</v>
      </c>
      <c r="EW68" s="25">
        <v>0</v>
      </c>
      <c r="EX68" s="25">
        <v>0</v>
      </c>
      <c r="EY68" s="25">
        <v>0</v>
      </c>
      <c r="EZ68" s="25">
        <v>0</v>
      </c>
      <c r="FA68" s="25">
        <v>0</v>
      </c>
      <c r="FB68" s="25">
        <v>0</v>
      </c>
      <c r="FC68" s="25">
        <v>0</v>
      </c>
      <c r="FD68" s="25">
        <v>0</v>
      </c>
      <c r="FE68" s="25">
        <v>0</v>
      </c>
      <c r="FF68" s="25">
        <v>0</v>
      </c>
      <c r="FG68" s="25">
        <v>0</v>
      </c>
      <c r="FH68" s="25">
        <v>0</v>
      </c>
      <c r="FI68" s="25">
        <v>1</v>
      </c>
      <c r="FJ68" s="25">
        <v>1</v>
      </c>
      <c r="FK68" s="25">
        <v>1</v>
      </c>
      <c r="FL68" s="25">
        <v>23</v>
      </c>
      <c r="FM68" s="25" t="s">
        <v>137</v>
      </c>
      <c r="FN68" s="25">
        <v>19960101</v>
      </c>
      <c r="FP68" s="28">
        <v>4</v>
      </c>
      <c r="FQ68" s="47">
        <v>1</v>
      </c>
      <c r="FR68" s="41">
        <v>1</v>
      </c>
      <c r="FS68" s="41" t="str">
        <f t="shared" si="0"/>
        <v>MFEF</v>
      </c>
      <c r="FT68" s="41">
        <f t="shared" si="1"/>
        <v>818</v>
      </c>
      <c r="FU68" s="41">
        <f t="shared" si="2"/>
        <v>23</v>
      </c>
      <c r="FV68" s="41">
        <v>5300</v>
      </c>
      <c r="FW68" s="41">
        <v>60.42</v>
      </c>
      <c r="FX68" s="41"/>
      <c r="FY68" s="29">
        <v>0</v>
      </c>
      <c r="FZ68" s="29">
        <v>0</v>
      </c>
      <c r="GA68" s="30">
        <v>0</v>
      </c>
      <c r="GB68" s="30">
        <v>0</v>
      </c>
      <c r="GC68" s="29">
        <v>0</v>
      </c>
      <c r="GD68" s="41">
        <v>0</v>
      </c>
      <c r="GE68" s="29">
        <v>0</v>
      </c>
      <c r="GF68" s="29">
        <v>0</v>
      </c>
      <c r="GG68" s="29">
        <v>0</v>
      </c>
      <c r="GH68" s="29">
        <v>0</v>
      </c>
      <c r="GI68" s="29">
        <v>0</v>
      </c>
      <c r="GJ68" s="29">
        <v>0</v>
      </c>
      <c r="GK68" s="29">
        <v>0</v>
      </c>
      <c r="GL68" s="29">
        <v>0</v>
      </c>
      <c r="GM68" s="29">
        <v>0</v>
      </c>
      <c r="GN68" s="29">
        <v>0</v>
      </c>
      <c r="GO68" s="29">
        <v>0</v>
      </c>
      <c r="GP68" s="29">
        <v>0</v>
      </c>
      <c r="GQ68" s="29">
        <v>0</v>
      </c>
      <c r="GR68" s="18">
        <v>1</v>
      </c>
      <c r="GS68" s="41">
        <v>2</v>
      </c>
      <c r="GT68" s="41" t="str">
        <f t="shared" si="3"/>
        <v>PURO</v>
      </c>
      <c r="GU68" s="41">
        <v>818</v>
      </c>
      <c r="GV68" s="41">
        <v>72</v>
      </c>
      <c r="GW68" s="41">
        <v>0</v>
      </c>
      <c r="GX68" s="41">
        <v>21.2</v>
      </c>
      <c r="GY68" s="41"/>
      <c r="GZ68" s="41">
        <v>0</v>
      </c>
      <c r="HA68" s="41">
        <v>0</v>
      </c>
      <c r="HB68" s="42">
        <v>0</v>
      </c>
      <c r="HC68" s="42">
        <v>0</v>
      </c>
      <c r="HD68" s="41">
        <v>0</v>
      </c>
      <c r="HE68" s="41">
        <v>0</v>
      </c>
      <c r="HF68" s="41">
        <v>0</v>
      </c>
      <c r="HG68" s="41">
        <v>0</v>
      </c>
      <c r="HH68" s="41">
        <v>0</v>
      </c>
      <c r="HI68" s="41">
        <v>0</v>
      </c>
      <c r="HJ68" s="41">
        <v>0</v>
      </c>
      <c r="HK68" s="41">
        <v>0</v>
      </c>
      <c r="HL68" s="41">
        <v>0</v>
      </c>
      <c r="HM68" s="41">
        <v>0</v>
      </c>
      <c r="HN68" s="41">
        <v>0</v>
      </c>
      <c r="HO68" s="41">
        <v>0</v>
      </c>
      <c r="HP68" s="41">
        <v>0</v>
      </c>
      <c r="HQ68" s="41">
        <v>0</v>
      </c>
      <c r="HR68" s="41">
        <v>0</v>
      </c>
      <c r="HS68" s="24">
        <v>1</v>
      </c>
      <c r="HT68" s="41">
        <v>3</v>
      </c>
      <c r="HU68" s="41" t="str">
        <f t="shared" si="4"/>
        <v>PUDT</v>
      </c>
      <c r="HV68" s="41">
        <v>818</v>
      </c>
      <c r="HW68" s="41">
        <v>72</v>
      </c>
      <c r="HX68" s="41">
        <v>0</v>
      </c>
      <c r="HY68" s="41">
        <v>21.2</v>
      </c>
      <c r="HZ68" s="42"/>
      <c r="IA68" s="41">
        <v>0</v>
      </c>
      <c r="IB68" s="41">
        <v>0</v>
      </c>
      <c r="IC68" s="42">
        <v>0</v>
      </c>
      <c r="ID68" s="42">
        <v>0</v>
      </c>
      <c r="IE68" s="41">
        <v>0</v>
      </c>
      <c r="IF68" s="43">
        <v>0</v>
      </c>
      <c r="IG68" s="41">
        <v>0</v>
      </c>
      <c r="IH68" s="41">
        <v>0</v>
      </c>
      <c r="II68" s="41">
        <v>0</v>
      </c>
      <c r="IJ68" s="41">
        <v>0</v>
      </c>
      <c r="IK68" s="41">
        <v>0</v>
      </c>
      <c r="IL68" s="41">
        <v>0</v>
      </c>
      <c r="IM68" s="41">
        <v>0</v>
      </c>
      <c r="IN68" s="41">
        <v>0</v>
      </c>
      <c r="IO68" s="41">
        <v>0</v>
      </c>
      <c r="IP68" s="41">
        <v>0</v>
      </c>
      <c r="IQ68" s="41">
        <v>0</v>
      </c>
      <c r="IR68" s="41">
        <v>0</v>
      </c>
      <c r="IS68" s="41">
        <v>0</v>
      </c>
      <c r="IT68" s="17">
        <v>1</v>
      </c>
      <c r="IU68" s="41">
        <v>4</v>
      </c>
      <c r="IV68" s="41" t="str">
        <f t="shared" si="5"/>
        <v>PUDS</v>
      </c>
      <c r="IW68" s="41">
        <v>818</v>
      </c>
      <c r="IX68" s="41">
        <v>72</v>
      </c>
      <c r="IY68" s="41">
        <v>0</v>
      </c>
      <c r="IZ68" s="41">
        <v>10.6</v>
      </c>
      <c r="JA68" s="42"/>
      <c r="JB68" s="41">
        <v>0</v>
      </c>
      <c r="JC68" s="41">
        <v>0</v>
      </c>
      <c r="JD68" s="42">
        <v>0</v>
      </c>
      <c r="JE68" s="42">
        <v>0</v>
      </c>
      <c r="JF68" s="41">
        <v>0</v>
      </c>
      <c r="JG68" s="41">
        <v>0</v>
      </c>
      <c r="JH68" s="41">
        <v>0</v>
      </c>
      <c r="JI68" s="41">
        <v>0</v>
      </c>
      <c r="JJ68" s="41">
        <v>0</v>
      </c>
      <c r="JK68" s="41">
        <v>0</v>
      </c>
      <c r="JL68" s="41">
        <v>0</v>
      </c>
      <c r="JM68" s="41">
        <v>0</v>
      </c>
      <c r="JN68" s="41">
        <v>0</v>
      </c>
      <c r="JO68" s="41">
        <v>0</v>
      </c>
      <c r="JP68" s="41">
        <v>0</v>
      </c>
      <c r="JQ68" s="41">
        <v>0</v>
      </c>
      <c r="JR68" s="41">
        <v>0</v>
      </c>
      <c r="JS68" s="41">
        <v>0</v>
      </c>
      <c r="JT68" s="41">
        <v>0</v>
      </c>
      <c r="JU68"/>
    </row>
    <row r="69" spans="1:281" ht="15.75">
      <c r="A69" s="25">
        <v>63</v>
      </c>
      <c r="B69" s="25">
        <v>20190301</v>
      </c>
      <c r="C69" s="25"/>
      <c r="D69" s="25" t="s">
        <v>132</v>
      </c>
      <c r="E69" s="25" t="s">
        <v>132</v>
      </c>
      <c r="F69" s="25" t="s">
        <v>133</v>
      </c>
      <c r="G69" s="25"/>
      <c r="H69" s="25">
        <v>100000063</v>
      </c>
      <c r="I69" s="25" t="s">
        <v>134</v>
      </c>
      <c r="J69" s="25" t="s">
        <v>135</v>
      </c>
      <c r="K69" s="25" t="s">
        <v>132</v>
      </c>
      <c r="L69" s="25">
        <v>4</v>
      </c>
      <c r="M69" s="25">
        <v>1</v>
      </c>
      <c r="N69" s="25">
        <v>1</v>
      </c>
      <c r="O69" s="45" t="s">
        <v>148</v>
      </c>
      <c r="P69" s="25">
        <v>100</v>
      </c>
      <c r="Q69" s="25">
        <v>20180301</v>
      </c>
      <c r="R69" s="25">
        <v>20180301</v>
      </c>
      <c r="S69" s="25" t="s">
        <v>137</v>
      </c>
      <c r="T69" s="25" t="s">
        <v>147</v>
      </c>
      <c r="U69" s="25">
        <v>20190301</v>
      </c>
      <c r="V69" s="25">
        <v>6</v>
      </c>
      <c r="W69" s="25">
        <v>6</v>
      </c>
      <c r="X69" s="25" t="s">
        <v>139</v>
      </c>
      <c r="Y69" s="25">
        <v>0</v>
      </c>
      <c r="Z69" s="25" t="s">
        <v>140</v>
      </c>
      <c r="AA69" s="25">
        <v>818</v>
      </c>
      <c r="AB69" s="41">
        <v>0</v>
      </c>
      <c r="AC69" s="41">
        <v>12</v>
      </c>
      <c r="AD69" s="41">
        <v>20180201</v>
      </c>
      <c r="AE69" s="41">
        <v>0</v>
      </c>
      <c r="AF69" s="26">
        <v>5000</v>
      </c>
      <c r="AG69" s="41">
        <v>57</v>
      </c>
      <c r="AH69" s="26">
        <v>22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0</v>
      </c>
      <c r="AU69" s="26">
        <v>0</v>
      </c>
      <c r="AV69" s="26">
        <v>0</v>
      </c>
      <c r="AW69" s="26">
        <v>0</v>
      </c>
      <c r="AX69" s="26">
        <v>0</v>
      </c>
      <c r="AY69" s="46">
        <v>1</v>
      </c>
      <c r="AZ69" s="25">
        <v>2</v>
      </c>
      <c r="BA69" s="41" t="s">
        <v>203</v>
      </c>
      <c r="BB69" s="41">
        <v>100</v>
      </c>
      <c r="BC69" s="41">
        <v>20180301</v>
      </c>
      <c r="BD69" s="41">
        <v>20180301</v>
      </c>
      <c r="BE69" s="41" t="s">
        <v>198</v>
      </c>
      <c r="BF69" s="41" t="s">
        <v>149</v>
      </c>
      <c r="BG69" s="41">
        <v>20180301</v>
      </c>
      <c r="BH69" s="41">
        <v>0</v>
      </c>
      <c r="BI69" s="41">
        <v>0</v>
      </c>
      <c r="BJ69" s="41"/>
      <c r="BK69" s="41">
        <v>0</v>
      </c>
      <c r="BL69" s="41" t="s">
        <v>140</v>
      </c>
      <c r="BM69" s="41">
        <v>818</v>
      </c>
      <c r="BN69" s="41">
        <v>0</v>
      </c>
      <c r="BO69" s="41">
        <v>12</v>
      </c>
      <c r="BP69" s="41">
        <v>20180201</v>
      </c>
      <c r="BQ69" s="41">
        <v>0</v>
      </c>
      <c r="BR69" s="41">
        <v>0</v>
      </c>
      <c r="BS69" s="41">
        <v>20</v>
      </c>
      <c r="BT69" s="25">
        <v>22</v>
      </c>
      <c r="BU69" s="25">
        <v>0</v>
      </c>
      <c r="BV69" s="25">
        <v>0</v>
      </c>
      <c r="BW69" s="25">
        <v>0</v>
      </c>
      <c r="BX69" s="25">
        <v>0</v>
      </c>
      <c r="BY69" s="25">
        <v>0</v>
      </c>
      <c r="BZ69" s="25">
        <v>0</v>
      </c>
      <c r="CA69" s="25">
        <v>0</v>
      </c>
      <c r="CB69" s="25">
        <v>0</v>
      </c>
      <c r="CC69" s="25">
        <v>0</v>
      </c>
      <c r="CD69" s="25">
        <v>0</v>
      </c>
      <c r="CE69" s="25">
        <v>0</v>
      </c>
      <c r="CF69" s="25">
        <v>0</v>
      </c>
      <c r="CG69" s="25">
        <v>0</v>
      </c>
      <c r="CH69" s="25">
        <v>0</v>
      </c>
      <c r="CI69" s="25">
        <v>0</v>
      </c>
      <c r="CJ69" s="25">
        <v>0</v>
      </c>
      <c r="CK69" s="22">
        <v>1</v>
      </c>
      <c r="CL69" s="25">
        <v>3</v>
      </c>
      <c r="CM69" s="41" t="s">
        <v>150</v>
      </c>
      <c r="CN69" s="41">
        <v>100</v>
      </c>
      <c r="CO69" s="41">
        <v>20180301</v>
      </c>
      <c r="CP69" s="41">
        <v>20180301</v>
      </c>
      <c r="CQ69" s="41" t="s">
        <v>198</v>
      </c>
      <c r="CR69" s="41" t="s">
        <v>200</v>
      </c>
      <c r="CS69" s="41">
        <v>20180301</v>
      </c>
      <c r="CT69" s="41">
        <v>0</v>
      </c>
      <c r="CU69" s="41">
        <v>0</v>
      </c>
      <c r="CV69" s="41"/>
      <c r="CW69" s="41">
        <v>0</v>
      </c>
      <c r="CX69" s="41" t="s">
        <v>140</v>
      </c>
      <c r="CY69" s="41">
        <v>818</v>
      </c>
      <c r="CZ69" s="41">
        <v>0</v>
      </c>
      <c r="DA69" s="41">
        <v>12</v>
      </c>
      <c r="DB69" s="41">
        <v>20180201</v>
      </c>
      <c r="DC69" s="41">
        <v>0</v>
      </c>
      <c r="DD69" s="41">
        <v>0</v>
      </c>
      <c r="DE69" s="41">
        <v>20</v>
      </c>
      <c r="DF69" s="25">
        <v>22</v>
      </c>
      <c r="DG69" s="25">
        <v>0</v>
      </c>
      <c r="DH69" s="25">
        <v>0</v>
      </c>
      <c r="DI69" s="25">
        <v>0</v>
      </c>
      <c r="DJ69" s="25">
        <v>0</v>
      </c>
      <c r="DK69" s="25">
        <v>0</v>
      </c>
      <c r="DL69" s="25">
        <v>0</v>
      </c>
      <c r="DM69" s="25">
        <v>0</v>
      </c>
      <c r="DN69" s="25">
        <v>0</v>
      </c>
      <c r="DO69" s="25">
        <v>0</v>
      </c>
      <c r="DP69" s="25">
        <v>0</v>
      </c>
      <c r="DQ69" s="25">
        <v>0</v>
      </c>
      <c r="DR69" s="25">
        <v>0</v>
      </c>
      <c r="DS69" s="25">
        <v>0</v>
      </c>
      <c r="DT69" s="25">
        <v>0</v>
      </c>
      <c r="DU69" s="25">
        <v>0</v>
      </c>
      <c r="DV69" s="25">
        <v>0</v>
      </c>
      <c r="DW69" s="23">
        <v>1</v>
      </c>
      <c r="DX69" s="25">
        <v>4</v>
      </c>
      <c r="DY69" s="41" t="s">
        <v>151</v>
      </c>
      <c r="DZ69" s="41">
        <v>100</v>
      </c>
      <c r="EA69" s="41">
        <v>20180301</v>
      </c>
      <c r="EB69" s="41">
        <v>20180301</v>
      </c>
      <c r="EC69" s="41" t="s">
        <v>198</v>
      </c>
      <c r="ED69" s="41" t="s">
        <v>201</v>
      </c>
      <c r="EE69" s="41">
        <v>20180301</v>
      </c>
      <c r="EF69" s="41">
        <v>0</v>
      </c>
      <c r="EG69" s="41">
        <v>0</v>
      </c>
      <c r="EH69" s="41"/>
      <c r="EI69" s="41">
        <v>0</v>
      </c>
      <c r="EJ69" s="41" t="s">
        <v>140</v>
      </c>
      <c r="EK69" s="41">
        <v>818</v>
      </c>
      <c r="EL69" s="41">
        <v>0</v>
      </c>
      <c r="EM69" s="41">
        <v>12</v>
      </c>
      <c r="EN69" s="41">
        <v>20180201</v>
      </c>
      <c r="EO69" s="41">
        <v>0</v>
      </c>
      <c r="EP69" s="41">
        <v>0</v>
      </c>
      <c r="EQ69" s="41">
        <v>10</v>
      </c>
      <c r="ER69" s="25">
        <v>22</v>
      </c>
      <c r="ES69" s="25">
        <v>0</v>
      </c>
      <c r="ET69" s="25">
        <v>0</v>
      </c>
      <c r="EU69" s="25">
        <v>0</v>
      </c>
      <c r="EV69" s="25">
        <v>0</v>
      </c>
      <c r="EW69" s="25">
        <v>0</v>
      </c>
      <c r="EX69" s="25">
        <v>0</v>
      </c>
      <c r="EY69" s="25">
        <v>0</v>
      </c>
      <c r="EZ69" s="25">
        <v>0</v>
      </c>
      <c r="FA69" s="25">
        <v>0</v>
      </c>
      <c r="FB69" s="25">
        <v>0</v>
      </c>
      <c r="FC69" s="25">
        <v>0</v>
      </c>
      <c r="FD69" s="25">
        <v>0</v>
      </c>
      <c r="FE69" s="25">
        <v>0</v>
      </c>
      <c r="FF69" s="25">
        <v>0</v>
      </c>
      <c r="FG69" s="25">
        <v>0</v>
      </c>
      <c r="FH69" s="25">
        <v>0</v>
      </c>
      <c r="FI69" s="25">
        <v>1</v>
      </c>
      <c r="FJ69" s="25">
        <v>1</v>
      </c>
      <c r="FK69" s="25">
        <v>1</v>
      </c>
      <c r="FL69" s="25">
        <v>22</v>
      </c>
      <c r="FM69" s="25" t="s">
        <v>137</v>
      </c>
      <c r="FN69" s="25">
        <v>19970101</v>
      </c>
      <c r="FP69" s="28">
        <v>4</v>
      </c>
      <c r="FQ69" s="47">
        <v>1</v>
      </c>
      <c r="FR69" s="41">
        <v>1</v>
      </c>
      <c r="FS69" s="41" t="str">
        <f t="shared" si="0"/>
        <v>MFEF</v>
      </c>
      <c r="FT69" s="41">
        <f t="shared" si="1"/>
        <v>818</v>
      </c>
      <c r="FU69" s="41">
        <f t="shared" si="2"/>
        <v>22</v>
      </c>
      <c r="FV69" s="41">
        <v>5300</v>
      </c>
      <c r="FW69" s="41">
        <v>60.42</v>
      </c>
      <c r="FX69" s="41"/>
      <c r="FY69" s="29">
        <v>0</v>
      </c>
      <c r="FZ69" s="29">
        <v>0</v>
      </c>
      <c r="GA69" s="30">
        <v>0</v>
      </c>
      <c r="GB69" s="30">
        <v>0</v>
      </c>
      <c r="GC69" s="29">
        <v>0</v>
      </c>
      <c r="GD69" s="41">
        <v>0</v>
      </c>
      <c r="GE69" s="29">
        <v>0</v>
      </c>
      <c r="GF69" s="29">
        <v>0</v>
      </c>
      <c r="GG69" s="29">
        <v>0</v>
      </c>
      <c r="GH69" s="29">
        <v>0</v>
      </c>
      <c r="GI69" s="29">
        <v>0</v>
      </c>
      <c r="GJ69" s="29">
        <v>0</v>
      </c>
      <c r="GK69" s="29">
        <v>0</v>
      </c>
      <c r="GL69" s="29">
        <v>0</v>
      </c>
      <c r="GM69" s="29">
        <v>0</v>
      </c>
      <c r="GN69" s="29">
        <v>0</v>
      </c>
      <c r="GO69" s="29">
        <v>0</v>
      </c>
      <c r="GP69" s="29">
        <v>0</v>
      </c>
      <c r="GQ69" s="29">
        <v>0</v>
      </c>
      <c r="GR69" s="18">
        <v>1</v>
      </c>
      <c r="GS69" s="41">
        <v>2</v>
      </c>
      <c r="GT69" s="41" t="str">
        <f t="shared" si="3"/>
        <v>PURO</v>
      </c>
      <c r="GU69" s="41">
        <v>818</v>
      </c>
      <c r="GV69" s="41">
        <v>73</v>
      </c>
      <c r="GW69" s="41">
        <v>0</v>
      </c>
      <c r="GX69" s="41">
        <v>21.2</v>
      </c>
      <c r="GY69" s="41"/>
      <c r="GZ69" s="41">
        <v>0</v>
      </c>
      <c r="HA69" s="41">
        <v>0</v>
      </c>
      <c r="HB69" s="42">
        <v>0</v>
      </c>
      <c r="HC69" s="42">
        <v>0</v>
      </c>
      <c r="HD69" s="41">
        <v>0</v>
      </c>
      <c r="HE69" s="41">
        <v>0</v>
      </c>
      <c r="HF69" s="41">
        <v>0</v>
      </c>
      <c r="HG69" s="41">
        <v>0</v>
      </c>
      <c r="HH69" s="41">
        <v>0</v>
      </c>
      <c r="HI69" s="41">
        <v>0</v>
      </c>
      <c r="HJ69" s="41">
        <v>0</v>
      </c>
      <c r="HK69" s="41">
        <v>0</v>
      </c>
      <c r="HL69" s="41">
        <v>0</v>
      </c>
      <c r="HM69" s="41">
        <v>0</v>
      </c>
      <c r="HN69" s="41">
        <v>0</v>
      </c>
      <c r="HO69" s="41">
        <v>0</v>
      </c>
      <c r="HP69" s="41">
        <v>0</v>
      </c>
      <c r="HQ69" s="41">
        <v>0</v>
      </c>
      <c r="HR69" s="41">
        <v>0</v>
      </c>
      <c r="HS69" s="24">
        <v>1</v>
      </c>
      <c r="HT69" s="41">
        <v>3</v>
      </c>
      <c r="HU69" s="41" t="str">
        <f t="shared" si="4"/>
        <v>PUDT</v>
      </c>
      <c r="HV69" s="41">
        <v>818</v>
      </c>
      <c r="HW69" s="41">
        <v>73</v>
      </c>
      <c r="HX69" s="41">
        <v>0</v>
      </c>
      <c r="HY69" s="41">
        <v>21.2</v>
      </c>
      <c r="HZ69" s="42"/>
      <c r="IA69" s="41">
        <v>0</v>
      </c>
      <c r="IB69" s="41">
        <v>0</v>
      </c>
      <c r="IC69" s="42">
        <v>0</v>
      </c>
      <c r="ID69" s="42">
        <v>0</v>
      </c>
      <c r="IE69" s="41">
        <v>0</v>
      </c>
      <c r="IF69" s="43">
        <v>0</v>
      </c>
      <c r="IG69" s="41">
        <v>0</v>
      </c>
      <c r="IH69" s="41">
        <v>0</v>
      </c>
      <c r="II69" s="41">
        <v>0</v>
      </c>
      <c r="IJ69" s="41">
        <v>0</v>
      </c>
      <c r="IK69" s="41">
        <v>0</v>
      </c>
      <c r="IL69" s="41">
        <v>0</v>
      </c>
      <c r="IM69" s="41">
        <v>0</v>
      </c>
      <c r="IN69" s="41">
        <v>0</v>
      </c>
      <c r="IO69" s="41">
        <v>0</v>
      </c>
      <c r="IP69" s="41">
        <v>0</v>
      </c>
      <c r="IQ69" s="41">
        <v>0</v>
      </c>
      <c r="IR69" s="41">
        <v>0</v>
      </c>
      <c r="IS69" s="41">
        <v>0</v>
      </c>
      <c r="IT69" s="17">
        <v>1</v>
      </c>
      <c r="IU69" s="41">
        <v>4</v>
      </c>
      <c r="IV69" s="41" t="str">
        <f t="shared" si="5"/>
        <v>PUDS</v>
      </c>
      <c r="IW69" s="41">
        <v>818</v>
      </c>
      <c r="IX69" s="41">
        <v>73</v>
      </c>
      <c r="IY69" s="41">
        <v>0</v>
      </c>
      <c r="IZ69" s="41">
        <v>10.6</v>
      </c>
      <c r="JA69" s="42"/>
      <c r="JB69" s="41">
        <v>0</v>
      </c>
      <c r="JC69" s="41">
        <v>0</v>
      </c>
      <c r="JD69" s="42">
        <v>0</v>
      </c>
      <c r="JE69" s="42">
        <v>0</v>
      </c>
      <c r="JF69" s="41">
        <v>0</v>
      </c>
      <c r="JG69" s="41">
        <v>0</v>
      </c>
      <c r="JH69" s="41">
        <v>0</v>
      </c>
      <c r="JI69" s="41">
        <v>0</v>
      </c>
      <c r="JJ69" s="41">
        <v>0</v>
      </c>
      <c r="JK69" s="41">
        <v>0</v>
      </c>
      <c r="JL69" s="41">
        <v>0</v>
      </c>
      <c r="JM69" s="41">
        <v>0</v>
      </c>
      <c r="JN69" s="41">
        <v>0</v>
      </c>
      <c r="JO69" s="41">
        <v>0</v>
      </c>
      <c r="JP69" s="41">
        <v>0</v>
      </c>
      <c r="JQ69" s="41">
        <v>0</v>
      </c>
      <c r="JR69" s="41">
        <v>0</v>
      </c>
      <c r="JS69" s="41">
        <v>0</v>
      </c>
      <c r="JT69" s="41">
        <v>0</v>
      </c>
      <c r="JU69"/>
    </row>
    <row r="70" spans="1:281" ht="15.75">
      <c r="A70" s="25">
        <v>64</v>
      </c>
      <c r="B70" s="25">
        <v>20190301</v>
      </c>
      <c r="C70" s="25"/>
      <c r="D70" s="25" t="s">
        <v>132</v>
      </c>
      <c r="E70" s="25" t="s">
        <v>132</v>
      </c>
      <c r="F70" s="25" t="s">
        <v>133</v>
      </c>
      <c r="G70" s="25"/>
      <c r="H70" s="25">
        <v>100000064</v>
      </c>
      <c r="I70" s="25" t="s">
        <v>134</v>
      </c>
      <c r="J70" s="25" t="s">
        <v>135</v>
      </c>
      <c r="K70" s="25" t="s">
        <v>132</v>
      </c>
      <c r="L70" s="25">
        <v>4</v>
      </c>
      <c r="M70" s="25">
        <v>1</v>
      </c>
      <c r="N70" s="25">
        <v>1</v>
      </c>
      <c r="O70" s="45" t="s">
        <v>148</v>
      </c>
      <c r="P70" s="25">
        <v>100</v>
      </c>
      <c r="Q70" s="25">
        <v>20180301</v>
      </c>
      <c r="R70" s="25">
        <v>20180301</v>
      </c>
      <c r="S70" s="25" t="s">
        <v>137</v>
      </c>
      <c r="T70" s="25" t="s">
        <v>138</v>
      </c>
      <c r="U70" s="25">
        <v>20190301</v>
      </c>
      <c r="V70" s="25">
        <v>6</v>
      </c>
      <c r="W70" s="25">
        <v>6</v>
      </c>
      <c r="X70" s="25" t="s">
        <v>139</v>
      </c>
      <c r="Y70" s="25">
        <v>0</v>
      </c>
      <c r="Z70" s="25" t="s">
        <v>140</v>
      </c>
      <c r="AA70" s="25">
        <v>818</v>
      </c>
      <c r="AB70" s="41">
        <v>0</v>
      </c>
      <c r="AC70" s="41">
        <v>12</v>
      </c>
      <c r="AD70" s="41">
        <v>20180201</v>
      </c>
      <c r="AE70" s="41">
        <v>0</v>
      </c>
      <c r="AF70" s="26">
        <v>5000</v>
      </c>
      <c r="AG70" s="41">
        <v>57</v>
      </c>
      <c r="AH70" s="26">
        <v>21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0</v>
      </c>
      <c r="AU70" s="26">
        <v>0</v>
      </c>
      <c r="AV70" s="26">
        <v>0</v>
      </c>
      <c r="AW70" s="26">
        <v>0</v>
      </c>
      <c r="AX70" s="26">
        <v>0</v>
      </c>
      <c r="AY70" s="46">
        <v>1</v>
      </c>
      <c r="AZ70" s="25">
        <v>2</v>
      </c>
      <c r="BA70" s="41" t="s">
        <v>203</v>
      </c>
      <c r="BB70" s="41">
        <v>100</v>
      </c>
      <c r="BC70" s="41">
        <v>20180301</v>
      </c>
      <c r="BD70" s="41">
        <v>20180301</v>
      </c>
      <c r="BE70" s="41" t="s">
        <v>198</v>
      </c>
      <c r="BF70" s="41" t="s">
        <v>149</v>
      </c>
      <c r="BG70" s="41">
        <v>20180301</v>
      </c>
      <c r="BH70" s="41">
        <v>0</v>
      </c>
      <c r="BI70" s="41">
        <v>0</v>
      </c>
      <c r="BJ70" s="41"/>
      <c r="BK70" s="41">
        <v>0</v>
      </c>
      <c r="BL70" s="41" t="s">
        <v>140</v>
      </c>
      <c r="BM70" s="41">
        <v>818</v>
      </c>
      <c r="BN70" s="41">
        <v>0</v>
      </c>
      <c r="BO70" s="41">
        <v>12</v>
      </c>
      <c r="BP70" s="41">
        <v>20180201</v>
      </c>
      <c r="BQ70" s="41">
        <v>0</v>
      </c>
      <c r="BR70" s="41">
        <v>0</v>
      </c>
      <c r="BS70" s="41">
        <v>20</v>
      </c>
      <c r="BT70" s="25">
        <v>21</v>
      </c>
      <c r="BU70" s="25">
        <v>0</v>
      </c>
      <c r="BV70" s="25">
        <v>0</v>
      </c>
      <c r="BW70" s="25">
        <v>0</v>
      </c>
      <c r="BX70" s="25">
        <v>0</v>
      </c>
      <c r="BY70" s="25">
        <v>0</v>
      </c>
      <c r="BZ70" s="25">
        <v>0</v>
      </c>
      <c r="CA70" s="25">
        <v>0</v>
      </c>
      <c r="CB70" s="25">
        <v>0</v>
      </c>
      <c r="CC70" s="25">
        <v>0</v>
      </c>
      <c r="CD70" s="25">
        <v>0</v>
      </c>
      <c r="CE70" s="25">
        <v>0</v>
      </c>
      <c r="CF70" s="25">
        <v>0</v>
      </c>
      <c r="CG70" s="25">
        <v>0</v>
      </c>
      <c r="CH70" s="25">
        <v>0</v>
      </c>
      <c r="CI70" s="25">
        <v>0</v>
      </c>
      <c r="CJ70" s="25">
        <v>0</v>
      </c>
      <c r="CK70" s="22">
        <v>1</v>
      </c>
      <c r="CL70" s="25">
        <v>3</v>
      </c>
      <c r="CM70" s="41" t="s">
        <v>150</v>
      </c>
      <c r="CN70" s="41">
        <v>100</v>
      </c>
      <c r="CO70" s="41">
        <v>20180301</v>
      </c>
      <c r="CP70" s="41">
        <v>20180301</v>
      </c>
      <c r="CQ70" s="41" t="s">
        <v>198</v>
      </c>
      <c r="CR70" s="41" t="s">
        <v>200</v>
      </c>
      <c r="CS70" s="41">
        <v>20180301</v>
      </c>
      <c r="CT70" s="41">
        <v>0</v>
      </c>
      <c r="CU70" s="41">
        <v>0</v>
      </c>
      <c r="CV70" s="41"/>
      <c r="CW70" s="41">
        <v>0</v>
      </c>
      <c r="CX70" s="41" t="s">
        <v>140</v>
      </c>
      <c r="CY70" s="41">
        <v>818</v>
      </c>
      <c r="CZ70" s="41">
        <v>0</v>
      </c>
      <c r="DA70" s="41">
        <v>12</v>
      </c>
      <c r="DB70" s="41">
        <v>20180201</v>
      </c>
      <c r="DC70" s="41">
        <v>0</v>
      </c>
      <c r="DD70" s="41">
        <v>0</v>
      </c>
      <c r="DE70" s="41">
        <v>20</v>
      </c>
      <c r="DF70" s="25">
        <v>21</v>
      </c>
      <c r="DG70" s="25">
        <v>0</v>
      </c>
      <c r="DH70" s="25">
        <v>0</v>
      </c>
      <c r="DI70" s="25">
        <v>0</v>
      </c>
      <c r="DJ70" s="25">
        <v>0</v>
      </c>
      <c r="DK70" s="25">
        <v>0</v>
      </c>
      <c r="DL70" s="25">
        <v>0</v>
      </c>
      <c r="DM70" s="25">
        <v>0</v>
      </c>
      <c r="DN70" s="25">
        <v>0</v>
      </c>
      <c r="DO70" s="25">
        <v>0</v>
      </c>
      <c r="DP70" s="25">
        <v>0</v>
      </c>
      <c r="DQ70" s="25">
        <v>0</v>
      </c>
      <c r="DR70" s="25">
        <v>0</v>
      </c>
      <c r="DS70" s="25">
        <v>0</v>
      </c>
      <c r="DT70" s="25">
        <v>0</v>
      </c>
      <c r="DU70" s="25">
        <v>0</v>
      </c>
      <c r="DV70" s="25">
        <v>0</v>
      </c>
      <c r="DW70" s="23">
        <v>1</v>
      </c>
      <c r="DX70" s="25">
        <v>4</v>
      </c>
      <c r="DY70" s="41" t="s">
        <v>151</v>
      </c>
      <c r="DZ70" s="41">
        <v>100</v>
      </c>
      <c r="EA70" s="41">
        <v>20180301</v>
      </c>
      <c r="EB70" s="41">
        <v>20180301</v>
      </c>
      <c r="EC70" s="41" t="s">
        <v>198</v>
      </c>
      <c r="ED70" s="41" t="s">
        <v>201</v>
      </c>
      <c r="EE70" s="41">
        <v>20180301</v>
      </c>
      <c r="EF70" s="41">
        <v>0</v>
      </c>
      <c r="EG70" s="41">
        <v>0</v>
      </c>
      <c r="EH70" s="41"/>
      <c r="EI70" s="41">
        <v>0</v>
      </c>
      <c r="EJ70" s="41" t="s">
        <v>140</v>
      </c>
      <c r="EK70" s="41">
        <v>818</v>
      </c>
      <c r="EL70" s="41">
        <v>0</v>
      </c>
      <c r="EM70" s="41">
        <v>12</v>
      </c>
      <c r="EN70" s="41">
        <v>20180201</v>
      </c>
      <c r="EO70" s="41">
        <v>0</v>
      </c>
      <c r="EP70" s="41">
        <v>0</v>
      </c>
      <c r="EQ70" s="41">
        <v>10</v>
      </c>
      <c r="ER70" s="25">
        <v>21</v>
      </c>
      <c r="ES70" s="25">
        <v>0</v>
      </c>
      <c r="ET70" s="25">
        <v>0</v>
      </c>
      <c r="EU70" s="25">
        <v>0</v>
      </c>
      <c r="EV70" s="25">
        <v>0</v>
      </c>
      <c r="EW70" s="25">
        <v>0</v>
      </c>
      <c r="EX70" s="25">
        <v>0</v>
      </c>
      <c r="EY70" s="25">
        <v>0</v>
      </c>
      <c r="EZ70" s="25">
        <v>0</v>
      </c>
      <c r="FA70" s="25">
        <v>0</v>
      </c>
      <c r="FB70" s="25">
        <v>0</v>
      </c>
      <c r="FC70" s="25">
        <v>0</v>
      </c>
      <c r="FD70" s="25">
        <v>0</v>
      </c>
      <c r="FE70" s="25">
        <v>0</v>
      </c>
      <c r="FF70" s="25">
        <v>0</v>
      </c>
      <c r="FG70" s="25">
        <v>0</v>
      </c>
      <c r="FH70" s="25">
        <v>0</v>
      </c>
      <c r="FI70" s="25">
        <v>1</v>
      </c>
      <c r="FJ70" s="25">
        <v>1</v>
      </c>
      <c r="FK70" s="25">
        <v>1</v>
      </c>
      <c r="FL70" s="25">
        <v>21</v>
      </c>
      <c r="FM70" s="25" t="s">
        <v>137</v>
      </c>
      <c r="FN70" s="25">
        <v>19980101</v>
      </c>
      <c r="FP70" s="28">
        <v>4</v>
      </c>
      <c r="FQ70" s="47">
        <v>1</v>
      </c>
      <c r="FR70" s="41">
        <v>1</v>
      </c>
      <c r="FS70" s="41" t="str">
        <f t="shared" si="0"/>
        <v>MFEF</v>
      </c>
      <c r="FT70" s="41">
        <f t="shared" si="1"/>
        <v>818</v>
      </c>
      <c r="FU70" s="41">
        <f t="shared" si="2"/>
        <v>21</v>
      </c>
      <c r="FV70" s="41">
        <v>5300</v>
      </c>
      <c r="FW70" s="41">
        <v>60.42</v>
      </c>
      <c r="FX70" s="41"/>
      <c r="FY70" s="29">
        <v>0</v>
      </c>
      <c r="FZ70" s="29">
        <v>0</v>
      </c>
      <c r="GA70" s="30">
        <v>0</v>
      </c>
      <c r="GB70" s="30">
        <v>0</v>
      </c>
      <c r="GC70" s="29">
        <v>0</v>
      </c>
      <c r="GD70" s="41">
        <v>0</v>
      </c>
      <c r="GE70" s="29">
        <v>0</v>
      </c>
      <c r="GF70" s="29">
        <v>0</v>
      </c>
      <c r="GG70" s="29">
        <v>0</v>
      </c>
      <c r="GH70" s="29">
        <v>0</v>
      </c>
      <c r="GI70" s="29">
        <v>0</v>
      </c>
      <c r="GJ70" s="29">
        <v>0</v>
      </c>
      <c r="GK70" s="29">
        <v>0</v>
      </c>
      <c r="GL70" s="29">
        <v>0</v>
      </c>
      <c r="GM70" s="29">
        <v>0</v>
      </c>
      <c r="GN70" s="29">
        <v>0</v>
      </c>
      <c r="GO70" s="29">
        <v>0</v>
      </c>
      <c r="GP70" s="29">
        <v>0</v>
      </c>
      <c r="GQ70" s="29">
        <v>0</v>
      </c>
      <c r="GR70" s="18">
        <v>1</v>
      </c>
      <c r="GS70" s="41">
        <v>2</v>
      </c>
      <c r="GT70" s="41" t="str">
        <f t="shared" si="3"/>
        <v>PURO</v>
      </c>
      <c r="GU70" s="41">
        <v>818</v>
      </c>
      <c r="GV70" s="41">
        <v>24</v>
      </c>
      <c r="GW70" s="41">
        <v>0</v>
      </c>
      <c r="GX70" s="41">
        <v>21.2</v>
      </c>
      <c r="GY70" s="41"/>
      <c r="GZ70" s="41">
        <v>0</v>
      </c>
      <c r="HA70" s="41">
        <v>0</v>
      </c>
      <c r="HB70" s="42">
        <v>0</v>
      </c>
      <c r="HC70" s="42">
        <v>0</v>
      </c>
      <c r="HD70" s="41">
        <v>0</v>
      </c>
      <c r="HE70" s="41">
        <v>0</v>
      </c>
      <c r="HF70" s="41">
        <v>0</v>
      </c>
      <c r="HG70" s="41">
        <v>0</v>
      </c>
      <c r="HH70" s="41">
        <v>0</v>
      </c>
      <c r="HI70" s="41">
        <v>0</v>
      </c>
      <c r="HJ70" s="41">
        <v>0</v>
      </c>
      <c r="HK70" s="41">
        <v>0</v>
      </c>
      <c r="HL70" s="41">
        <v>0</v>
      </c>
      <c r="HM70" s="41">
        <v>0</v>
      </c>
      <c r="HN70" s="41">
        <v>0</v>
      </c>
      <c r="HO70" s="41">
        <v>0</v>
      </c>
      <c r="HP70" s="41">
        <v>0</v>
      </c>
      <c r="HQ70" s="41">
        <v>0</v>
      </c>
      <c r="HR70" s="41">
        <v>0</v>
      </c>
      <c r="HS70" s="24">
        <v>1</v>
      </c>
      <c r="HT70" s="41">
        <v>3</v>
      </c>
      <c r="HU70" s="41" t="str">
        <f t="shared" si="4"/>
        <v>PUDT</v>
      </c>
      <c r="HV70" s="41">
        <v>818</v>
      </c>
      <c r="HW70" s="41">
        <v>24</v>
      </c>
      <c r="HX70" s="41">
        <v>0</v>
      </c>
      <c r="HY70" s="41">
        <v>21.2</v>
      </c>
      <c r="HZ70" s="42"/>
      <c r="IA70" s="41">
        <v>0</v>
      </c>
      <c r="IB70" s="41">
        <v>0</v>
      </c>
      <c r="IC70" s="42">
        <v>0</v>
      </c>
      <c r="ID70" s="42">
        <v>0</v>
      </c>
      <c r="IE70" s="41">
        <v>0</v>
      </c>
      <c r="IF70" s="43">
        <v>0</v>
      </c>
      <c r="IG70" s="41">
        <v>0</v>
      </c>
      <c r="IH70" s="41">
        <v>0</v>
      </c>
      <c r="II70" s="41">
        <v>0</v>
      </c>
      <c r="IJ70" s="41">
        <v>0</v>
      </c>
      <c r="IK70" s="41">
        <v>0</v>
      </c>
      <c r="IL70" s="41">
        <v>0</v>
      </c>
      <c r="IM70" s="41">
        <v>0</v>
      </c>
      <c r="IN70" s="41">
        <v>0</v>
      </c>
      <c r="IO70" s="41">
        <v>0</v>
      </c>
      <c r="IP70" s="41">
        <v>0</v>
      </c>
      <c r="IQ70" s="41">
        <v>0</v>
      </c>
      <c r="IR70" s="41">
        <v>0</v>
      </c>
      <c r="IS70" s="41">
        <v>0</v>
      </c>
      <c r="IT70" s="17">
        <v>1</v>
      </c>
      <c r="IU70" s="41">
        <v>4</v>
      </c>
      <c r="IV70" s="41" t="str">
        <f t="shared" si="5"/>
        <v>PUDS</v>
      </c>
      <c r="IW70" s="41">
        <v>818</v>
      </c>
      <c r="IX70" s="41">
        <v>24</v>
      </c>
      <c r="IY70" s="41">
        <v>0</v>
      </c>
      <c r="IZ70" s="41">
        <v>10.6</v>
      </c>
      <c r="JA70" s="42"/>
      <c r="JB70" s="41">
        <v>0</v>
      </c>
      <c r="JC70" s="41">
        <v>0</v>
      </c>
      <c r="JD70" s="42">
        <v>0</v>
      </c>
      <c r="JE70" s="42">
        <v>0</v>
      </c>
      <c r="JF70" s="41">
        <v>0</v>
      </c>
      <c r="JG70" s="41">
        <v>0</v>
      </c>
      <c r="JH70" s="41">
        <v>0</v>
      </c>
      <c r="JI70" s="41">
        <v>0</v>
      </c>
      <c r="JJ70" s="41">
        <v>0</v>
      </c>
      <c r="JK70" s="41">
        <v>0</v>
      </c>
      <c r="JL70" s="41">
        <v>0</v>
      </c>
      <c r="JM70" s="41">
        <v>0</v>
      </c>
      <c r="JN70" s="41">
        <v>0</v>
      </c>
      <c r="JO70" s="41">
        <v>0</v>
      </c>
      <c r="JP70" s="41">
        <v>0</v>
      </c>
      <c r="JQ70" s="41">
        <v>0</v>
      </c>
      <c r="JR70" s="41">
        <v>0</v>
      </c>
      <c r="JS70" s="41">
        <v>0</v>
      </c>
      <c r="JT70" s="41">
        <v>0</v>
      </c>
      <c r="JU70"/>
    </row>
    <row r="71" spans="1:281" ht="15.75">
      <c r="A71" s="25">
        <v>65</v>
      </c>
      <c r="B71" s="25">
        <v>20190301</v>
      </c>
      <c r="C71" s="25"/>
      <c r="D71" s="25" t="s">
        <v>132</v>
      </c>
      <c r="E71" s="25" t="s">
        <v>132</v>
      </c>
      <c r="F71" s="25" t="s">
        <v>133</v>
      </c>
      <c r="G71" s="25"/>
      <c r="H71" s="25">
        <v>100000065</v>
      </c>
      <c r="I71" s="25" t="s">
        <v>134</v>
      </c>
      <c r="J71" s="25" t="s">
        <v>135</v>
      </c>
      <c r="K71" s="25" t="s">
        <v>132</v>
      </c>
      <c r="L71" s="25">
        <v>4</v>
      </c>
      <c r="M71" s="25">
        <v>1</v>
      </c>
      <c r="N71" s="25">
        <v>1</v>
      </c>
      <c r="O71" s="45" t="s">
        <v>141</v>
      </c>
      <c r="P71" s="25">
        <v>100</v>
      </c>
      <c r="Q71" s="25">
        <v>20180301</v>
      </c>
      <c r="R71" s="25">
        <v>20180301</v>
      </c>
      <c r="S71" s="25" t="s">
        <v>137</v>
      </c>
      <c r="T71" s="25" t="s">
        <v>138</v>
      </c>
      <c r="U71" s="25">
        <v>20190301</v>
      </c>
      <c r="V71" s="25">
        <v>10</v>
      </c>
      <c r="W71" s="25">
        <v>10</v>
      </c>
      <c r="X71" s="25" t="s">
        <v>139</v>
      </c>
      <c r="Y71" s="25">
        <v>0</v>
      </c>
      <c r="Z71" s="25" t="s">
        <v>140</v>
      </c>
      <c r="AA71" s="25">
        <v>818</v>
      </c>
      <c r="AB71" s="41">
        <v>0</v>
      </c>
      <c r="AC71" s="41">
        <v>12</v>
      </c>
      <c r="AD71" s="41">
        <v>20180201</v>
      </c>
      <c r="AE71" s="41">
        <v>0</v>
      </c>
      <c r="AF71" s="26">
        <v>10000</v>
      </c>
      <c r="AG71" s="41">
        <v>37</v>
      </c>
      <c r="AH71" s="26">
        <v>22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0</v>
      </c>
      <c r="AU71" s="26">
        <v>0</v>
      </c>
      <c r="AV71" s="26">
        <v>0</v>
      </c>
      <c r="AW71" s="26">
        <v>0</v>
      </c>
      <c r="AX71" s="26">
        <v>0</v>
      </c>
      <c r="AY71" s="46">
        <v>1</v>
      </c>
      <c r="AZ71" s="25">
        <v>2</v>
      </c>
      <c r="BA71" s="41" t="s">
        <v>203</v>
      </c>
      <c r="BB71" s="41">
        <v>100</v>
      </c>
      <c r="BC71" s="41">
        <v>20180301</v>
      </c>
      <c r="BD71" s="41">
        <v>20180301</v>
      </c>
      <c r="BE71" s="41" t="s">
        <v>198</v>
      </c>
      <c r="BF71" s="41" t="s">
        <v>149</v>
      </c>
      <c r="BG71" s="41">
        <v>20180301</v>
      </c>
      <c r="BH71" s="41">
        <v>0</v>
      </c>
      <c r="BI71" s="41">
        <v>0</v>
      </c>
      <c r="BJ71" s="41"/>
      <c r="BK71" s="41">
        <v>0</v>
      </c>
      <c r="BL71" s="41" t="s">
        <v>140</v>
      </c>
      <c r="BM71" s="41">
        <v>818</v>
      </c>
      <c r="BN71" s="41">
        <v>0</v>
      </c>
      <c r="BO71" s="41">
        <v>12</v>
      </c>
      <c r="BP71" s="41">
        <v>20180201</v>
      </c>
      <c r="BQ71" s="41">
        <v>0</v>
      </c>
      <c r="BR71" s="41">
        <v>0</v>
      </c>
      <c r="BS71" s="41">
        <v>5</v>
      </c>
      <c r="BT71" s="25">
        <v>22</v>
      </c>
      <c r="BU71" s="25">
        <v>0</v>
      </c>
      <c r="BV71" s="25">
        <v>0</v>
      </c>
      <c r="BW71" s="25">
        <v>0</v>
      </c>
      <c r="BX71" s="25">
        <v>0</v>
      </c>
      <c r="BY71" s="25">
        <v>0</v>
      </c>
      <c r="BZ71" s="25">
        <v>0</v>
      </c>
      <c r="CA71" s="25">
        <v>0</v>
      </c>
      <c r="CB71" s="25">
        <v>0</v>
      </c>
      <c r="CC71" s="25">
        <v>0</v>
      </c>
      <c r="CD71" s="25">
        <v>0</v>
      </c>
      <c r="CE71" s="25">
        <v>0</v>
      </c>
      <c r="CF71" s="25">
        <v>0</v>
      </c>
      <c r="CG71" s="25">
        <v>0</v>
      </c>
      <c r="CH71" s="25">
        <v>0</v>
      </c>
      <c r="CI71" s="25">
        <v>0</v>
      </c>
      <c r="CJ71" s="25">
        <v>0</v>
      </c>
      <c r="CK71" s="22">
        <v>1</v>
      </c>
      <c r="CL71" s="25">
        <v>3</v>
      </c>
      <c r="CM71" s="41" t="s">
        <v>150</v>
      </c>
      <c r="CN71" s="41">
        <v>100</v>
      </c>
      <c r="CO71" s="41">
        <v>20180301</v>
      </c>
      <c r="CP71" s="41">
        <v>20180301</v>
      </c>
      <c r="CQ71" s="41" t="s">
        <v>198</v>
      </c>
      <c r="CR71" s="41" t="s">
        <v>200</v>
      </c>
      <c r="CS71" s="41">
        <v>20180301</v>
      </c>
      <c r="CT71" s="41">
        <v>0</v>
      </c>
      <c r="CU71" s="41">
        <v>0</v>
      </c>
      <c r="CV71" s="41"/>
      <c r="CW71" s="41">
        <v>0</v>
      </c>
      <c r="CX71" s="41" t="s">
        <v>140</v>
      </c>
      <c r="CY71" s="41">
        <v>818</v>
      </c>
      <c r="CZ71" s="41">
        <v>0</v>
      </c>
      <c r="DA71" s="41">
        <v>12</v>
      </c>
      <c r="DB71" s="41">
        <v>20180201</v>
      </c>
      <c r="DC71" s="41">
        <v>0</v>
      </c>
      <c r="DD71" s="41">
        <v>0</v>
      </c>
      <c r="DE71" s="41">
        <v>7</v>
      </c>
      <c r="DF71" s="25">
        <v>22</v>
      </c>
      <c r="DG71" s="25">
        <v>0</v>
      </c>
      <c r="DH71" s="25">
        <v>0</v>
      </c>
      <c r="DI71" s="25">
        <v>0</v>
      </c>
      <c r="DJ71" s="25">
        <v>0</v>
      </c>
      <c r="DK71" s="25">
        <v>0</v>
      </c>
      <c r="DL71" s="25">
        <v>0</v>
      </c>
      <c r="DM71" s="25">
        <v>0</v>
      </c>
      <c r="DN71" s="25">
        <v>0</v>
      </c>
      <c r="DO71" s="25">
        <v>0</v>
      </c>
      <c r="DP71" s="25">
        <v>0</v>
      </c>
      <c r="DQ71" s="25">
        <v>0</v>
      </c>
      <c r="DR71" s="25">
        <v>0</v>
      </c>
      <c r="DS71" s="25">
        <v>0</v>
      </c>
      <c r="DT71" s="25">
        <v>0</v>
      </c>
      <c r="DU71" s="25">
        <v>0</v>
      </c>
      <c r="DV71" s="25">
        <v>0</v>
      </c>
      <c r="DW71" s="23">
        <v>1</v>
      </c>
      <c r="DX71" s="25">
        <v>4</v>
      </c>
      <c r="DY71" s="41" t="s">
        <v>151</v>
      </c>
      <c r="DZ71" s="41">
        <v>100</v>
      </c>
      <c r="EA71" s="41">
        <v>20180301</v>
      </c>
      <c r="EB71" s="41">
        <v>20180301</v>
      </c>
      <c r="EC71" s="41" t="s">
        <v>198</v>
      </c>
      <c r="ED71" s="41" t="s">
        <v>201</v>
      </c>
      <c r="EE71" s="41">
        <v>20180301</v>
      </c>
      <c r="EF71" s="41">
        <v>0</v>
      </c>
      <c r="EG71" s="41">
        <v>0</v>
      </c>
      <c r="EH71" s="41"/>
      <c r="EI71" s="41">
        <v>0</v>
      </c>
      <c r="EJ71" s="41" t="s">
        <v>140</v>
      </c>
      <c r="EK71" s="41">
        <v>818</v>
      </c>
      <c r="EL71" s="41">
        <v>0</v>
      </c>
      <c r="EM71" s="41">
        <v>12</v>
      </c>
      <c r="EN71" s="41">
        <v>20180201</v>
      </c>
      <c r="EO71" s="41">
        <v>0</v>
      </c>
      <c r="EP71" s="41">
        <v>0</v>
      </c>
      <c r="EQ71" s="41">
        <v>4</v>
      </c>
      <c r="ER71" s="25">
        <v>22</v>
      </c>
      <c r="ES71" s="25">
        <v>0</v>
      </c>
      <c r="ET71" s="25">
        <v>0</v>
      </c>
      <c r="EU71" s="25">
        <v>0</v>
      </c>
      <c r="EV71" s="25">
        <v>0</v>
      </c>
      <c r="EW71" s="25">
        <v>0</v>
      </c>
      <c r="EX71" s="25">
        <v>0</v>
      </c>
      <c r="EY71" s="25">
        <v>0</v>
      </c>
      <c r="EZ71" s="25">
        <v>0</v>
      </c>
      <c r="FA71" s="25">
        <v>0</v>
      </c>
      <c r="FB71" s="25">
        <v>0</v>
      </c>
      <c r="FC71" s="25">
        <v>0</v>
      </c>
      <c r="FD71" s="25">
        <v>0</v>
      </c>
      <c r="FE71" s="25">
        <v>0</v>
      </c>
      <c r="FF71" s="25">
        <v>0</v>
      </c>
      <c r="FG71" s="25">
        <v>0</v>
      </c>
      <c r="FH71" s="25">
        <v>0</v>
      </c>
      <c r="FI71" s="25">
        <v>1</v>
      </c>
      <c r="FJ71" s="25">
        <v>1</v>
      </c>
      <c r="FK71" s="25">
        <v>1</v>
      </c>
      <c r="FL71" s="25">
        <v>22</v>
      </c>
      <c r="FM71" s="25" t="s">
        <v>137</v>
      </c>
      <c r="FN71" s="25">
        <v>19970101</v>
      </c>
      <c r="FP71" s="28">
        <v>4</v>
      </c>
      <c r="FQ71" s="47">
        <v>1</v>
      </c>
      <c r="FR71" s="41">
        <v>1</v>
      </c>
      <c r="FS71" s="41" t="str">
        <f t="shared" si="0"/>
        <v>MFSP</v>
      </c>
      <c r="FT71" s="41">
        <f t="shared" si="1"/>
        <v>818</v>
      </c>
      <c r="FU71" s="41">
        <f t="shared" si="2"/>
        <v>22</v>
      </c>
      <c r="FV71" s="41">
        <v>11000</v>
      </c>
      <c r="FW71" s="41">
        <v>40.700000000000003</v>
      </c>
      <c r="FX71" s="41"/>
      <c r="FY71" s="29">
        <v>0</v>
      </c>
      <c r="FZ71" s="29">
        <v>0</v>
      </c>
      <c r="GA71" s="30">
        <v>0</v>
      </c>
      <c r="GB71" s="30">
        <v>0</v>
      </c>
      <c r="GC71" s="29">
        <v>0</v>
      </c>
      <c r="GD71" s="41">
        <v>0</v>
      </c>
      <c r="GE71" s="29">
        <v>0</v>
      </c>
      <c r="GF71" s="29">
        <v>0</v>
      </c>
      <c r="GG71" s="29">
        <v>0</v>
      </c>
      <c r="GH71" s="29">
        <v>0</v>
      </c>
      <c r="GI71" s="29">
        <v>0</v>
      </c>
      <c r="GJ71" s="29">
        <v>0</v>
      </c>
      <c r="GK71" s="29">
        <v>0</v>
      </c>
      <c r="GL71" s="29">
        <v>0</v>
      </c>
      <c r="GM71" s="29">
        <v>0</v>
      </c>
      <c r="GN71" s="29">
        <v>0</v>
      </c>
      <c r="GO71" s="29">
        <v>0</v>
      </c>
      <c r="GP71" s="29">
        <v>0</v>
      </c>
      <c r="GQ71" s="29">
        <v>0</v>
      </c>
      <c r="GR71" s="18">
        <v>1</v>
      </c>
      <c r="GS71" s="41">
        <v>2</v>
      </c>
      <c r="GT71" s="41" t="str">
        <f t="shared" si="3"/>
        <v>PURO</v>
      </c>
      <c r="GU71" s="41">
        <v>818</v>
      </c>
      <c r="GV71" s="41">
        <v>25</v>
      </c>
      <c r="GW71" s="41">
        <v>0</v>
      </c>
      <c r="GX71" s="41">
        <v>5.5</v>
      </c>
      <c r="GY71" s="41"/>
      <c r="GZ71" s="41">
        <v>0</v>
      </c>
      <c r="HA71" s="41">
        <v>0</v>
      </c>
      <c r="HB71" s="42">
        <v>0</v>
      </c>
      <c r="HC71" s="42">
        <v>0</v>
      </c>
      <c r="HD71" s="41">
        <v>0</v>
      </c>
      <c r="HE71" s="41">
        <v>0</v>
      </c>
      <c r="HF71" s="41">
        <v>0</v>
      </c>
      <c r="HG71" s="41">
        <v>0</v>
      </c>
      <c r="HH71" s="41">
        <v>0</v>
      </c>
      <c r="HI71" s="41">
        <v>0</v>
      </c>
      <c r="HJ71" s="41">
        <v>0</v>
      </c>
      <c r="HK71" s="41">
        <v>0</v>
      </c>
      <c r="HL71" s="41">
        <v>0</v>
      </c>
      <c r="HM71" s="41">
        <v>0</v>
      </c>
      <c r="HN71" s="41">
        <v>0</v>
      </c>
      <c r="HO71" s="41">
        <v>0</v>
      </c>
      <c r="HP71" s="41">
        <v>0</v>
      </c>
      <c r="HQ71" s="41">
        <v>0</v>
      </c>
      <c r="HR71" s="41">
        <v>0</v>
      </c>
      <c r="HS71" s="24">
        <v>1</v>
      </c>
      <c r="HT71" s="41">
        <v>3</v>
      </c>
      <c r="HU71" s="41" t="str">
        <f t="shared" si="4"/>
        <v>PUDT</v>
      </c>
      <c r="HV71" s="41">
        <v>818</v>
      </c>
      <c r="HW71" s="41">
        <v>25</v>
      </c>
      <c r="HX71" s="41">
        <v>0</v>
      </c>
      <c r="HY71" s="41">
        <v>7.7</v>
      </c>
      <c r="HZ71" s="42"/>
      <c r="IA71" s="41">
        <v>0</v>
      </c>
      <c r="IB71" s="41">
        <v>0</v>
      </c>
      <c r="IC71" s="42">
        <v>0</v>
      </c>
      <c r="ID71" s="42">
        <v>0</v>
      </c>
      <c r="IE71" s="41">
        <v>0</v>
      </c>
      <c r="IF71" s="43">
        <v>0</v>
      </c>
      <c r="IG71" s="41">
        <v>0</v>
      </c>
      <c r="IH71" s="41">
        <v>0</v>
      </c>
      <c r="II71" s="41">
        <v>0</v>
      </c>
      <c r="IJ71" s="41">
        <v>0</v>
      </c>
      <c r="IK71" s="41">
        <v>0</v>
      </c>
      <c r="IL71" s="41">
        <v>0</v>
      </c>
      <c r="IM71" s="41">
        <v>0</v>
      </c>
      <c r="IN71" s="41">
        <v>0</v>
      </c>
      <c r="IO71" s="41">
        <v>0</v>
      </c>
      <c r="IP71" s="41">
        <v>0</v>
      </c>
      <c r="IQ71" s="41">
        <v>0</v>
      </c>
      <c r="IR71" s="41">
        <v>0</v>
      </c>
      <c r="IS71" s="41">
        <v>0</v>
      </c>
      <c r="IT71" s="17">
        <v>1</v>
      </c>
      <c r="IU71" s="41">
        <v>4</v>
      </c>
      <c r="IV71" s="41" t="str">
        <f t="shared" si="5"/>
        <v>PUDS</v>
      </c>
      <c r="IW71" s="41">
        <v>818</v>
      </c>
      <c r="IX71" s="41">
        <v>25</v>
      </c>
      <c r="IY71" s="41">
        <v>0</v>
      </c>
      <c r="IZ71" s="41">
        <v>4.4000000000000004</v>
      </c>
      <c r="JA71" s="42"/>
      <c r="JB71" s="41">
        <v>0</v>
      </c>
      <c r="JC71" s="41">
        <v>0</v>
      </c>
      <c r="JD71" s="42">
        <v>0</v>
      </c>
      <c r="JE71" s="42">
        <v>0</v>
      </c>
      <c r="JF71" s="41">
        <v>0</v>
      </c>
      <c r="JG71" s="41">
        <v>0</v>
      </c>
      <c r="JH71" s="41">
        <v>0</v>
      </c>
      <c r="JI71" s="41">
        <v>0</v>
      </c>
      <c r="JJ71" s="41">
        <v>0</v>
      </c>
      <c r="JK71" s="41">
        <v>0</v>
      </c>
      <c r="JL71" s="41">
        <v>0</v>
      </c>
      <c r="JM71" s="41">
        <v>0</v>
      </c>
      <c r="JN71" s="41">
        <v>0</v>
      </c>
      <c r="JO71" s="41">
        <v>0</v>
      </c>
      <c r="JP71" s="41">
        <v>0</v>
      </c>
      <c r="JQ71" s="41">
        <v>0</v>
      </c>
      <c r="JR71" s="41">
        <v>0</v>
      </c>
      <c r="JS71" s="41">
        <v>0</v>
      </c>
      <c r="JT71" s="41">
        <v>0</v>
      </c>
      <c r="JU71"/>
    </row>
    <row r="72" spans="1:281" ht="15.75">
      <c r="A72" s="25">
        <v>66</v>
      </c>
      <c r="B72" s="25">
        <v>20190301</v>
      </c>
      <c r="C72" s="25"/>
      <c r="D72" s="25" t="s">
        <v>132</v>
      </c>
      <c r="E72" s="25" t="s">
        <v>132</v>
      </c>
      <c r="F72" s="25" t="s">
        <v>133</v>
      </c>
      <c r="G72" s="25"/>
      <c r="H72" s="25">
        <v>100000066</v>
      </c>
      <c r="I72" s="25" t="s">
        <v>134</v>
      </c>
      <c r="J72" s="25" t="s">
        <v>135</v>
      </c>
      <c r="K72" s="25" t="s">
        <v>132</v>
      </c>
      <c r="L72" s="25">
        <v>4</v>
      </c>
      <c r="M72" s="25">
        <v>1</v>
      </c>
      <c r="N72" s="25">
        <v>1</v>
      </c>
      <c r="O72" s="45" t="s">
        <v>141</v>
      </c>
      <c r="P72" s="25">
        <v>100</v>
      </c>
      <c r="Q72" s="25">
        <v>20180301</v>
      </c>
      <c r="R72" s="25">
        <v>20180301</v>
      </c>
      <c r="S72" s="25" t="s">
        <v>137</v>
      </c>
      <c r="T72" s="25" t="s">
        <v>138</v>
      </c>
      <c r="U72" s="25">
        <v>20190301</v>
      </c>
      <c r="V72" s="25">
        <v>10</v>
      </c>
      <c r="W72" s="25">
        <v>10</v>
      </c>
      <c r="X72" s="25" t="s">
        <v>139</v>
      </c>
      <c r="Y72" s="25">
        <v>0</v>
      </c>
      <c r="Z72" s="25" t="s">
        <v>140</v>
      </c>
      <c r="AA72" s="25">
        <v>818</v>
      </c>
      <c r="AB72" s="41">
        <v>0</v>
      </c>
      <c r="AC72" s="41">
        <v>12</v>
      </c>
      <c r="AD72" s="41">
        <v>20180201</v>
      </c>
      <c r="AE72" s="41">
        <v>0</v>
      </c>
      <c r="AF72" s="26">
        <v>15000</v>
      </c>
      <c r="AG72" s="41">
        <v>42</v>
      </c>
      <c r="AH72" s="26">
        <v>23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0</v>
      </c>
      <c r="AV72" s="26">
        <v>0</v>
      </c>
      <c r="AW72" s="26">
        <v>0</v>
      </c>
      <c r="AX72" s="26">
        <v>0</v>
      </c>
      <c r="AY72" s="46">
        <v>1</v>
      </c>
      <c r="AZ72" s="25">
        <v>2</v>
      </c>
      <c r="BA72" s="41" t="s">
        <v>203</v>
      </c>
      <c r="BB72" s="41">
        <v>100</v>
      </c>
      <c r="BC72" s="41">
        <v>20180301</v>
      </c>
      <c r="BD72" s="41">
        <v>20180301</v>
      </c>
      <c r="BE72" s="41" t="s">
        <v>198</v>
      </c>
      <c r="BF72" s="41" t="s">
        <v>149</v>
      </c>
      <c r="BG72" s="41">
        <v>20180301</v>
      </c>
      <c r="BH72" s="41">
        <v>0</v>
      </c>
      <c r="BI72" s="41">
        <v>0</v>
      </c>
      <c r="BJ72" s="41"/>
      <c r="BK72" s="41">
        <v>0</v>
      </c>
      <c r="BL72" s="41" t="s">
        <v>140</v>
      </c>
      <c r="BM72" s="41">
        <v>818</v>
      </c>
      <c r="BN72" s="41">
        <v>0</v>
      </c>
      <c r="BO72" s="41">
        <v>12</v>
      </c>
      <c r="BP72" s="41">
        <v>20180201</v>
      </c>
      <c r="BQ72" s="41">
        <v>0</v>
      </c>
      <c r="BR72" s="41">
        <v>0</v>
      </c>
      <c r="BS72" s="41">
        <v>5</v>
      </c>
      <c r="BT72" s="25">
        <v>23</v>
      </c>
      <c r="BU72" s="25">
        <v>0</v>
      </c>
      <c r="BV72" s="25">
        <v>0</v>
      </c>
      <c r="BW72" s="25">
        <v>0</v>
      </c>
      <c r="BX72" s="25">
        <v>0</v>
      </c>
      <c r="BY72" s="25">
        <v>0</v>
      </c>
      <c r="BZ72" s="25">
        <v>0</v>
      </c>
      <c r="CA72" s="25">
        <v>0</v>
      </c>
      <c r="CB72" s="25">
        <v>0</v>
      </c>
      <c r="CC72" s="25">
        <v>0</v>
      </c>
      <c r="CD72" s="25">
        <v>0</v>
      </c>
      <c r="CE72" s="25">
        <v>0</v>
      </c>
      <c r="CF72" s="25">
        <v>0</v>
      </c>
      <c r="CG72" s="25">
        <v>0</v>
      </c>
      <c r="CH72" s="25">
        <v>0</v>
      </c>
      <c r="CI72" s="25">
        <v>0</v>
      </c>
      <c r="CJ72" s="25">
        <v>0</v>
      </c>
      <c r="CK72" s="22">
        <v>1</v>
      </c>
      <c r="CL72" s="25">
        <v>3</v>
      </c>
      <c r="CM72" s="41" t="s">
        <v>150</v>
      </c>
      <c r="CN72" s="41">
        <v>100</v>
      </c>
      <c r="CO72" s="41">
        <v>20180301</v>
      </c>
      <c r="CP72" s="41">
        <v>20180301</v>
      </c>
      <c r="CQ72" s="41" t="s">
        <v>198</v>
      </c>
      <c r="CR72" s="41" t="s">
        <v>200</v>
      </c>
      <c r="CS72" s="41">
        <v>20180301</v>
      </c>
      <c r="CT72" s="41">
        <v>0</v>
      </c>
      <c r="CU72" s="41">
        <v>0</v>
      </c>
      <c r="CV72" s="41"/>
      <c r="CW72" s="41">
        <v>0</v>
      </c>
      <c r="CX72" s="41" t="s">
        <v>140</v>
      </c>
      <c r="CY72" s="41">
        <v>818</v>
      </c>
      <c r="CZ72" s="41">
        <v>0</v>
      </c>
      <c r="DA72" s="41">
        <v>12</v>
      </c>
      <c r="DB72" s="41">
        <v>20180201</v>
      </c>
      <c r="DC72" s="41">
        <v>0</v>
      </c>
      <c r="DD72" s="41">
        <v>0</v>
      </c>
      <c r="DE72" s="41">
        <v>7</v>
      </c>
      <c r="DF72" s="25">
        <v>23</v>
      </c>
      <c r="DG72" s="25">
        <v>0</v>
      </c>
      <c r="DH72" s="25">
        <v>0</v>
      </c>
      <c r="DI72" s="25">
        <v>0</v>
      </c>
      <c r="DJ72" s="25">
        <v>0</v>
      </c>
      <c r="DK72" s="25">
        <v>0</v>
      </c>
      <c r="DL72" s="25">
        <v>0</v>
      </c>
      <c r="DM72" s="25">
        <v>0</v>
      </c>
      <c r="DN72" s="25">
        <v>0</v>
      </c>
      <c r="DO72" s="25">
        <v>0</v>
      </c>
      <c r="DP72" s="25">
        <v>0</v>
      </c>
      <c r="DQ72" s="25">
        <v>0</v>
      </c>
      <c r="DR72" s="25">
        <v>0</v>
      </c>
      <c r="DS72" s="25">
        <v>0</v>
      </c>
      <c r="DT72" s="25">
        <v>0</v>
      </c>
      <c r="DU72" s="25">
        <v>0</v>
      </c>
      <c r="DV72" s="25">
        <v>0</v>
      </c>
      <c r="DW72" s="23">
        <v>1</v>
      </c>
      <c r="DX72" s="25">
        <v>4</v>
      </c>
      <c r="DY72" s="41" t="s">
        <v>151</v>
      </c>
      <c r="DZ72" s="41">
        <v>100</v>
      </c>
      <c r="EA72" s="41">
        <v>20180301</v>
      </c>
      <c r="EB72" s="41">
        <v>20180301</v>
      </c>
      <c r="EC72" s="41" t="s">
        <v>198</v>
      </c>
      <c r="ED72" s="41" t="s">
        <v>201</v>
      </c>
      <c r="EE72" s="41">
        <v>20180301</v>
      </c>
      <c r="EF72" s="41">
        <v>0</v>
      </c>
      <c r="EG72" s="41">
        <v>0</v>
      </c>
      <c r="EH72" s="41"/>
      <c r="EI72" s="41">
        <v>0</v>
      </c>
      <c r="EJ72" s="41" t="s">
        <v>140</v>
      </c>
      <c r="EK72" s="41">
        <v>818</v>
      </c>
      <c r="EL72" s="41">
        <v>0</v>
      </c>
      <c r="EM72" s="41">
        <v>12</v>
      </c>
      <c r="EN72" s="41">
        <v>20180201</v>
      </c>
      <c r="EO72" s="41">
        <v>0</v>
      </c>
      <c r="EP72" s="41">
        <v>0</v>
      </c>
      <c r="EQ72" s="41">
        <v>4</v>
      </c>
      <c r="ER72" s="25">
        <v>23</v>
      </c>
      <c r="ES72" s="25">
        <v>0</v>
      </c>
      <c r="ET72" s="25">
        <v>0</v>
      </c>
      <c r="EU72" s="25">
        <v>0</v>
      </c>
      <c r="EV72" s="25">
        <v>0</v>
      </c>
      <c r="EW72" s="25">
        <v>0</v>
      </c>
      <c r="EX72" s="25">
        <v>0</v>
      </c>
      <c r="EY72" s="25">
        <v>0</v>
      </c>
      <c r="EZ72" s="25">
        <v>0</v>
      </c>
      <c r="FA72" s="25">
        <v>0</v>
      </c>
      <c r="FB72" s="25">
        <v>0</v>
      </c>
      <c r="FC72" s="25">
        <v>0</v>
      </c>
      <c r="FD72" s="25">
        <v>0</v>
      </c>
      <c r="FE72" s="25">
        <v>0</v>
      </c>
      <c r="FF72" s="25">
        <v>0</v>
      </c>
      <c r="FG72" s="25">
        <v>0</v>
      </c>
      <c r="FH72" s="25">
        <v>0</v>
      </c>
      <c r="FI72" s="25">
        <v>1</v>
      </c>
      <c r="FJ72" s="25">
        <v>1</v>
      </c>
      <c r="FK72" s="25">
        <v>1</v>
      </c>
      <c r="FL72" s="25">
        <v>23</v>
      </c>
      <c r="FM72" s="25" t="s">
        <v>137</v>
      </c>
      <c r="FN72" s="25">
        <v>19960101</v>
      </c>
      <c r="FP72" s="28">
        <v>4</v>
      </c>
      <c r="FQ72" s="47">
        <v>1</v>
      </c>
      <c r="FR72" s="41">
        <v>1</v>
      </c>
      <c r="FS72" s="41" t="str">
        <f t="shared" ref="FS72:FS106" si="6">O72</f>
        <v>MFSP</v>
      </c>
      <c r="FT72" s="41">
        <f t="shared" ref="FT72:FT106" si="7">AA72</f>
        <v>818</v>
      </c>
      <c r="FU72" s="41">
        <f t="shared" ref="FU72:FU106" si="8">AH72</f>
        <v>23</v>
      </c>
      <c r="FV72" s="41">
        <v>16500</v>
      </c>
      <c r="FW72" s="41">
        <v>46.2</v>
      </c>
      <c r="FX72" s="41"/>
      <c r="FY72" s="29">
        <v>0</v>
      </c>
      <c r="FZ72" s="29">
        <v>0</v>
      </c>
      <c r="GA72" s="30">
        <v>0</v>
      </c>
      <c r="GB72" s="30">
        <v>0</v>
      </c>
      <c r="GC72" s="29">
        <v>0</v>
      </c>
      <c r="GD72" s="41">
        <v>0</v>
      </c>
      <c r="GE72" s="29">
        <v>0</v>
      </c>
      <c r="GF72" s="29">
        <v>0</v>
      </c>
      <c r="GG72" s="29">
        <v>0</v>
      </c>
      <c r="GH72" s="29">
        <v>0</v>
      </c>
      <c r="GI72" s="29">
        <v>0</v>
      </c>
      <c r="GJ72" s="29">
        <v>0</v>
      </c>
      <c r="GK72" s="29">
        <v>0</v>
      </c>
      <c r="GL72" s="29">
        <v>0</v>
      </c>
      <c r="GM72" s="29">
        <v>0</v>
      </c>
      <c r="GN72" s="29">
        <v>0</v>
      </c>
      <c r="GO72" s="29">
        <v>0</v>
      </c>
      <c r="GP72" s="29">
        <v>0</v>
      </c>
      <c r="GQ72" s="29">
        <v>0</v>
      </c>
      <c r="GR72" s="18">
        <v>1</v>
      </c>
      <c r="GS72" s="41">
        <v>2</v>
      </c>
      <c r="GT72" s="41" t="str">
        <f t="shared" ref="GT72:GT106" si="9">BA72</f>
        <v>PURO</v>
      </c>
      <c r="GU72" s="41">
        <v>818</v>
      </c>
      <c r="GV72" s="41">
        <v>26</v>
      </c>
      <c r="GW72" s="41">
        <v>0</v>
      </c>
      <c r="GX72" s="41">
        <v>5.5</v>
      </c>
      <c r="GY72" s="41"/>
      <c r="GZ72" s="41">
        <v>0</v>
      </c>
      <c r="HA72" s="41">
        <v>0</v>
      </c>
      <c r="HB72" s="42">
        <v>0</v>
      </c>
      <c r="HC72" s="42">
        <v>0</v>
      </c>
      <c r="HD72" s="41">
        <v>0</v>
      </c>
      <c r="HE72" s="41">
        <v>0</v>
      </c>
      <c r="HF72" s="41">
        <v>0</v>
      </c>
      <c r="HG72" s="41">
        <v>0</v>
      </c>
      <c r="HH72" s="41">
        <v>0</v>
      </c>
      <c r="HI72" s="41">
        <v>0</v>
      </c>
      <c r="HJ72" s="41">
        <v>0</v>
      </c>
      <c r="HK72" s="41">
        <v>0</v>
      </c>
      <c r="HL72" s="41">
        <v>0</v>
      </c>
      <c r="HM72" s="41">
        <v>0</v>
      </c>
      <c r="HN72" s="41">
        <v>0</v>
      </c>
      <c r="HO72" s="41">
        <v>0</v>
      </c>
      <c r="HP72" s="41">
        <v>0</v>
      </c>
      <c r="HQ72" s="41">
        <v>0</v>
      </c>
      <c r="HR72" s="41">
        <v>0</v>
      </c>
      <c r="HS72" s="24">
        <v>1</v>
      </c>
      <c r="HT72" s="41">
        <v>3</v>
      </c>
      <c r="HU72" s="41" t="str">
        <f t="shared" ref="HU72:HU106" si="10">CM72</f>
        <v>PUDT</v>
      </c>
      <c r="HV72" s="41">
        <v>818</v>
      </c>
      <c r="HW72" s="41">
        <v>26</v>
      </c>
      <c r="HX72" s="41">
        <v>0</v>
      </c>
      <c r="HY72" s="41">
        <v>7.7</v>
      </c>
      <c r="HZ72" s="42"/>
      <c r="IA72" s="41">
        <v>0</v>
      </c>
      <c r="IB72" s="41">
        <v>0</v>
      </c>
      <c r="IC72" s="42">
        <v>0</v>
      </c>
      <c r="ID72" s="42">
        <v>0</v>
      </c>
      <c r="IE72" s="41">
        <v>0</v>
      </c>
      <c r="IF72" s="43">
        <v>0</v>
      </c>
      <c r="IG72" s="41">
        <v>0</v>
      </c>
      <c r="IH72" s="41">
        <v>0</v>
      </c>
      <c r="II72" s="41">
        <v>0</v>
      </c>
      <c r="IJ72" s="41">
        <v>0</v>
      </c>
      <c r="IK72" s="41">
        <v>0</v>
      </c>
      <c r="IL72" s="41">
        <v>0</v>
      </c>
      <c r="IM72" s="41">
        <v>0</v>
      </c>
      <c r="IN72" s="41">
        <v>0</v>
      </c>
      <c r="IO72" s="41">
        <v>0</v>
      </c>
      <c r="IP72" s="41">
        <v>0</v>
      </c>
      <c r="IQ72" s="41">
        <v>0</v>
      </c>
      <c r="IR72" s="41">
        <v>0</v>
      </c>
      <c r="IS72" s="41">
        <v>0</v>
      </c>
      <c r="IT72" s="17">
        <v>1</v>
      </c>
      <c r="IU72" s="41">
        <v>4</v>
      </c>
      <c r="IV72" s="41" t="str">
        <f t="shared" ref="IV72:IV106" si="11">DY72</f>
        <v>PUDS</v>
      </c>
      <c r="IW72" s="41">
        <v>818</v>
      </c>
      <c r="IX72" s="41">
        <v>26</v>
      </c>
      <c r="IY72" s="41">
        <v>0</v>
      </c>
      <c r="IZ72" s="41">
        <v>4.4000000000000004</v>
      </c>
      <c r="JA72" s="42"/>
      <c r="JB72" s="41">
        <v>0</v>
      </c>
      <c r="JC72" s="41">
        <v>0</v>
      </c>
      <c r="JD72" s="42">
        <v>0</v>
      </c>
      <c r="JE72" s="42">
        <v>0</v>
      </c>
      <c r="JF72" s="41">
        <v>0</v>
      </c>
      <c r="JG72" s="41">
        <v>0</v>
      </c>
      <c r="JH72" s="41">
        <v>0</v>
      </c>
      <c r="JI72" s="41">
        <v>0</v>
      </c>
      <c r="JJ72" s="41">
        <v>0</v>
      </c>
      <c r="JK72" s="41">
        <v>0</v>
      </c>
      <c r="JL72" s="41">
        <v>0</v>
      </c>
      <c r="JM72" s="41">
        <v>0</v>
      </c>
      <c r="JN72" s="41">
        <v>0</v>
      </c>
      <c r="JO72" s="41">
        <v>0</v>
      </c>
      <c r="JP72" s="41">
        <v>0</v>
      </c>
      <c r="JQ72" s="41">
        <v>0</v>
      </c>
      <c r="JR72" s="41">
        <v>0</v>
      </c>
      <c r="JS72" s="41">
        <v>0</v>
      </c>
      <c r="JT72" s="41">
        <v>0</v>
      </c>
      <c r="JU72"/>
    </row>
    <row r="73" spans="1:281" ht="15.75">
      <c r="A73" s="25">
        <v>67</v>
      </c>
      <c r="B73" s="25">
        <v>20190301</v>
      </c>
      <c r="C73" s="25"/>
      <c r="D73" s="25" t="s">
        <v>132</v>
      </c>
      <c r="E73" s="25" t="s">
        <v>132</v>
      </c>
      <c r="F73" s="25" t="s">
        <v>133</v>
      </c>
      <c r="G73" s="25"/>
      <c r="H73" s="25">
        <v>100000067</v>
      </c>
      <c r="I73" s="25" t="s">
        <v>134</v>
      </c>
      <c r="J73" s="25" t="s">
        <v>135</v>
      </c>
      <c r="K73" s="25" t="s">
        <v>132</v>
      </c>
      <c r="L73" s="25">
        <v>4</v>
      </c>
      <c r="M73" s="25">
        <v>1</v>
      </c>
      <c r="N73" s="25">
        <v>1</v>
      </c>
      <c r="O73" s="45" t="s">
        <v>141</v>
      </c>
      <c r="P73" s="25">
        <v>100</v>
      </c>
      <c r="Q73" s="25">
        <v>20180301</v>
      </c>
      <c r="R73" s="25">
        <v>20180301</v>
      </c>
      <c r="S73" s="25" t="s">
        <v>137</v>
      </c>
      <c r="T73" s="25" t="s">
        <v>138</v>
      </c>
      <c r="U73" s="25">
        <v>20190301</v>
      </c>
      <c r="V73" s="25">
        <v>10</v>
      </c>
      <c r="W73" s="25">
        <v>10</v>
      </c>
      <c r="X73" s="25" t="s">
        <v>139</v>
      </c>
      <c r="Y73" s="25">
        <v>0</v>
      </c>
      <c r="Z73" s="25" t="s">
        <v>140</v>
      </c>
      <c r="AA73" s="25">
        <v>818</v>
      </c>
      <c r="AB73" s="41">
        <v>0</v>
      </c>
      <c r="AC73" s="41">
        <v>12</v>
      </c>
      <c r="AD73" s="41">
        <v>20180201</v>
      </c>
      <c r="AE73" s="41">
        <v>0</v>
      </c>
      <c r="AF73" s="26">
        <v>20000</v>
      </c>
      <c r="AG73" s="41">
        <v>46</v>
      </c>
      <c r="AH73" s="26">
        <v>24</v>
      </c>
      <c r="AI73" s="26">
        <v>0</v>
      </c>
      <c r="AJ73" s="26">
        <v>0</v>
      </c>
      <c r="AK73" s="26">
        <v>0</v>
      </c>
      <c r="AL73" s="26">
        <v>0</v>
      </c>
      <c r="AM73" s="26">
        <v>0</v>
      </c>
      <c r="AN73" s="26">
        <v>0</v>
      </c>
      <c r="AO73" s="26">
        <v>0</v>
      </c>
      <c r="AP73" s="26">
        <v>0</v>
      </c>
      <c r="AQ73" s="26">
        <v>0</v>
      </c>
      <c r="AR73" s="26">
        <v>0</v>
      </c>
      <c r="AS73" s="26">
        <v>0</v>
      </c>
      <c r="AT73" s="26">
        <v>0</v>
      </c>
      <c r="AU73" s="26">
        <v>0</v>
      </c>
      <c r="AV73" s="26">
        <v>0</v>
      </c>
      <c r="AW73" s="26">
        <v>0</v>
      </c>
      <c r="AX73" s="26">
        <v>0</v>
      </c>
      <c r="AY73" s="46">
        <v>1</v>
      </c>
      <c r="AZ73" s="25">
        <v>2</v>
      </c>
      <c r="BA73" s="41" t="s">
        <v>203</v>
      </c>
      <c r="BB73" s="41">
        <v>100</v>
      </c>
      <c r="BC73" s="41">
        <v>20180301</v>
      </c>
      <c r="BD73" s="41">
        <v>20180301</v>
      </c>
      <c r="BE73" s="41" t="s">
        <v>198</v>
      </c>
      <c r="BF73" s="41" t="s">
        <v>149</v>
      </c>
      <c r="BG73" s="41">
        <v>20180301</v>
      </c>
      <c r="BH73" s="41">
        <v>0</v>
      </c>
      <c r="BI73" s="41">
        <v>0</v>
      </c>
      <c r="BJ73" s="41"/>
      <c r="BK73" s="41">
        <v>0</v>
      </c>
      <c r="BL73" s="41" t="s">
        <v>140</v>
      </c>
      <c r="BM73" s="41">
        <v>818</v>
      </c>
      <c r="BN73" s="41">
        <v>0</v>
      </c>
      <c r="BO73" s="41">
        <v>12</v>
      </c>
      <c r="BP73" s="41">
        <v>20180201</v>
      </c>
      <c r="BQ73" s="41">
        <v>0</v>
      </c>
      <c r="BR73" s="41">
        <v>0</v>
      </c>
      <c r="BS73" s="41">
        <v>5</v>
      </c>
      <c r="BT73" s="25">
        <v>24</v>
      </c>
      <c r="BU73" s="25">
        <v>0</v>
      </c>
      <c r="BV73" s="25">
        <v>0</v>
      </c>
      <c r="BW73" s="25">
        <v>0</v>
      </c>
      <c r="BX73" s="25">
        <v>0</v>
      </c>
      <c r="BY73" s="25">
        <v>0</v>
      </c>
      <c r="BZ73" s="25">
        <v>0</v>
      </c>
      <c r="CA73" s="25">
        <v>0</v>
      </c>
      <c r="CB73" s="25">
        <v>0</v>
      </c>
      <c r="CC73" s="25">
        <v>0</v>
      </c>
      <c r="CD73" s="25">
        <v>0</v>
      </c>
      <c r="CE73" s="25">
        <v>0</v>
      </c>
      <c r="CF73" s="25">
        <v>0</v>
      </c>
      <c r="CG73" s="25">
        <v>0</v>
      </c>
      <c r="CH73" s="25">
        <v>0</v>
      </c>
      <c r="CI73" s="25">
        <v>0</v>
      </c>
      <c r="CJ73" s="25">
        <v>0</v>
      </c>
      <c r="CK73" s="22">
        <v>1</v>
      </c>
      <c r="CL73" s="25">
        <v>3</v>
      </c>
      <c r="CM73" s="41" t="s">
        <v>150</v>
      </c>
      <c r="CN73" s="41">
        <v>100</v>
      </c>
      <c r="CO73" s="41">
        <v>20180301</v>
      </c>
      <c r="CP73" s="41">
        <v>20180301</v>
      </c>
      <c r="CQ73" s="41" t="s">
        <v>198</v>
      </c>
      <c r="CR73" s="41" t="s">
        <v>200</v>
      </c>
      <c r="CS73" s="41">
        <v>20180301</v>
      </c>
      <c r="CT73" s="41">
        <v>0</v>
      </c>
      <c r="CU73" s="41">
        <v>0</v>
      </c>
      <c r="CV73" s="41"/>
      <c r="CW73" s="41">
        <v>0</v>
      </c>
      <c r="CX73" s="41" t="s">
        <v>140</v>
      </c>
      <c r="CY73" s="41">
        <v>818</v>
      </c>
      <c r="CZ73" s="41">
        <v>0</v>
      </c>
      <c r="DA73" s="41">
        <v>12</v>
      </c>
      <c r="DB73" s="41">
        <v>20180201</v>
      </c>
      <c r="DC73" s="41">
        <v>0</v>
      </c>
      <c r="DD73" s="41">
        <v>0</v>
      </c>
      <c r="DE73" s="41">
        <v>8</v>
      </c>
      <c r="DF73" s="25">
        <v>24</v>
      </c>
      <c r="DG73" s="25">
        <v>0</v>
      </c>
      <c r="DH73" s="25">
        <v>0</v>
      </c>
      <c r="DI73" s="25">
        <v>0</v>
      </c>
      <c r="DJ73" s="25">
        <v>0</v>
      </c>
      <c r="DK73" s="25">
        <v>0</v>
      </c>
      <c r="DL73" s="25">
        <v>0</v>
      </c>
      <c r="DM73" s="25">
        <v>0</v>
      </c>
      <c r="DN73" s="25">
        <v>0</v>
      </c>
      <c r="DO73" s="25">
        <v>0</v>
      </c>
      <c r="DP73" s="25">
        <v>0</v>
      </c>
      <c r="DQ73" s="25">
        <v>0</v>
      </c>
      <c r="DR73" s="25">
        <v>0</v>
      </c>
      <c r="DS73" s="25">
        <v>0</v>
      </c>
      <c r="DT73" s="25">
        <v>0</v>
      </c>
      <c r="DU73" s="25">
        <v>0</v>
      </c>
      <c r="DV73" s="25">
        <v>0</v>
      </c>
      <c r="DW73" s="23">
        <v>1</v>
      </c>
      <c r="DX73" s="25">
        <v>4</v>
      </c>
      <c r="DY73" s="41" t="s">
        <v>151</v>
      </c>
      <c r="DZ73" s="41">
        <v>100</v>
      </c>
      <c r="EA73" s="41">
        <v>20180301</v>
      </c>
      <c r="EB73" s="41">
        <v>20180301</v>
      </c>
      <c r="EC73" s="41" t="s">
        <v>198</v>
      </c>
      <c r="ED73" s="41" t="s">
        <v>201</v>
      </c>
      <c r="EE73" s="41">
        <v>20180301</v>
      </c>
      <c r="EF73" s="41">
        <v>0</v>
      </c>
      <c r="EG73" s="41">
        <v>0</v>
      </c>
      <c r="EH73" s="41"/>
      <c r="EI73" s="41">
        <v>0</v>
      </c>
      <c r="EJ73" s="41" t="s">
        <v>140</v>
      </c>
      <c r="EK73" s="41">
        <v>818</v>
      </c>
      <c r="EL73" s="41">
        <v>0</v>
      </c>
      <c r="EM73" s="41">
        <v>12</v>
      </c>
      <c r="EN73" s="41">
        <v>20180201</v>
      </c>
      <c r="EO73" s="41">
        <v>0</v>
      </c>
      <c r="EP73" s="41">
        <v>0</v>
      </c>
      <c r="EQ73" s="41">
        <v>4</v>
      </c>
      <c r="ER73" s="25">
        <v>24</v>
      </c>
      <c r="ES73" s="25">
        <v>0</v>
      </c>
      <c r="ET73" s="25">
        <v>0</v>
      </c>
      <c r="EU73" s="25">
        <v>0</v>
      </c>
      <c r="EV73" s="25">
        <v>0</v>
      </c>
      <c r="EW73" s="25">
        <v>0</v>
      </c>
      <c r="EX73" s="25">
        <v>0</v>
      </c>
      <c r="EY73" s="25">
        <v>0</v>
      </c>
      <c r="EZ73" s="25">
        <v>0</v>
      </c>
      <c r="FA73" s="25">
        <v>0</v>
      </c>
      <c r="FB73" s="25">
        <v>0</v>
      </c>
      <c r="FC73" s="25">
        <v>0</v>
      </c>
      <c r="FD73" s="25">
        <v>0</v>
      </c>
      <c r="FE73" s="25">
        <v>0</v>
      </c>
      <c r="FF73" s="25">
        <v>0</v>
      </c>
      <c r="FG73" s="25">
        <v>0</v>
      </c>
      <c r="FH73" s="25">
        <v>0</v>
      </c>
      <c r="FI73" s="25">
        <v>1</v>
      </c>
      <c r="FJ73" s="25">
        <v>1</v>
      </c>
      <c r="FK73" s="25">
        <v>1</v>
      </c>
      <c r="FL73" s="25">
        <v>24</v>
      </c>
      <c r="FM73" s="25" t="s">
        <v>137</v>
      </c>
      <c r="FN73" s="25">
        <v>19950101</v>
      </c>
      <c r="FP73" s="28">
        <v>4</v>
      </c>
      <c r="FQ73" s="47">
        <v>1</v>
      </c>
      <c r="FR73" s="41">
        <v>1</v>
      </c>
      <c r="FS73" s="41" t="str">
        <f t="shared" si="6"/>
        <v>MFSP</v>
      </c>
      <c r="FT73" s="41">
        <f t="shared" si="7"/>
        <v>818</v>
      </c>
      <c r="FU73" s="41">
        <f t="shared" si="8"/>
        <v>24</v>
      </c>
      <c r="FV73" s="41">
        <v>22000</v>
      </c>
      <c r="FW73" s="41">
        <v>50.6</v>
      </c>
      <c r="FX73" s="41"/>
      <c r="FY73" s="29">
        <v>0</v>
      </c>
      <c r="FZ73" s="29">
        <v>0</v>
      </c>
      <c r="GA73" s="30">
        <v>0</v>
      </c>
      <c r="GB73" s="30">
        <v>0</v>
      </c>
      <c r="GC73" s="29">
        <v>0</v>
      </c>
      <c r="GD73" s="41">
        <v>0</v>
      </c>
      <c r="GE73" s="29">
        <v>0</v>
      </c>
      <c r="GF73" s="29">
        <v>0</v>
      </c>
      <c r="GG73" s="29">
        <v>0</v>
      </c>
      <c r="GH73" s="29">
        <v>0</v>
      </c>
      <c r="GI73" s="29">
        <v>0</v>
      </c>
      <c r="GJ73" s="29">
        <v>0</v>
      </c>
      <c r="GK73" s="29">
        <v>0</v>
      </c>
      <c r="GL73" s="29">
        <v>0</v>
      </c>
      <c r="GM73" s="29">
        <v>0</v>
      </c>
      <c r="GN73" s="29">
        <v>0</v>
      </c>
      <c r="GO73" s="29">
        <v>0</v>
      </c>
      <c r="GP73" s="29">
        <v>0</v>
      </c>
      <c r="GQ73" s="29">
        <v>0</v>
      </c>
      <c r="GR73" s="18">
        <v>1</v>
      </c>
      <c r="GS73" s="41">
        <v>2</v>
      </c>
      <c r="GT73" s="41" t="str">
        <f t="shared" si="9"/>
        <v>PURO</v>
      </c>
      <c r="GU73" s="41">
        <v>818</v>
      </c>
      <c r="GV73" s="41">
        <v>27</v>
      </c>
      <c r="GW73" s="41">
        <v>0</v>
      </c>
      <c r="GX73" s="41">
        <v>5.5</v>
      </c>
      <c r="GY73" s="41"/>
      <c r="GZ73" s="41">
        <v>0</v>
      </c>
      <c r="HA73" s="41">
        <v>0</v>
      </c>
      <c r="HB73" s="42">
        <v>0</v>
      </c>
      <c r="HC73" s="42">
        <v>0</v>
      </c>
      <c r="HD73" s="41">
        <v>0</v>
      </c>
      <c r="HE73" s="41">
        <v>0</v>
      </c>
      <c r="HF73" s="41">
        <v>0</v>
      </c>
      <c r="HG73" s="41">
        <v>0</v>
      </c>
      <c r="HH73" s="41">
        <v>0</v>
      </c>
      <c r="HI73" s="41">
        <v>0</v>
      </c>
      <c r="HJ73" s="41">
        <v>0</v>
      </c>
      <c r="HK73" s="41">
        <v>0</v>
      </c>
      <c r="HL73" s="41">
        <v>0</v>
      </c>
      <c r="HM73" s="41">
        <v>0</v>
      </c>
      <c r="HN73" s="41">
        <v>0</v>
      </c>
      <c r="HO73" s="41">
        <v>0</v>
      </c>
      <c r="HP73" s="41">
        <v>0</v>
      </c>
      <c r="HQ73" s="41">
        <v>0</v>
      </c>
      <c r="HR73" s="41">
        <v>0</v>
      </c>
      <c r="HS73" s="24">
        <v>1</v>
      </c>
      <c r="HT73" s="41">
        <v>3</v>
      </c>
      <c r="HU73" s="41" t="str">
        <f t="shared" si="10"/>
        <v>PUDT</v>
      </c>
      <c r="HV73" s="41">
        <v>818</v>
      </c>
      <c r="HW73" s="41">
        <v>27</v>
      </c>
      <c r="HX73" s="41">
        <v>0</v>
      </c>
      <c r="HY73" s="41">
        <v>8.8000000000000007</v>
      </c>
      <c r="HZ73" s="42"/>
      <c r="IA73" s="41">
        <v>0</v>
      </c>
      <c r="IB73" s="41">
        <v>0</v>
      </c>
      <c r="IC73" s="42">
        <v>0</v>
      </c>
      <c r="ID73" s="42">
        <v>0</v>
      </c>
      <c r="IE73" s="41">
        <v>0</v>
      </c>
      <c r="IF73" s="43">
        <v>0</v>
      </c>
      <c r="IG73" s="41">
        <v>0</v>
      </c>
      <c r="IH73" s="41">
        <v>0</v>
      </c>
      <c r="II73" s="41">
        <v>0</v>
      </c>
      <c r="IJ73" s="41">
        <v>0</v>
      </c>
      <c r="IK73" s="41">
        <v>0</v>
      </c>
      <c r="IL73" s="41">
        <v>0</v>
      </c>
      <c r="IM73" s="41">
        <v>0</v>
      </c>
      <c r="IN73" s="41">
        <v>0</v>
      </c>
      <c r="IO73" s="41">
        <v>0</v>
      </c>
      <c r="IP73" s="41">
        <v>0</v>
      </c>
      <c r="IQ73" s="41">
        <v>0</v>
      </c>
      <c r="IR73" s="41">
        <v>0</v>
      </c>
      <c r="IS73" s="41">
        <v>0</v>
      </c>
      <c r="IT73" s="17">
        <v>1</v>
      </c>
      <c r="IU73" s="41">
        <v>4</v>
      </c>
      <c r="IV73" s="41" t="str">
        <f t="shared" si="11"/>
        <v>PUDS</v>
      </c>
      <c r="IW73" s="41">
        <v>818</v>
      </c>
      <c r="IX73" s="41">
        <v>27</v>
      </c>
      <c r="IY73" s="41">
        <v>0</v>
      </c>
      <c r="IZ73" s="41">
        <v>4.4000000000000004</v>
      </c>
      <c r="JA73" s="42"/>
      <c r="JB73" s="41">
        <v>0</v>
      </c>
      <c r="JC73" s="41">
        <v>0</v>
      </c>
      <c r="JD73" s="42">
        <v>0</v>
      </c>
      <c r="JE73" s="42">
        <v>0</v>
      </c>
      <c r="JF73" s="41">
        <v>0</v>
      </c>
      <c r="JG73" s="41">
        <v>0</v>
      </c>
      <c r="JH73" s="41">
        <v>0</v>
      </c>
      <c r="JI73" s="41">
        <v>0</v>
      </c>
      <c r="JJ73" s="41">
        <v>0</v>
      </c>
      <c r="JK73" s="41">
        <v>0</v>
      </c>
      <c r="JL73" s="41">
        <v>0</v>
      </c>
      <c r="JM73" s="41">
        <v>0</v>
      </c>
      <c r="JN73" s="41">
        <v>0</v>
      </c>
      <c r="JO73" s="41">
        <v>0</v>
      </c>
      <c r="JP73" s="41">
        <v>0</v>
      </c>
      <c r="JQ73" s="41">
        <v>0</v>
      </c>
      <c r="JR73" s="41">
        <v>0</v>
      </c>
      <c r="JS73" s="41">
        <v>0</v>
      </c>
      <c r="JT73" s="41">
        <v>0</v>
      </c>
      <c r="JU73"/>
    </row>
    <row r="74" spans="1:281" ht="15.75">
      <c r="A74" s="25">
        <v>68</v>
      </c>
      <c r="B74" s="25">
        <v>20190301</v>
      </c>
      <c r="C74" s="25"/>
      <c r="D74" s="25" t="s">
        <v>132</v>
      </c>
      <c r="E74" s="25" t="s">
        <v>132</v>
      </c>
      <c r="F74" s="25" t="s">
        <v>133</v>
      </c>
      <c r="G74" s="25"/>
      <c r="H74" s="25">
        <v>100000068</v>
      </c>
      <c r="I74" s="25" t="s">
        <v>134</v>
      </c>
      <c r="J74" s="25" t="s">
        <v>135</v>
      </c>
      <c r="K74" s="25" t="s">
        <v>132</v>
      </c>
      <c r="L74" s="25">
        <v>4</v>
      </c>
      <c r="M74" s="25">
        <v>1</v>
      </c>
      <c r="N74" s="25">
        <v>1</v>
      </c>
      <c r="O74" s="45" t="s">
        <v>141</v>
      </c>
      <c r="P74" s="25">
        <v>100</v>
      </c>
      <c r="Q74" s="25">
        <v>20180301</v>
      </c>
      <c r="R74" s="25">
        <v>20180301</v>
      </c>
      <c r="S74" s="25" t="s">
        <v>137</v>
      </c>
      <c r="T74" s="25" t="s">
        <v>138</v>
      </c>
      <c r="U74" s="25">
        <v>20190301</v>
      </c>
      <c r="V74" s="25">
        <v>10</v>
      </c>
      <c r="W74" s="25">
        <v>10</v>
      </c>
      <c r="X74" s="25" t="s">
        <v>139</v>
      </c>
      <c r="Y74" s="25">
        <v>0</v>
      </c>
      <c r="Z74" s="25" t="s">
        <v>140</v>
      </c>
      <c r="AA74" s="25">
        <v>818</v>
      </c>
      <c r="AB74" s="41">
        <v>0</v>
      </c>
      <c r="AC74" s="41">
        <v>12</v>
      </c>
      <c r="AD74" s="41">
        <v>20180201</v>
      </c>
      <c r="AE74" s="41">
        <v>0</v>
      </c>
      <c r="AF74" s="26">
        <v>25000</v>
      </c>
      <c r="AG74" s="41">
        <v>51</v>
      </c>
      <c r="AH74" s="26">
        <v>25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0</v>
      </c>
      <c r="AV74" s="26">
        <v>0</v>
      </c>
      <c r="AW74" s="26">
        <v>0</v>
      </c>
      <c r="AX74" s="26">
        <v>0</v>
      </c>
      <c r="AY74" s="46">
        <v>1</v>
      </c>
      <c r="AZ74" s="25">
        <v>2</v>
      </c>
      <c r="BA74" s="41" t="s">
        <v>203</v>
      </c>
      <c r="BB74" s="41">
        <v>100</v>
      </c>
      <c r="BC74" s="41">
        <v>20180301</v>
      </c>
      <c r="BD74" s="41">
        <v>20180301</v>
      </c>
      <c r="BE74" s="41" t="s">
        <v>198</v>
      </c>
      <c r="BF74" s="41" t="s">
        <v>149</v>
      </c>
      <c r="BG74" s="41">
        <v>20180301</v>
      </c>
      <c r="BH74" s="41">
        <v>0</v>
      </c>
      <c r="BI74" s="41">
        <v>0</v>
      </c>
      <c r="BJ74" s="41"/>
      <c r="BK74" s="41">
        <v>0</v>
      </c>
      <c r="BL74" s="41" t="s">
        <v>140</v>
      </c>
      <c r="BM74" s="41">
        <v>818</v>
      </c>
      <c r="BN74" s="41">
        <v>0</v>
      </c>
      <c r="BO74" s="41">
        <v>12</v>
      </c>
      <c r="BP74" s="41">
        <v>20180201</v>
      </c>
      <c r="BQ74" s="41">
        <v>0</v>
      </c>
      <c r="BR74" s="41">
        <v>0</v>
      </c>
      <c r="BS74" s="41">
        <v>5</v>
      </c>
      <c r="BT74" s="25">
        <v>25</v>
      </c>
      <c r="BU74" s="25">
        <v>0</v>
      </c>
      <c r="BV74" s="25">
        <v>0</v>
      </c>
      <c r="BW74" s="25">
        <v>0</v>
      </c>
      <c r="BX74" s="25">
        <v>0</v>
      </c>
      <c r="BY74" s="25">
        <v>0</v>
      </c>
      <c r="BZ74" s="25">
        <v>0</v>
      </c>
      <c r="CA74" s="25">
        <v>0</v>
      </c>
      <c r="CB74" s="25">
        <v>0</v>
      </c>
      <c r="CC74" s="25">
        <v>0</v>
      </c>
      <c r="CD74" s="25">
        <v>0</v>
      </c>
      <c r="CE74" s="25">
        <v>0</v>
      </c>
      <c r="CF74" s="25">
        <v>0</v>
      </c>
      <c r="CG74" s="25">
        <v>0</v>
      </c>
      <c r="CH74" s="25">
        <v>0</v>
      </c>
      <c r="CI74" s="25">
        <v>0</v>
      </c>
      <c r="CJ74" s="25">
        <v>0</v>
      </c>
      <c r="CK74" s="22">
        <v>1</v>
      </c>
      <c r="CL74" s="25">
        <v>3</v>
      </c>
      <c r="CM74" s="41" t="s">
        <v>150</v>
      </c>
      <c r="CN74" s="41">
        <v>100</v>
      </c>
      <c r="CO74" s="41">
        <v>20180301</v>
      </c>
      <c r="CP74" s="41">
        <v>20180301</v>
      </c>
      <c r="CQ74" s="41" t="s">
        <v>198</v>
      </c>
      <c r="CR74" s="41" t="s">
        <v>200</v>
      </c>
      <c r="CS74" s="41">
        <v>20180301</v>
      </c>
      <c r="CT74" s="41">
        <v>0</v>
      </c>
      <c r="CU74" s="41">
        <v>0</v>
      </c>
      <c r="CV74" s="41"/>
      <c r="CW74" s="41">
        <v>0</v>
      </c>
      <c r="CX74" s="41" t="s">
        <v>140</v>
      </c>
      <c r="CY74" s="41">
        <v>818</v>
      </c>
      <c r="CZ74" s="41">
        <v>0</v>
      </c>
      <c r="DA74" s="41">
        <v>12</v>
      </c>
      <c r="DB74" s="41">
        <v>20180201</v>
      </c>
      <c r="DC74" s="41">
        <v>0</v>
      </c>
      <c r="DD74" s="41">
        <v>0</v>
      </c>
      <c r="DE74" s="41">
        <v>8</v>
      </c>
      <c r="DF74" s="25">
        <v>25</v>
      </c>
      <c r="DG74" s="25">
        <v>0</v>
      </c>
      <c r="DH74" s="25">
        <v>0</v>
      </c>
      <c r="DI74" s="25">
        <v>0</v>
      </c>
      <c r="DJ74" s="25">
        <v>0</v>
      </c>
      <c r="DK74" s="25">
        <v>0</v>
      </c>
      <c r="DL74" s="25">
        <v>0</v>
      </c>
      <c r="DM74" s="25">
        <v>0</v>
      </c>
      <c r="DN74" s="25">
        <v>0</v>
      </c>
      <c r="DO74" s="25">
        <v>0</v>
      </c>
      <c r="DP74" s="25">
        <v>0</v>
      </c>
      <c r="DQ74" s="25">
        <v>0</v>
      </c>
      <c r="DR74" s="25">
        <v>0</v>
      </c>
      <c r="DS74" s="25">
        <v>0</v>
      </c>
      <c r="DT74" s="25">
        <v>0</v>
      </c>
      <c r="DU74" s="25">
        <v>0</v>
      </c>
      <c r="DV74" s="25">
        <v>0</v>
      </c>
      <c r="DW74" s="23">
        <v>1</v>
      </c>
      <c r="DX74" s="25">
        <v>4</v>
      </c>
      <c r="DY74" s="41" t="s">
        <v>151</v>
      </c>
      <c r="DZ74" s="41">
        <v>100</v>
      </c>
      <c r="EA74" s="41">
        <v>20180301</v>
      </c>
      <c r="EB74" s="41">
        <v>20180301</v>
      </c>
      <c r="EC74" s="41" t="s">
        <v>198</v>
      </c>
      <c r="ED74" s="41" t="s">
        <v>201</v>
      </c>
      <c r="EE74" s="41">
        <v>20180301</v>
      </c>
      <c r="EF74" s="41">
        <v>0</v>
      </c>
      <c r="EG74" s="41">
        <v>0</v>
      </c>
      <c r="EH74" s="41"/>
      <c r="EI74" s="41">
        <v>0</v>
      </c>
      <c r="EJ74" s="41" t="s">
        <v>140</v>
      </c>
      <c r="EK74" s="41">
        <v>818</v>
      </c>
      <c r="EL74" s="41">
        <v>0</v>
      </c>
      <c r="EM74" s="41">
        <v>12</v>
      </c>
      <c r="EN74" s="41">
        <v>20180201</v>
      </c>
      <c r="EO74" s="41">
        <v>0</v>
      </c>
      <c r="EP74" s="41">
        <v>0</v>
      </c>
      <c r="EQ74" s="41">
        <v>5</v>
      </c>
      <c r="ER74" s="25">
        <v>25</v>
      </c>
      <c r="ES74" s="25">
        <v>0</v>
      </c>
      <c r="ET74" s="25">
        <v>0</v>
      </c>
      <c r="EU74" s="25">
        <v>0</v>
      </c>
      <c r="EV74" s="25">
        <v>0</v>
      </c>
      <c r="EW74" s="25">
        <v>0</v>
      </c>
      <c r="EX74" s="25">
        <v>0</v>
      </c>
      <c r="EY74" s="25">
        <v>0</v>
      </c>
      <c r="EZ74" s="25">
        <v>0</v>
      </c>
      <c r="FA74" s="25">
        <v>0</v>
      </c>
      <c r="FB74" s="25">
        <v>0</v>
      </c>
      <c r="FC74" s="25">
        <v>0</v>
      </c>
      <c r="FD74" s="25">
        <v>0</v>
      </c>
      <c r="FE74" s="25">
        <v>0</v>
      </c>
      <c r="FF74" s="25">
        <v>0</v>
      </c>
      <c r="FG74" s="25">
        <v>0</v>
      </c>
      <c r="FH74" s="25">
        <v>0</v>
      </c>
      <c r="FI74" s="25">
        <v>1</v>
      </c>
      <c r="FJ74" s="25">
        <v>1</v>
      </c>
      <c r="FK74" s="25">
        <v>1</v>
      </c>
      <c r="FL74" s="25">
        <v>25</v>
      </c>
      <c r="FM74" s="25" t="s">
        <v>137</v>
      </c>
      <c r="FN74" s="25">
        <v>19940101</v>
      </c>
      <c r="FP74" s="28">
        <v>4</v>
      </c>
      <c r="FQ74" s="47">
        <v>1</v>
      </c>
      <c r="FR74" s="41">
        <v>1</v>
      </c>
      <c r="FS74" s="41" t="str">
        <f t="shared" si="6"/>
        <v>MFSP</v>
      </c>
      <c r="FT74" s="41">
        <f t="shared" si="7"/>
        <v>818</v>
      </c>
      <c r="FU74" s="41">
        <f t="shared" si="8"/>
        <v>25</v>
      </c>
      <c r="FV74" s="41">
        <v>27500</v>
      </c>
      <c r="FW74" s="41">
        <v>56.1</v>
      </c>
      <c r="FX74" s="41"/>
      <c r="FY74" s="29">
        <v>0</v>
      </c>
      <c r="FZ74" s="29">
        <v>0</v>
      </c>
      <c r="GA74" s="30">
        <v>0</v>
      </c>
      <c r="GB74" s="30">
        <v>0</v>
      </c>
      <c r="GC74" s="29">
        <v>0</v>
      </c>
      <c r="GD74" s="41">
        <v>0</v>
      </c>
      <c r="GE74" s="29">
        <v>0</v>
      </c>
      <c r="GF74" s="29">
        <v>0</v>
      </c>
      <c r="GG74" s="29">
        <v>0</v>
      </c>
      <c r="GH74" s="29">
        <v>0</v>
      </c>
      <c r="GI74" s="29">
        <v>0</v>
      </c>
      <c r="GJ74" s="29">
        <v>0</v>
      </c>
      <c r="GK74" s="29">
        <v>0</v>
      </c>
      <c r="GL74" s="29">
        <v>0</v>
      </c>
      <c r="GM74" s="29">
        <v>0</v>
      </c>
      <c r="GN74" s="29">
        <v>0</v>
      </c>
      <c r="GO74" s="29">
        <v>0</v>
      </c>
      <c r="GP74" s="29">
        <v>0</v>
      </c>
      <c r="GQ74" s="29">
        <v>0</v>
      </c>
      <c r="GR74" s="18">
        <v>1</v>
      </c>
      <c r="GS74" s="41">
        <v>2</v>
      </c>
      <c r="GT74" s="41" t="str">
        <f t="shared" si="9"/>
        <v>PURO</v>
      </c>
      <c r="GU74" s="41">
        <v>818</v>
      </c>
      <c r="GV74" s="41">
        <v>28</v>
      </c>
      <c r="GW74" s="41">
        <v>0</v>
      </c>
      <c r="GX74" s="41">
        <v>5.5</v>
      </c>
      <c r="GY74" s="41"/>
      <c r="GZ74" s="41">
        <v>0</v>
      </c>
      <c r="HA74" s="41">
        <v>0</v>
      </c>
      <c r="HB74" s="42">
        <v>0</v>
      </c>
      <c r="HC74" s="42">
        <v>0</v>
      </c>
      <c r="HD74" s="41">
        <v>0</v>
      </c>
      <c r="HE74" s="41">
        <v>0</v>
      </c>
      <c r="HF74" s="41">
        <v>0</v>
      </c>
      <c r="HG74" s="41">
        <v>0</v>
      </c>
      <c r="HH74" s="41">
        <v>0</v>
      </c>
      <c r="HI74" s="41">
        <v>0</v>
      </c>
      <c r="HJ74" s="41">
        <v>0</v>
      </c>
      <c r="HK74" s="41">
        <v>0</v>
      </c>
      <c r="HL74" s="41">
        <v>0</v>
      </c>
      <c r="HM74" s="41">
        <v>0</v>
      </c>
      <c r="HN74" s="41">
        <v>0</v>
      </c>
      <c r="HO74" s="41">
        <v>0</v>
      </c>
      <c r="HP74" s="41">
        <v>0</v>
      </c>
      <c r="HQ74" s="41">
        <v>0</v>
      </c>
      <c r="HR74" s="41">
        <v>0</v>
      </c>
      <c r="HS74" s="24">
        <v>1</v>
      </c>
      <c r="HT74" s="41">
        <v>3</v>
      </c>
      <c r="HU74" s="41" t="str">
        <f t="shared" si="10"/>
        <v>PUDT</v>
      </c>
      <c r="HV74" s="41">
        <v>818</v>
      </c>
      <c r="HW74" s="41">
        <v>28</v>
      </c>
      <c r="HX74" s="41">
        <v>0</v>
      </c>
      <c r="HY74" s="41">
        <v>8.8000000000000007</v>
      </c>
      <c r="HZ74" s="42"/>
      <c r="IA74" s="41">
        <v>0</v>
      </c>
      <c r="IB74" s="41">
        <v>0</v>
      </c>
      <c r="IC74" s="42">
        <v>0</v>
      </c>
      <c r="ID74" s="42">
        <v>0</v>
      </c>
      <c r="IE74" s="41">
        <v>0</v>
      </c>
      <c r="IF74" s="43">
        <v>0</v>
      </c>
      <c r="IG74" s="41">
        <v>0</v>
      </c>
      <c r="IH74" s="41">
        <v>0</v>
      </c>
      <c r="II74" s="41">
        <v>0</v>
      </c>
      <c r="IJ74" s="41">
        <v>0</v>
      </c>
      <c r="IK74" s="41">
        <v>0</v>
      </c>
      <c r="IL74" s="41">
        <v>0</v>
      </c>
      <c r="IM74" s="41">
        <v>0</v>
      </c>
      <c r="IN74" s="41">
        <v>0</v>
      </c>
      <c r="IO74" s="41">
        <v>0</v>
      </c>
      <c r="IP74" s="41">
        <v>0</v>
      </c>
      <c r="IQ74" s="41">
        <v>0</v>
      </c>
      <c r="IR74" s="41">
        <v>0</v>
      </c>
      <c r="IS74" s="41">
        <v>0</v>
      </c>
      <c r="IT74" s="17">
        <v>1</v>
      </c>
      <c r="IU74" s="41">
        <v>4</v>
      </c>
      <c r="IV74" s="41" t="str">
        <f t="shared" si="11"/>
        <v>PUDS</v>
      </c>
      <c r="IW74" s="41">
        <v>818</v>
      </c>
      <c r="IX74" s="41">
        <v>28</v>
      </c>
      <c r="IY74" s="41">
        <v>0</v>
      </c>
      <c r="IZ74" s="41">
        <v>5.5</v>
      </c>
      <c r="JA74" s="42"/>
      <c r="JB74" s="41">
        <v>0</v>
      </c>
      <c r="JC74" s="41">
        <v>0</v>
      </c>
      <c r="JD74" s="42">
        <v>0</v>
      </c>
      <c r="JE74" s="42">
        <v>0</v>
      </c>
      <c r="JF74" s="41">
        <v>0</v>
      </c>
      <c r="JG74" s="41">
        <v>0</v>
      </c>
      <c r="JH74" s="41">
        <v>0</v>
      </c>
      <c r="JI74" s="41">
        <v>0</v>
      </c>
      <c r="JJ74" s="41">
        <v>0</v>
      </c>
      <c r="JK74" s="41">
        <v>0</v>
      </c>
      <c r="JL74" s="41">
        <v>0</v>
      </c>
      <c r="JM74" s="41">
        <v>0</v>
      </c>
      <c r="JN74" s="41">
        <v>0</v>
      </c>
      <c r="JO74" s="41">
        <v>0</v>
      </c>
      <c r="JP74" s="41">
        <v>0</v>
      </c>
      <c r="JQ74" s="41">
        <v>0</v>
      </c>
      <c r="JR74" s="41">
        <v>0</v>
      </c>
      <c r="JS74" s="41">
        <v>0</v>
      </c>
      <c r="JT74" s="41">
        <v>0</v>
      </c>
      <c r="JU74"/>
    </row>
    <row r="75" spans="1:281" ht="15.75">
      <c r="A75" s="25">
        <v>69</v>
      </c>
      <c r="B75" s="25">
        <v>20190301</v>
      </c>
      <c r="C75" s="25"/>
      <c r="D75" s="25" t="s">
        <v>132</v>
      </c>
      <c r="E75" s="25" t="s">
        <v>132</v>
      </c>
      <c r="F75" s="25" t="s">
        <v>133</v>
      </c>
      <c r="G75" s="25"/>
      <c r="H75" s="25">
        <v>100000069</v>
      </c>
      <c r="I75" s="25" t="s">
        <v>134</v>
      </c>
      <c r="J75" s="25" t="s">
        <v>135</v>
      </c>
      <c r="K75" s="25" t="s">
        <v>132</v>
      </c>
      <c r="L75" s="25">
        <v>4</v>
      </c>
      <c r="M75" s="25">
        <v>1</v>
      </c>
      <c r="N75" s="25">
        <v>1</v>
      </c>
      <c r="O75" s="45" t="s">
        <v>141</v>
      </c>
      <c r="P75" s="25">
        <v>100</v>
      </c>
      <c r="Q75" s="25">
        <v>20180301</v>
      </c>
      <c r="R75" s="25">
        <v>20180301</v>
      </c>
      <c r="S75" s="25" t="s">
        <v>137</v>
      </c>
      <c r="T75" s="25" t="s">
        <v>142</v>
      </c>
      <c r="U75" s="25">
        <v>20190301</v>
      </c>
      <c r="V75" s="25">
        <v>10</v>
      </c>
      <c r="W75" s="25">
        <v>10</v>
      </c>
      <c r="X75" s="25" t="s">
        <v>139</v>
      </c>
      <c r="Y75" s="25">
        <v>0</v>
      </c>
      <c r="Z75" s="25" t="s">
        <v>140</v>
      </c>
      <c r="AA75" s="25">
        <v>818</v>
      </c>
      <c r="AB75" s="41">
        <v>0</v>
      </c>
      <c r="AC75" s="41">
        <v>12</v>
      </c>
      <c r="AD75" s="41">
        <v>20180201</v>
      </c>
      <c r="AE75" s="41">
        <v>0</v>
      </c>
      <c r="AF75" s="26">
        <v>30000</v>
      </c>
      <c r="AG75" s="41">
        <v>55</v>
      </c>
      <c r="AH75" s="26">
        <v>26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0</v>
      </c>
      <c r="AV75" s="26">
        <v>0</v>
      </c>
      <c r="AW75" s="26">
        <v>0</v>
      </c>
      <c r="AX75" s="26">
        <v>0</v>
      </c>
      <c r="AY75" s="46">
        <v>1</v>
      </c>
      <c r="AZ75" s="25">
        <v>2</v>
      </c>
      <c r="BA75" s="41" t="s">
        <v>203</v>
      </c>
      <c r="BB75" s="41">
        <v>100</v>
      </c>
      <c r="BC75" s="41">
        <v>20180301</v>
      </c>
      <c r="BD75" s="41">
        <v>20180301</v>
      </c>
      <c r="BE75" s="41" t="s">
        <v>198</v>
      </c>
      <c r="BF75" s="41" t="s">
        <v>149</v>
      </c>
      <c r="BG75" s="41">
        <v>20180301</v>
      </c>
      <c r="BH75" s="41">
        <v>0</v>
      </c>
      <c r="BI75" s="41">
        <v>0</v>
      </c>
      <c r="BJ75" s="41"/>
      <c r="BK75" s="41">
        <v>0</v>
      </c>
      <c r="BL75" s="41" t="s">
        <v>140</v>
      </c>
      <c r="BM75" s="41">
        <v>818</v>
      </c>
      <c r="BN75" s="41">
        <v>0</v>
      </c>
      <c r="BO75" s="41">
        <v>12</v>
      </c>
      <c r="BP75" s="41">
        <v>20180201</v>
      </c>
      <c r="BQ75" s="41">
        <v>0</v>
      </c>
      <c r="BR75" s="41">
        <v>0</v>
      </c>
      <c r="BS75" s="41">
        <v>6</v>
      </c>
      <c r="BT75" s="25">
        <v>26</v>
      </c>
      <c r="BU75" s="25">
        <v>0</v>
      </c>
      <c r="BV75" s="25">
        <v>0</v>
      </c>
      <c r="BW75" s="25">
        <v>0</v>
      </c>
      <c r="BX75" s="25">
        <v>0</v>
      </c>
      <c r="BY75" s="25">
        <v>0</v>
      </c>
      <c r="BZ75" s="25">
        <v>0</v>
      </c>
      <c r="CA75" s="25">
        <v>0</v>
      </c>
      <c r="CB75" s="25">
        <v>0</v>
      </c>
      <c r="CC75" s="25">
        <v>0</v>
      </c>
      <c r="CD75" s="25">
        <v>0</v>
      </c>
      <c r="CE75" s="25">
        <v>0</v>
      </c>
      <c r="CF75" s="25">
        <v>0</v>
      </c>
      <c r="CG75" s="25">
        <v>0</v>
      </c>
      <c r="CH75" s="25">
        <v>0</v>
      </c>
      <c r="CI75" s="25">
        <v>0</v>
      </c>
      <c r="CJ75" s="25">
        <v>0</v>
      </c>
      <c r="CK75" s="22">
        <v>1</v>
      </c>
      <c r="CL75" s="25">
        <v>3</v>
      </c>
      <c r="CM75" s="41" t="s">
        <v>150</v>
      </c>
      <c r="CN75" s="41">
        <v>100</v>
      </c>
      <c r="CO75" s="41">
        <v>20180301</v>
      </c>
      <c r="CP75" s="41">
        <v>20180301</v>
      </c>
      <c r="CQ75" s="41" t="s">
        <v>198</v>
      </c>
      <c r="CR75" s="41" t="s">
        <v>200</v>
      </c>
      <c r="CS75" s="41">
        <v>20180301</v>
      </c>
      <c r="CT75" s="41">
        <v>0</v>
      </c>
      <c r="CU75" s="41">
        <v>0</v>
      </c>
      <c r="CV75" s="41"/>
      <c r="CW75" s="41">
        <v>0</v>
      </c>
      <c r="CX75" s="41" t="s">
        <v>140</v>
      </c>
      <c r="CY75" s="41">
        <v>818</v>
      </c>
      <c r="CZ75" s="41">
        <v>0</v>
      </c>
      <c r="DA75" s="41">
        <v>12</v>
      </c>
      <c r="DB75" s="41">
        <v>20180201</v>
      </c>
      <c r="DC75" s="41">
        <v>0</v>
      </c>
      <c r="DD75" s="41">
        <v>0</v>
      </c>
      <c r="DE75" s="41">
        <v>9</v>
      </c>
      <c r="DF75" s="25">
        <v>26</v>
      </c>
      <c r="DG75" s="25">
        <v>0</v>
      </c>
      <c r="DH75" s="25">
        <v>0</v>
      </c>
      <c r="DI75" s="25">
        <v>0</v>
      </c>
      <c r="DJ75" s="25">
        <v>0</v>
      </c>
      <c r="DK75" s="25">
        <v>0</v>
      </c>
      <c r="DL75" s="25">
        <v>0</v>
      </c>
      <c r="DM75" s="25">
        <v>0</v>
      </c>
      <c r="DN75" s="25">
        <v>0</v>
      </c>
      <c r="DO75" s="25">
        <v>0</v>
      </c>
      <c r="DP75" s="25">
        <v>0</v>
      </c>
      <c r="DQ75" s="25">
        <v>0</v>
      </c>
      <c r="DR75" s="25">
        <v>0</v>
      </c>
      <c r="DS75" s="25">
        <v>0</v>
      </c>
      <c r="DT75" s="25">
        <v>0</v>
      </c>
      <c r="DU75" s="25">
        <v>0</v>
      </c>
      <c r="DV75" s="25">
        <v>0</v>
      </c>
      <c r="DW75" s="23">
        <v>1</v>
      </c>
      <c r="DX75" s="25">
        <v>4</v>
      </c>
      <c r="DY75" s="41" t="s">
        <v>151</v>
      </c>
      <c r="DZ75" s="41">
        <v>100</v>
      </c>
      <c r="EA75" s="41">
        <v>20180301</v>
      </c>
      <c r="EB75" s="41">
        <v>20180301</v>
      </c>
      <c r="EC75" s="41" t="s">
        <v>198</v>
      </c>
      <c r="ED75" s="41" t="s">
        <v>201</v>
      </c>
      <c r="EE75" s="41">
        <v>20180301</v>
      </c>
      <c r="EF75" s="41">
        <v>0</v>
      </c>
      <c r="EG75" s="41">
        <v>0</v>
      </c>
      <c r="EH75" s="41"/>
      <c r="EI75" s="41">
        <v>0</v>
      </c>
      <c r="EJ75" s="41" t="s">
        <v>140</v>
      </c>
      <c r="EK75" s="41">
        <v>818</v>
      </c>
      <c r="EL75" s="41">
        <v>0</v>
      </c>
      <c r="EM75" s="41">
        <v>12</v>
      </c>
      <c r="EN75" s="41">
        <v>20180201</v>
      </c>
      <c r="EO75" s="41">
        <v>0</v>
      </c>
      <c r="EP75" s="41">
        <v>0</v>
      </c>
      <c r="EQ75" s="41">
        <v>5</v>
      </c>
      <c r="ER75" s="25">
        <v>26</v>
      </c>
      <c r="ES75" s="25">
        <v>0</v>
      </c>
      <c r="ET75" s="25">
        <v>0</v>
      </c>
      <c r="EU75" s="25">
        <v>0</v>
      </c>
      <c r="EV75" s="25">
        <v>0</v>
      </c>
      <c r="EW75" s="25">
        <v>0</v>
      </c>
      <c r="EX75" s="25">
        <v>0</v>
      </c>
      <c r="EY75" s="25">
        <v>0</v>
      </c>
      <c r="EZ75" s="25">
        <v>0</v>
      </c>
      <c r="FA75" s="25">
        <v>0</v>
      </c>
      <c r="FB75" s="25">
        <v>0</v>
      </c>
      <c r="FC75" s="25">
        <v>0</v>
      </c>
      <c r="FD75" s="25">
        <v>0</v>
      </c>
      <c r="FE75" s="25">
        <v>0</v>
      </c>
      <c r="FF75" s="25">
        <v>0</v>
      </c>
      <c r="FG75" s="25">
        <v>0</v>
      </c>
      <c r="FH75" s="25">
        <v>0</v>
      </c>
      <c r="FI75" s="25">
        <v>1</v>
      </c>
      <c r="FJ75" s="25">
        <v>1</v>
      </c>
      <c r="FK75" s="25">
        <v>1</v>
      </c>
      <c r="FL75" s="25">
        <v>26</v>
      </c>
      <c r="FM75" s="25" t="s">
        <v>137</v>
      </c>
      <c r="FN75" s="25">
        <v>19930101</v>
      </c>
      <c r="FP75" s="28">
        <v>4</v>
      </c>
      <c r="FQ75" s="47">
        <v>1</v>
      </c>
      <c r="FR75" s="41">
        <v>1</v>
      </c>
      <c r="FS75" s="41" t="str">
        <f t="shared" si="6"/>
        <v>MFSP</v>
      </c>
      <c r="FT75" s="41">
        <f t="shared" si="7"/>
        <v>818</v>
      </c>
      <c r="FU75" s="41">
        <f t="shared" si="8"/>
        <v>26</v>
      </c>
      <c r="FV75" s="41">
        <v>33000</v>
      </c>
      <c r="FW75" s="41">
        <v>60.5</v>
      </c>
      <c r="FX75" s="41"/>
      <c r="FY75" s="29">
        <v>0</v>
      </c>
      <c r="FZ75" s="29">
        <v>0</v>
      </c>
      <c r="GA75" s="30">
        <v>0</v>
      </c>
      <c r="GB75" s="30">
        <v>0</v>
      </c>
      <c r="GC75" s="29">
        <v>0</v>
      </c>
      <c r="GD75" s="41">
        <v>0</v>
      </c>
      <c r="GE75" s="29">
        <v>0</v>
      </c>
      <c r="GF75" s="29">
        <v>0</v>
      </c>
      <c r="GG75" s="29">
        <v>0</v>
      </c>
      <c r="GH75" s="29">
        <v>0</v>
      </c>
      <c r="GI75" s="29">
        <v>0</v>
      </c>
      <c r="GJ75" s="29">
        <v>0</v>
      </c>
      <c r="GK75" s="29">
        <v>0</v>
      </c>
      <c r="GL75" s="29">
        <v>0</v>
      </c>
      <c r="GM75" s="29">
        <v>0</v>
      </c>
      <c r="GN75" s="29">
        <v>0</v>
      </c>
      <c r="GO75" s="29">
        <v>0</v>
      </c>
      <c r="GP75" s="29">
        <v>0</v>
      </c>
      <c r="GQ75" s="29">
        <v>0</v>
      </c>
      <c r="GR75" s="18">
        <v>1</v>
      </c>
      <c r="GS75" s="41">
        <v>2</v>
      </c>
      <c r="GT75" s="41" t="str">
        <f t="shared" si="9"/>
        <v>PURO</v>
      </c>
      <c r="GU75" s="41">
        <v>818</v>
      </c>
      <c r="GV75" s="41">
        <v>29</v>
      </c>
      <c r="GW75" s="41">
        <v>0</v>
      </c>
      <c r="GX75" s="41">
        <v>6.6</v>
      </c>
      <c r="GY75" s="41"/>
      <c r="GZ75" s="41">
        <v>0</v>
      </c>
      <c r="HA75" s="41">
        <v>0</v>
      </c>
      <c r="HB75" s="42">
        <v>0</v>
      </c>
      <c r="HC75" s="42">
        <v>0</v>
      </c>
      <c r="HD75" s="41">
        <v>0</v>
      </c>
      <c r="HE75" s="41">
        <v>0</v>
      </c>
      <c r="HF75" s="41">
        <v>0</v>
      </c>
      <c r="HG75" s="41">
        <v>0</v>
      </c>
      <c r="HH75" s="41">
        <v>0</v>
      </c>
      <c r="HI75" s="41">
        <v>0</v>
      </c>
      <c r="HJ75" s="41">
        <v>0</v>
      </c>
      <c r="HK75" s="41">
        <v>0</v>
      </c>
      <c r="HL75" s="41">
        <v>0</v>
      </c>
      <c r="HM75" s="41">
        <v>0</v>
      </c>
      <c r="HN75" s="41">
        <v>0</v>
      </c>
      <c r="HO75" s="41">
        <v>0</v>
      </c>
      <c r="HP75" s="41">
        <v>0</v>
      </c>
      <c r="HQ75" s="41">
        <v>0</v>
      </c>
      <c r="HR75" s="41">
        <v>0</v>
      </c>
      <c r="HS75" s="24">
        <v>1</v>
      </c>
      <c r="HT75" s="41">
        <v>3</v>
      </c>
      <c r="HU75" s="41" t="str">
        <f t="shared" si="10"/>
        <v>PUDT</v>
      </c>
      <c r="HV75" s="41">
        <v>818</v>
      </c>
      <c r="HW75" s="41">
        <v>29</v>
      </c>
      <c r="HX75" s="41">
        <v>0</v>
      </c>
      <c r="HY75" s="41">
        <v>9.9</v>
      </c>
      <c r="HZ75" s="42"/>
      <c r="IA75" s="41">
        <v>0</v>
      </c>
      <c r="IB75" s="41">
        <v>0</v>
      </c>
      <c r="IC75" s="42">
        <v>0</v>
      </c>
      <c r="ID75" s="42">
        <v>0</v>
      </c>
      <c r="IE75" s="41">
        <v>0</v>
      </c>
      <c r="IF75" s="43">
        <v>0</v>
      </c>
      <c r="IG75" s="41">
        <v>0</v>
      </c>
      <c r="IH75" s="41">
        <v>0</v>
      </c>
      <c r="II75" s="41">
        <v>0</v>
      </c>
      <c r="IJ75" s="41">
        <v>0</v>
      </c>
      <c r="IK75" s="41">
        <v>0</v>
      </c>
      <c r="IL75" s="41">
        <v>0</v>
      </c>
      <c r="IM75" s="41">
        <v>0</v>
      </c>
      <c r="IN75" s="41">
        <v>0</v>
      </c>
      <c r="IO75" s="41">
        <v>0</v>
      </c>
      <c r="IP75" s="41">
        <v>0</v>
      </c>
      <c r="IQ75" s="41">
        <v>0</v>
      </c>
      <c r="IR75" s="41">
        <v>0</v>
      </c>
      <c r="IS75" s="41">
        <v>0</v>
      </c>
      <c r="IT75" s="17">
        <v>1</v>
      </c>
      <c r="IU75" s="41">
        <v>4</v>
      </c>
      <c r="IV75" s="41" t="str">
        <f t="shared" si="11"/>
        <v>PUDS</v>
      </c>
      <c r="IW75" s="41">
        <v>818</v>
      </c>
      <c r="IX75" s="41">
        <v>29</v>
      </c>
      <c r="IY75" s="41">
        <v>0</v>
      </c>
      <c r="IZ75" s="41">
        <v>5.5</v>
      </c>
      <c r="JA75" s="42"/>
      <c r="JB75" s="41">
        <v>0</v>
      </c>
      <c r="JC75" s="41">
        <v>0</v>
      </c>
      <c r="JD75" s="42">
        <v>0</v>
      </c>
      <c r="JE75" s="42">
        <v>0</v>
      </c>
      <c r="JF75" s="41">
        <v>0</v>
      </c>
      <c r="JG75" s="41">
        <v>0</v>
      </c>
      <c r="JH75" s="41">
        <v>0</v>
      </c>
      <c r="JI75" s="41">
        <v>0</v>
      </c>
      <c r="JJ75" s="41">
        <v>0</v>
      </c>
      <c r="JK75" s="41">
        <v>0</v>
      </c>
      <c r="JL75" s="41">
        <v>0</v>
      </c>
      <c r="JM75" s="41">
        <v>0</v>
      </c>
      <c r="JN75" s="41">
        <v>0</v>
      </c>
      <c r="JO75" s="41">
        <v>0</v>
      </c>
      <c r="JP75" s="41">
        <v>0</v>
      </c>
      <c r="JQ75" s="41">
        <v>0</v>
      </c>
      <c r="JR75" s="41">
        <v>0</v>
      </c>
      <c r="JS75" s="41">
        <v>0</v>
      </c>
      <c r="JT75" s="41">
        <v>0</v>
      </c>
      <c r="JU75"/>
    </row>
    <row r="76" spans="1:281" ht="15.75">
      <c r="A76" s="25">
        <v>70</v>
      </c>
      <c r="B76" s="25">
        <v>20190301</v>
      </c>
      <c r="C76" s="25"/>
      <c r="D76" s="25" t="s">
        <v>132</v>
      </c>
      <c r="E76" s="25" t="s">
        <v>132</v>
      </c>
      <c r="F76" s="25" t="s">
        <v>133</v>
      </c>
      <c r="G76" s="25"/>
      <c r="H76" s="25">
        <v>100000070</v>
      </c>
      <c r="I76" s="25" t="s">
        <v>134</v>
      </c>
      <c r="J76" s="25" t="s">
        <v>135</v>
      </c>
      <c r="K76" s="25" t="s">
        <v>132</v>
      </c>
      <c r="L76" s="25">
        <v>4</v>
      </c>
      <c r="M76" s="25">
        <v>1</v>
      </c>
      <c r="N76" s="25">
        <v>1</v>
      </c>
      <c r="O76" s="45" t="s">
        <v>141</v>
      </c>
      <c r="P76" s="25">
        <v>100</v>
      </c>
      <c r="Q76" s="25">
        <v>20180301</v>
      </c>
      <c r="R76" s="25">
        <v>20180301</v>
      </c>
      <c r="S76" s="25" t="s">
        <v>137</v>
      </c>
      <c r="T76" s="25" t="s">
        <v>142</v>
      </c>
      <c r="U76" s="25">
        <v>20190301</v>
      </c>
      <c r="V76" s="25">
        <v>10</v>
      </c>
      <c r="W76" s="25">
        <v>10</v>
      </c>
      <c r="X76" s="25" t="s">
        <v>139</v>
      </c>
      <c r="Y76" s="25">
        <v>0</v>
      </c>
      <c r="Z76" s="25" t="s">
        <v>140</v>
      </c>
      <c r="AA76" s="25">
        <v>818</v>
      </c>
      <c r="AB76" s="41">
        <v>0</v>
      </c>
      <c r="AC76" s="41">
        <v>12</v>
      </c>
      <c r="AD76" s="41">
        <v>20180201</v>
      </c>
      <c r="AE76" s="41">
        <v>0</v>
      </c>
      <c r="AF76" s="26">
        <v>35000</v>
      </c>
      <c r="AG76" s="41">
        <v>60</v>
      </c>
      <c r="AH76" s="26">
        <v>27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0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0</v>
      </c>
      <c r="AV76" s="26">
        <v>0</v>
      </c>
      <c r="AW76" s="26">
        <v>0</v>
      </c>
      <c r="AX76" s="26">
        <v>0</v>
      </c>
      <c r="AY76" s="46">
        <v>1</v>
      </c>
      <c r="AZ76" s="25">
        <v>2</v>
      </c>
      <c r="BA76" s="41" t="s">
        <v>203</v>
      </c>
      <c r="BB76" s="41">
        <v>100</v>
      </c>
      <c r="BC76" s="41">
        <v>20180301</v>
      </c>
      <c r="BD76" s="41">
        <v>20180301</v>
      </c>
      <c r="BE76" s="41" t="s">
        <v>198</v>
      </c>
      <c r="BF76" s="41" t="s">
        <v>149</v>
      </c>
      <c r="BG76" s="41">
        <v>20180301</v>
      </c>
      <c r="BH76" s="41">
        <v>0</v>
      </c>
      <c r="BI76" s="41">
        <v>0</v>
      </c>
      <c r="BJ76" s="41"/>
      <c r="BK76" s="41">
        <v>0</v>
      </c>
      <c r="BL76" s="41" t="s">
        <v>140</v>
      </c>
      <c r="BM76" s="41">
        <v>818</v>
      </c>
      <c r="BN76" s="41">
        <v>0</v>
      </c>
      <c r="BO76" s="41">
        <v>12</v>
      </c>
      <c r="BP76" s="41">
        <v>20180201</v>
      </c>
      <c r="BQ76" s="41">
        <v>0</v>
      </c>
      <c r="BR76" s="41">
        <v>0</v>
      </c>
      <c r="BS76" s="41">
        <v>6</v>
      </c>
      <c r="BT76" s="25">
        <v>27</v>
      </c>
      <c r="BU76" s="25">
        <v>0</v>
      </c>
      <c r="BV76" s="25">
        <v>0</v>
      </c>
      <c r="BW76" s="25">
        <v>0</v>
      </c>
      <c r="BX76" s="25">
        <v>0</v>
      </c>
      <c r="BY76" s="25">
        <v>0</v>
      </c>
      <c r="BZ76" s="25">
        <v>0</v>
      </c>
      <c r="CA76" s="25">
        <v>0</v>
      </c>
      <c r="CB76" s="25">
        <v>0</v>
      </c>
      <c r="CC76" s="25">
        <v>0</v>
      </c>
      <c r="CD76" s="25">
        <v>0</v>
      </c>
      <c r="CE76" s="25">
        <v>0</v>
      </c>
      <c r="CF76" s="25">
        <v>0</v>
      </c>
      <c r="CG76" s="25">
        <v>0</v>
      </c>
      <c r="CH76" s="25">
        <v>0</v>
      </c>
      <c r="CI76" s="25">
        <v>0</v>
      </c>
      <c r="CJ76" s="25">
        <v>0</v>
      </c>
      <c r="CK76" s="22">
        <v>1</v>
      </c>
      <c r="CL76" s="25">
        <v>3</v>
      </c>
      <c r="CM76" s="41" t="s">
        <v>150</v>
      </c>
      <c r="CN76" s="41">
        <v>100</v>
      </c>
      <c r="CO76" s="41">
        <v>20180301</v>
      </c>
      <c r="CP76" s="41">
        <v>20180301</v>
      </c>
      <c r="CQ76" s="41" t="s">
        <v>198</v>
      </c>
      <c r="CR76" s="41" t="s">
        <v>200</v>
      </c>
      <c r="CS76" s="41">
        <v>20180301</v>
      </c>
      <c r="CT76" s="41">
        <v>0</v>
      </c>
      <c r="CU76" s="41">
        <v>0</v>
      </c>
      <c r="CV76" s="41"/>
      <c r="CW76" s="41">
        <v>0</v>
      </c>
      <c r="CX76" s="41" t="s">
        <v>140</v>
      </c>
      <c r="CY76" s="41">
        <v>818</v>
      </c>
      <c r="CZ76" s="41">
        <v>0</v>
      </c>
      <c r="DA76" s="41">
        <v>12</v>
      </c>
      <c r="DB76" s="41">
        <v>20180201</v>
      </c>
      <c r="DC76" s="41">
        <v>0</v>
      </c>
      <c r="DD76" s="41">
        <v>0</v>
      </c>
      <c r="DE76" s="41">
        <v>9</v>
      </c>
      <c r="DF76" s="25">
        <v>27</v>
      </c>
      <c r="DG76" s="25">
        <v>0</v>
      </c>
      <c r="DH76" s="25">
        <v>0</v>
      </c>
      <c r="DI76" s="25">
        <v>0</v>
      </c>
      <c r="DJ76" s="25">
        <v>0</v>
      </c>
      <c r="DK76" s="25">
        <v>0</v>
      </c>
      <c r="DL76" s="25">
        <v>0</v>
      </c>
      <c r="DM76" s="25">
        <v>0</v>
      </c>
      <c r="DN76" s="25">
        <v>0</v>
      </c>
      <c r="DO76" s="25">
        <v>0</v>
      </c>
      <c r="DP76" s="25">
        <v>0</v>
      </c>
      <c r="DQ76" s="25">
        <v>0</v>
      </c>
      <c r="DR76" s="25">
        <v>0</v>
      </c>
      <c r="DS76" s="25">
        <v>0</v>
      </c>
      <c r="DT76" s="25">
        <v>0</v>
      </c>
      <c r="DU76" s="25">
        <v>0</v>
      </c>
      <c r="DV76" s="25">
        <v>0</v>
      </c>
      <c r="DW76" s="23">
        <v>1</v>
      </c>
      <c r="DX76" s="25">
        <v>4</v>
      </c>
      <c r="DY76" s="41" t="s">
        <v>151</v>
      </c>
      <c r="DZ76" s="41">
        <v>100</v>
      </c>
      <c r="EA76" s="41">
        <v>20180301</v>
      </c>
      <c r="EB76" s="41">
        <v>20180301</v>
      </c>
      <c r="EC76" s="41" t="s">
        <v>198</v>
      </c>
      <c r="ED76" s="41" t="s">
        <v>201</v>
      </c>
      <c r="EE76" s="41">
        <v>20180301</v>
      </c>
      <c r="EF76" s="41">
        <v>0</v>
      </c>
      <c r="EG76" s="41">
        <v>0</v>
      </c>
      <c r="EH76" s="41"/>
      <c r="EI76" s="41">
        <v>0</v>
      </c>
      <c r="EJ76" s="41" t="s">
        <v>140</v>
      </c>
      <c r="EK76" s="41">
        <v>818</v>
      </c>
      <c r="EL76" s="41">
        <v>0</v>
      </c>
      <c r="EM76" s="41">
        <v>12</v>
      </c>
      <c r="EN76" s="41">
        <v>20180201</v>
      </c>
      <c r="EO76" s="41">
        <v>0</v>
      </c>
      <c r="EP76" s="41">
        <v>0</v>
      </c>
      <c r="EQ76" s="41">
        <v>5</v>
      </c>
      <c r="ER76" s="25">
        <v>27</v>
      </c>
      <c r="ES76" s="25">
        <v>0</v>
      </c>
      <c r="ET76" s="25">
        <v>0</v>
      </c>
      <c r="EU76" s="25">
        <v>0</v>
      </c>
      <c r="EV76" s="25">
        <v>0</v>
      </c>
      <c r="EW76" s="25">
        <v>0</v>
      </c>
      <c r="EX76" s="25">
        <v>0</v>
      </c>
      <c r="EY76" s="25">
        <v>0</v>
      </c>
      <c r="EZ76" s="25">
        <v>0</v>
      </c>
      <c r="FA76" s="25">
        <v>0</v>
      </c>
      <c r="FB76" s="25">
        <v>0</v>
      </c>
      <c r="FC76" s="25">
        <v>0</v>
      </c>
      <c r="FD76" s="25">
        <v>0</v>
      </c>
      <c r="FE76" s="25">
        <v>0</v>
      </c>
      <c r="FF76" s="25">
        <v>0</v>
      </c>
      <c r="FG76" s="25">
        <v>0</v>
      </c>
      <c r="FH76" s="25">
        <v>0</v>
      </c>
      <c r="FI76" s="25">
        <v>1</v>
      </c>
      <c r="FJ76" s="25">
        <v>1</v>
      </c>
      <c r="FK76" s="25">
        <v>1</v>
      </c>
      <c r="FL76" s="25">
        <v>27</v>
      </c>
      <c r="FM76" s="25" t="s">
        <v>137</v>
      </c>
      <c r="FN76" s="25">
        <v>19920101</v>
      </c>
      <c r="FP76" s="28">
        <v>4</v>
      </c>
      <c r="FQ76" s="47">
        <v>1</v>
      </c>
      <c r="FR76" s="41">
        <v>1</v>
      </c>
      <c r="FS76" s="41" t="str">
        <f t="shared" si="6"/>
        <v>MFSP</v>
      </c>
      <c r="FT76" s="41">
        <f t="shared" si="7"/>
        <v>818</v>
      </c>
      <c r="FU76" s="41">
        <f t="shared" si="8"/>
        <v>27</v>
      </c>
      <c r="FV76" s="41">
        <v>38500</v>
      </c>
      <c r="FW76" s="41">
        <v>66</v>
      </c>
      <c r="FX76" s="41"/>
      <c r="FY76" s="29">
        <v>0</v>
      </c>
      <c r="FZ76" s="29">
        <v>0</v>
      </c>
      <c r="GA76" s="30">
        <v>0</v>
      </c>
      <c r="GB76" s="30">
        <v>0</v>
      </c>
      <c r="GC76" s="29">
        <v>0</v>
      </c>
      <c r="GD76" s="41">
        <v>0</v>
      </c>
      <c r="GE76" s="29">
        <v>0</v>
      </c>
      <c r="GF76" s="29">
        <v>0</v>
      </c>
      <c r="GG76" s="29">
        <v>0</v>
      </c>
      <c r="GH76" s="29">
        <v>0</v>
      </c>
      <c r="GI76" s="29">
        <v>0</v>
      </c>
      <c r="GJ76" s="29">
        <v>0</v>
      </c>
      <c r="GK76" s="29">
        <v>0</v>
      </c>
      <c r="GL76" s="29">
        <v>0</v>
      </c>
      <c r="GM76" s="29">
        <v>0</v>
      </c>
      <c r="GN76" s="29">
        <v>0</v>
      </c>
      <c r="GO76" s="29">
        <v>0</v>
      </c>
      <c r="GP76" s="29">
        <v>0</v>
      </c>
      <c r="GQ76" s="29">
        <v>0</v>
      </c>
      <c r="GR76" s="18">
        <v>1</v>
      </c>
      <c r="GS76" s="41">
        <v>2</v>
      </c>
      <c r="GT76" s="41" t="str">
        <f t="shared" si="9"/>
        <v>PURO</v>
      </c>
      <c r="GU76" s="41">
        <v>818</v>
      </c>
      <c r="GV76" s="41">
        <v>31</v>
      </c>
      <c r="GW76" s="41">
        <v>0</v>
      </c>
      <c r="GX76" s="41">
        <v>6.6</v>
      </c>
      <c r="GY76" s="41"/>
      <c r="GZ76" s="41">
        <v>0</v>
      </c>
      <c r="HA76" s="41">
        <v>0</v>
      </c>
      <c r="HB76" s="42">
        <v>0</v>
      </c>
      <c r="HC76" s="42">
        <v>0</v>
      </c>
      <c r="HD76" s="41">
        <v>0</v>
      </c>
      <c r="HE76" s="41">
        <v>0</v>
      </c>
      <c r="HF76" s="41">
        <v>0</v>
      </c>
      <c r="HG76" s="41">
        <v>0</v>
      </c>
      <c r="HH76" s="41">
        <v>0</v>
      </c>
      <c r="HI76" s="41">
        <v>0</v>
      </c>
      <c r="HJ76" s="41">
        <v>0</v>
      </c>
      <c r="HK76" s="41">
        <v>0</v>
      </c>
      <c r="HL76" s="41">
        <v>0</v>
      </c>
      <c r="HM76" s="41">
        <v>0</v>
      </c>
      <c r="HN76" s="41">
        <v>0</v>
      </c>
      <c r="HO76" s="41">
        <v>0</v>
      </c>
      <c r="HP76" s="41">
        <v>0</v>
      </c>
      <c r="HQ76" s="41">
        <v>0</v>
      </c>
      <c r="HR76" s="41">
        <v>0</v>
      </c>
      <c r="HS76" s="24">
        <v>1</v>
      </c>
      <c r="HT76" s="41">
        <v>3</v>
      </c>
      <c r="HU76" s="41" t="str">
        <f t="shared" si="10"/>
        <v>PUDT</v>
      </c>
      <c r="HV76" s="41">
        <v>818</v>
      </c>
      <c r="HW76" s="41">
        <v>31</v>
      </c>
      <c r="HX76" s="41">
        <v>0</v>
      </c>
      <c r="HY76" s="41">
        <v>9.9</v>
      </c>
      <c r="HZ76" s="42"/>
      <c r="IA76" s="41">
        <v>0</v>
      </c>
      <c r="IB76" s="41">
        <v>0</v>
      </c>
      <c r="IC76" s="42">
        <v>0</v>
      </c>
      <c r="ID76" s="42">
        <v>0</v>
      </c>
      <c r="IE76" s="41">
        <v>0</v>
      </c>
      <c r="IF76" s="43">
        <v>0</v>
      </c>
      <c r="IG76" s="41">
        <v>0</v>
      </c>
      <c r="IH76" s="41">
        <v>0</v>
      </c>
      <c r="II76" s="41">
        <v>0</v>
      </c>
      <c r="IJ76" s="41">
        <v>0</v>
      </c>
      <c r="IK76" s="41">
        <v>0</v>
      </c>
      <c r="IL76" s="41">
        <v>0</v>
      </c>
      <c r="IM76" s="41">
        <v>0</v>
      </c>
      <c r="IN76" s="41">
        <v>0</v>
      </c>
      <c r="IO76" s="41">
        <v>0</v>
      </c>
      <c r="IP76" s="41">
        <v>0</v>
      </c>
      <c r="IQ76" s="41">
        <v>0</v>
      </c>
      <c r="IR76" s="41">
        <v>0</v>
      </c>
      <c r="IS76" s="41">
        <v>0</v>
      </c>
      <c r="IT76" s="17">
        <v>1</v>
      </c>
      <c r="IU76" s="41">
        <v>4</v>
      </c>
      <c r="IV76" s="41" t="str">
        <f t="shared" si="11"/>
        <v>PUDS</v>
      </c>
      <c r="IW76" s="41">
        <v>818</v>
      </c>
      <c r="IX76" s="41">
        <v>31</v>
      </c>
      <c r="IY76" s="41">
        <v>0</v>
      </c>
      <c r="IZ76" s="41">
        <v>5.5</v>
      </c>
      <c r="JA76" s="42"/>
      <c r="JB76" s="41">
        <v>0</v>
      </c>
      <c r="JC76" s="41">
        <v>0</v>
      </c>
      <c r="JD76" s="42">
        <v>0</v>
      </c>
      <c r="JE76" s="42">
        <v>0</v>
      </c>
      <c r="JF76" s="41">
        <v>0</v>
      </c>
      <c r="JG76" s="41">
        <v>0</v>
      </c>
      <c r="JH76" s="41">
        <v>0</v>
      </c>
      <c r="JI76" s="41">
        <v>0</v>
      </c>
      <c r="JJ76" s="41">
        <v>0</v>
      </c>
      <c r="JK76" s="41">
        <v>0</v>
      </c>
      <c r="JL76" s="41">
        <v>0</v>
      </c>
      <c r="JM76" s="41">
        <v>0</v>
      </c>
      <c r="JN76" s="41">
        <v>0</v>
      </c>
      <c r="JO76" s="41">
        <v>0</v>
      </c>
      <c r="JP76" s="41">
        <v>0</v>
      </c>
      <c r="JQ76" s="41">
        <v>0</v>
      </c>
      <c r="JR76" s="41">
        <v>0</v>
      </c>
      <c r="JS76" s="41">
        <v>0</v>
      </c>
      <c r="JT76" s="41">
        <v>0</v>
      </c>
      <c r="JU76"/>
    </row>
    <row r="77" spans="1:281" ht="15.75">
      <c r="A77" s="25">
        <v>71</v>
      </c>
      <c r="B77" s="25">
        <v>20190301</v>
      </c>
      <c r="C77" s="25"/>
      <c r="D77" s="25" t="s">
        <v>132</v>
      </c>
      <c r="E77" s="25" t="s">
        <v>132</v>
      </c>
      <c r="F77" s="25" t="s">
        <v>133</v>
      </c>
      <c r="G77" s="25"/>
      <c r="H77" s="25">
        <v>100000071</v>
      </c>
      <c r="I77" s="25" t="s">
        <v>134</v>
      </c>
      <c r="J77" s="25" t="s">
        <v>135</v>
      </c>
      <c r="K77" s="25" t="s">
        <v>132</v>
      </c>
      <c r="L77" s="25">
        <v>4</v>
      </c>
      <c r="M77" s="25">
        <v>1</v>
      </c>
      <c r="N77" s="25">
        <v>1</v>
      </c>
      <c r="O77" s="45" t="s">
        <v>141</v>
      </c>
      <c r="P77" s="25">
        <v>100</v>
      </c>
      <c r="Q77" s="25">
        <v>20180301</v>
      </c>
      <c r="R77" s="25">
        <v>20180301</v>
      </c>
      <c r="S77" s="25" t="s">
        <v>137</v>
      </c>
      <c r="T77" s="25" t="s">
        <v>142</v>
      </c>
      <c r="U77" s="25">
        <v>20190301</v>
      </c>
      <c r="V77" s="25">
        <v>6</v>
      </c>
      <c r="W77" s="25">
        <v>6</v>
      </c>
      <c r="X77" s="25" t="s">
        <v>139</v>
      </c>
      <c r="Y77" s="25">
        <v>0</v>
      </c>
      <c r="Z77" s="25" t="s">
        <v>140</v>
      </c>
      <c r="AA77" s="25">
        <v>818</v>
      </c>
      <c r="AB77" s="41">
        <v>0</v>
      </c>
      <c r="AC77" s="41">
        <v>12</v>
      </c>
      <c r="AD77" s="41">
        <v>20180201</v>
      </c>
      <c r="AE77" s="41">
        <v>0</v>
      </c>
      <c r="AF77" s="26">
        <v>40000</v>
      </c>
      <c r="AG77" s="41">
        <v>64</v>
      </c>
      <c r="AH77" s="26">
        <v>28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0</v>
      </c>
      <c r="AV77" s="26">
        <v>0</v>
      </c>
      <c r="AW77" s="26">
        <v>0</v>
      </c>
      <c r="AX77" s="26">
        <v>0</v>
      </c>
      <c r="AY77" s="46">
        <v>1</v>
      </c>
      <c r="AZ77" s="25">
        <v>2</v>
      </c>
      <c r="BA77" s="41" t="s">
        <v>203</v>
      </c>
      <c r="BB77" s="41">
        <v>100</v>
      </c>
      <c r="BC77" s="41">
        <v>20180301</v>
      </c>
      <c r="BD77" s="41">
        <v>20180301</v>
      </c>
      <c r="BE77" s="41" t="s">
        <v>198</v>
      </c>
      <c r="BF77" s="41" t="s">
        <v>149</v>
      </c>
      <c r="BG77" s="41">
        <v>20180301</v>
      </c>
      <c r="BH77" s="41">
        <v>0</v>
      </c>
      <c r="BI77" s="41">
        <v>0</v>
      </c>
      <c r="BJ77" s="41"/>
      <c r="BK77" s="41">
        <v>0</v>
      </c>
      <c r="BL77" s="41" t="s">
        <v>140</v>
      </c>
      <c r="BM77" s="41">
        <v>818</v>
      </c>
      <c r="BN77" s="41">
        <v>0</v>
      </c>
      <c r="BO77" s="41">
        <v>12</v>
      </c>
      <c r="BP77" s="41">
        <v>20180201</v>
      </c>
      <c r="BQ77" s="41">
        <v>0</v>
      </c>
      <c r="BR77" s="41">
        <v>0</v>
      </c>
      <c r="BS77" s="41">
        <v>6</v>
      </c>
      <c r="BT77" s="25">
        <v>28</v>
      </c>
      <c r="BU77" s="25">
        <v>0</v>
      </c>
      <c r="BV77" s="25">
        <v>0</v>
      </c>
      <c r="BW77" s="25">
        <v>0</v>
      </c>
      <c r="BX77" s="25">
        <v>0</v>
      </c>
      <c r="BY77" s="25">
        <v>0</v>
      </c>
      <c r="BZ77" s="25">
        <v>0</v>
      </c>
      <c r="CA77" s="25">
        <v>0</v>
      </c>
      <c r="CB77" s="25">
        <v>0</v>
      </c>
      <c r="CC77" s="25">
        <v>0</v>
      </c>
      <c r="CD77" s="25">
        <v>0</v>
      </c>
      <c r="CE77" s="25">
        <v>0</v>
      </c>
      <c r="CF77" s="25">
        <v>0</v>
      </c>
      <c r="CG77" s="25">
        <v>0</v>
      </c>
      <c r="CH77" s="25">
        <v>0</v>
      </c>
      <c r="CI77" s="25">
        <v>0</v>
      </c>
      <c r="CJ77" s="25">
        <v>0</v>
      </c>
      <c r="CK77" s="22">
        <v>1</v>
      </c>
      <c r="CL77" s="25">
        <v>3</v>
      </c>
      <c r="CM77" s="41" t="s">
        <v>150</v>
      </c>
      <c r="CN77" s="41">
        <v>100</v>
      </c>
      <c r="CO77" s="41">
        <v>20180301</v>
      </c>
      <c r="CP77" s="41">
        <v>20180301</v>
      </c>
      <c r="CQ77" s="41" t="s">
        <v>198</v>
      </c>
      <c r="CR77" s="41" t="s">
        <v>200</v>
      </c>
      <c r="CS77" s="41">
        <v>20180301</v>
      </c>
      <c r="CT77" s="41">
        <v>0</v>
      </c>
      <c r="CU77" s="41">
        <v>0</v>
      </c>
      <c r="CV77" s="41"/>
      <c r="CW77" s="41">
        <v>0</v>
      </c>
      <c r="CX77" s="41" t="s">
        <v>140</v>
      </c>
      <c r="CY77" s="41">
        <v>818</v>
      </c>
      <c r="CZ77" s="41">
        <v>0</v>
      </c>
      <c r="DA77" s="41">
        <v>12</v>
      </c>
      <c r="DB77" s="41">
        <v>20180201</v>
      </c>
      <c r="DC77" s="41">
        <v>0</v>
      </c>
      <c r="DD77" s="41">
        <v>0</v>
      </c>
      <c r="DE77" s="41">
        <v>10</v>
      </c>
      <c r="DF77" s="25">
        <v>28</v>
      </c>
      <c r="DG77" s="25">
        <v>0</v>
      </c>
      <c r="DH77" s="25">
        <v>0</v>
      </c>
      <c r="DI77" s="25">
        <v>0</v>
      </c>
      <c r="DJ77" s="25">
        <v>0</v>
      </c>
      <c r="DK77" s="25">
        <v>0</v>
      </c>
      <c r="DL77" s="25">
        <v>0</v>
      </c>
      <c r="DM77" s="25">
        <v>0</v>
      </c>
      <c r="DN77" s="25">
        <v>0</v>
      </c>
      <c r="DO77" s="25">
        <v>0</v>
      </c>
      <c r="DP77" s="25">
        <v>0</v>
      </c>
      <c r="DQ77" s="25">
        <v>0</v>
      </c>
      <c r="DR77" s="25">
        <v>0</v>
      </c>
      <c r="DS77" s="25">
        <v>0</v>
      </c>
      <c r="DT77" s="25">
        <v>0</v>
      </c>
      <c r="DU77" s="25">
        <v>0</v>
      </c>
      <c r="DV77" s="25">
        <v>0</v>
      </c>
      <c r="DW77" s="23">
        <v>1</v>
      </c>
      <c r="DX77" s="25">
        <v>4</v>
      </c>
      <c r="DY77" s="41" t="s">
        <v>151</v>
      </c>
      <c r="DZ77" s="41">
        <v>100</v>
      </c>
      <c r="EA77" s="41">
        <v>20180301</v>
      </c>
      <c r="EB77" s="41">
        <v>20180301</v>
      </c>
      <c r="EC77" s="41" t="s">
        <v>198</v>
      </c>
      <c r="ED77" s="41" t="s">
        <v>201</v>
      </c>
      <c r="EE77" s="41">
        <v>20180301</v>
      </c>
      <c r="EF77" s="41">
        <v>0</v>
      </c>
      <c r="EG77" s="41">
        <v>0</v>
      </c>
      <c r="EH77" s="41"/>
      <c r="EI77" s="41">
        <v>0</v>
      </c>
      <c r="EJ77" s="41" t="s">
        <v>140</v>
      </c>
      <c r="EK77" s="41">
        <v>818</v>
      </c>
      <c r="EL77" s="41">
        <v>0</v>
      </c>
      <c r="EM77" s="41">
        <v>12</v>
      </c>
      <c r="EN77" s="41">
        <v>20180201</v>
      </c>
      <c r="EO77" s="41">
        <v>0</v>
      </c>
      <c r="EP77" s="41">
        <v>0</v>
      </c>
      <c r="EQ77" s="41">
        <v>5</v>
      </c>
      <c r="ER77" s="25">
        <v>28</v>
      </c>
      <c r="ES77" s="25">
        <v>0</v>
      </c>
      <c r="ET77" s="25">
        <v>0</v>
      </c>
      <c r="EU77" s="25">
        <v>0</v>
      </c>
      <c r="EV77" s="25">
        <v>0</v>
      </c>
      <c r="EW77" s="25">
        <v>0</v>
      </c>
      <c r="EX77" s="25">
        <v>0</v>
      </c>
      <c r="EY77" s="25">
        <v>0</v>
      </c>
      <c r="EZ77" s="25">
        <v>0</v>
      </c>
      <c r="FA77" s="25">
        <v>0</v>
      </c>
      <c r="FB77" s="25">
        <v>0</v>
      </c>
      <c r="FC77" s="25">
        <v>0</v>
      </c>
      <c r="FD77" s="25">
        <v>0</v>
      </c>
      <c r="FE77" s="25">
        <v>0</v>
      </c>
      <c r="FF77" s="25">
        <v>0</v>
      </c>
      <c r="FG77" s="25">
        <v>0</v>
      </c>
      <c r="FH77" s="25">
        <v>0</v>
      </c>
      <c r="FI77" s="25">
        <v>1</v>
      </c>
      <c r="FJ77" s="25">
        <v>1</v>
      </c>
      <c r="FK77" s="25">
        <v>1</v>
      </c>
      <c r="FL77" s="25">
        <v>28</v>
      </c>
      <c r="FM77" s="25" t="s">
        <v>137</v>
      </c>
      <c r="FN77" s="25">
        <v>19910101</v>
      </c>
      <c r="FP77" s="28">
        <v>4</v>
      </c>
      <c r="FQ77" s="47">
        <v>1</v>
      </c>
      <c r="FR77" s="41">
        <v>1</v>
      </c>
      <c r="FS77" s="41" t="str">
        <f t="shared" si="6"/>
        <v>MFSP</v>
      </c>
      <c r="FT77" s="41">
        <f t="shared" si="7"/>
        <v>818</v>
      </c>
      <c r="FU77" s="41">
        <f t="shared" si="8"/>
        <v>28</v>
      </c>
      <c r="FV77" s="41">
        <v>42400</v>
      </c>
      <c r="FW77" s="41">
        <v>67.84</v>
      </c>
      <c r="FX77" s="41"/>
      <c r="FY77" s="29">
        <v>0</v>
      </c>
      <c r="FZ77" s="29">
        <v>0</v>
      </c>
      <c r="GA77" s="30">
        <v>0</v>
      </c>
      <c r="GB77" s="30">
        <v>0</v>
      </c>
      <c r="GC77" s="29">
        <v>0</v>
      </c>
      <c r="GD77" s="41">
        <v>0</v>
      </c>
      <c r="GE77" s="29">
        <v>0</v>
      </c>
      <c r="GF77" s="29">
        <v>0</v>
      </c>
      <c r="GG77" s="29">
        <v>0</v>
      </c>
      <c r="GH77" s="29">
        <v>0</v>
      </c>
      <c r="GI77" s="29">
        <v>0</v>
      </c>
      <c r="GJ77" s="29">
        <v>0</v>
      </c>
      <c r="GK77" s="29">
        <v>0</v>
      </c>
      <c r="GL77" s="29">
        <v>0</v>
      </c>
      <c r="GM77" s="29">
        <v>0</v>
      </c>
      <c r="GN77" s="29">
        <v>0</v>
      </c>
      <c r="GO77" s="29">
        <v>0</v>
      </c>
      <c r="GP77" s="29">
        <v>0</v>
      </c>
      <c r="GQ77" s="29">
        <v>0</v>
      </c>
      <c r="GR77" s="18">
        <v>1</v>
      </c>
      <c r="GS77" s="41">
        <v>2</v>
      </c>
      <c r="GT77" s="41" t="str">
        <f t="shared" si="9"/>
        <v>PURO</v>
      </c>
      <c r="GU77" s="41">
        <v>818</v>
      </c>
      <c r="GV77" s="41">
        <v>33</v>
      </c>
      <c r="GW77" s="41">
        <v>0</v>
      </c>
      <c r="GX77" s="41">
        <v>6.36</v>
      </c>
      <c r="GY77" s="41"/>
      <c r="GZ77" s="41">
        <v>0</v>
      </c>
      <c r="HA77" s="41">
        <v>0</v>
      </c>
      <c r="HB77" s="42">
        <v>0</v>
      </c>
      <c r="HC77" s="42">
        <v>0</v>
      </c>
      <c r="HD77" s="41">
        <v>0</v>
      </c>
      <c r="HE77" s="41">
        <v>0</v>
      </c>
      <c r="HF77" s="41">
        <v>0</v>
      </c>
      <c r="HG77" s="41">
        <v>0</v>
      </c>
      <c r="HH77" s="41">
        <v>0</v>
      </c>
      <c r="HI77" s="41">
        <v>0</v>
      </c>
      <c r="HJ77" s="41">
        <v>0</v>
      </c>
      <c r="HK77" s="41">
        <v>0</v>
      </c>
      <c r="HL77" s="41">
        <v>0</v>
      </c>
      <c r="HM77" s="41">
        <v>0</v>
      </c>
      <c r="HN77" s="41">
        <v>0</v>
      </c>
      <c r="HO77" s="41">
        <v>0</v>
      </c>
      <c r="HP77" s="41">
        <v>0</v>
      </c>
      <c r="HQ77" s="41">
        <v>0</v>
      </c>
      <c r="HR77" s="41">
        <v>0</v>
      </c>
      <c r="HS77" s="24">
        <v>1</v>
      </c>
      <c r="HT77" s="41">
        <v>3</v>
      </c>
      <c r="HU77" s="41" t="str">
        <f t="shared" si="10"/>
        <v>PUDT</v>
      </c>
      <c r="HV77" s="41">
        <v>818</v>
      </c>
      <c r="HW77" s="41">
        <v>33</v>
      </c>
      <c r="HX77" s="41">
        <v>0</v>
      </c>
      <c r="HY77" s="41">
        <v>10.6</v>
      </c>
      <c r="HZ77" s="42"/>
      <c r="IA77" s="41">
        <v>0</v>
      </c>
      <c r="IB77" s="41">
        <v>0</v>
      </c>
      <c r="IC77" s="42">
        <v>0</v>
      </c>
      <c r="ID77" s="42">
        <v>0</v>
      </c>
      <c r="IE77" s="41">
        <v>0</v>
      </c>
      <c r="IF77" s="43">
        <v>0</v>
      </c>
      <c r="IG77" s="41">
        <v>0</v>
      </c>
      <c r="IH77" s="41">
        <v>0</v>
      </c>
      <c r="II77" s="41">
        <v>0</v>
      </c>
      <c r="IJ77" s="41">
        <v>0</v>
      </c>
      <c r="IK77" s="41">
        <v>0</v>
      </c>
      <c r="IL77" s="41">
        <v>0</v>
      </c>
      <c r="IM77" s="41">
        <v>0</v>
      </c>
      <c r="IN77" s="41">
        <v>0</v>
      </c>
      <c r="IO77" s="41">
        <v>0</v>
      </c>
      <c r="IP77" s="41">
        <v>0</v>
      </c>
      <c r="IQ77" s="41">
        <v>0</v>
      </c>
      <c r="IR77" s="41">
        <v>0</v>
      </c>
      <c r="IS77" s="41">
        <v>0</v>
      </c>
      <c r="IT77" s="17">
        <v>1</v>
      </c>
      <c r="IU77" s="41">
        <v>4</v>
      </c>
      <c r="IV77" s="41" t="str">
        <f t="shared" si="11"/>
        <v>PUDS</v>
      </c>
      <c r="IW77" s="41">
        <v>818</v>
      </c>
      <c r="IX77" s="41">
        <v>33</v>
      </c>
      <c r="IY77" s="41">
        <v>0</v>
      </c>
      <c r="IZ77" s="41">
        <v>5.3</v>
      </c>
      <c r="JA77" s="42"/>
      <c r="JB77" s="41">
        <v>0</v>
      </c>
      <c r="JC77" s="41">
        <v>0</v>
      </c>
      <c r="JD77" s="42">
        <v>0</v>
      </c>
      <c r="JE77" s="42">
        <v>0</v>
      </c>
      <c r="JF77" s="41">
        <v>0</v>
      </c>
      <c r="JG77" s="41">
        <v>0</v>
      </c>
      <c r="JH77" s="41">
        <v>0</v>
      </c>
      <c r="JI77" s="41">
        <v>0</v>
      </c>
      <c r="JJ77" s="41">
        <v>0</v>
      </c>
      <c r="JK77" s="41">
        <v>0</v>
      </c>
      <c r="JL77" s="41">
        <v>0</v>
      </c>
      <c r="JM77" s="41">
        <v>0</v>
      </c>
      <c r="JN77" s="41">
        <v>0</v>
      </c>
      <c r="JO77" s="41">
        <v>0</v>
      </c>
      <c r="JP77" s="41">
        <v>0</v>
      </c>
      <c r="JQ77" s="41">
        <v>0</v>
      </c>
      <c r="JR77" s="41">
        <v>0</v>
      </c>
      <c r="JS77" s="41">
        <v>0</v>
      </c>
      <c r="JT77" s="41">
        <v>0</v>
      </c>
      <c r="JU77"/>
    </row>
    <row r="78" spans="1:281" ht="15.75">
      <c r="A78" s="25">
        <v>72</v>
      </c>
      <c r="B78" s="25">
        <v>20190301</v>
      </c>
      <c r="C78" s="25"/>
      <c r="D78" s="25" t="s">
        <v>132</v>
      </c>
      <c r="E78" s="25" t="s">
        <v>132</v>
      </c>
      <c r="F78" s="25" t="s">
        <v>133</v>
      </c>
      <c r="G78" s="25"/>
      <c r="H78" s="25">
        <v>100000072</v>
      </c>
      <c r="I78" s="25" t="s">
        <v>134</v>
      </c>
      <c r="J78" s="25" t="s">
        <v>135</v>
      </c>
      <c r="K78" s="25" t="s">
        <v>132</v>
      </c>
      <c r="L78" s="25">
        <v>4</v>
      </c>
      <c r="M78" s="25">
        <v>1</v>
      </c>
      <c r="N78" s="25">
        <v>1</v>
      </c>
      <c r="O78" s="45" t="s">
        <v>141</v>
      </c>
      <c r="P78" s="25">
        <v>100</v>
      </c>
      <c r="Q78" s="25">
        <v>20180301</v>
      </c>
      <c r="R78" s="25">
        <v>20180301</v>
      </c>
      <c r="S78" s="25" t="s">
        <v>137</v>
      </c>
      <c r="T78" s="25" t="s">
        <v>142</v>
      </c>
      <c r="U78" s="25">
        <v>20190301</v>
      </c>
      <c r="V78" s="25">
        <v>6</v>
      </c>
      <c r="W78" s="25">
        <v>6</v>
      </c>
      <c r="X78" s="25" t="s">
        <v>139</v>
      </c>
      <c r="Y78" s="25">
        <v>0</v>
      </c>
      <c r="Z78" s="25" t="s">
        <v>140</v>
      </c>
      <c r="AA78" s="25">
        <v>818</v>
      </c>
      <c r="AB78" s="41">
        <v>0</v>
      </c>
      <c r="AC78" s="41">
        <v>12</v>
      </c>
      <c r="AD78" s="41">
        <v>20180201</v>
      </c>
      <c r="AE78" s="41">
        <v>0</v>
      </c>
      <c r="AF78" s="26">
        <v>45000</v>
      </c>
      <c r="AG78" s="41">
        <v>68</v>
      </c>
      <c r="AH78" s="26">
        <v>29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0</v>
      </c>
      <c r="AW78" s="26">
        <v>0</v>
      </c>
      <c r="AX78" s="26">
        <v>0</v>
      </c>
      <c r="AY78" s="46">
        <v>1</v>
      </c>
      <c r="AZ78" s="25">
        <v>2</v>
      </c>
      <c r="BA78" s="41" t="s">
        <v>203</v>
      </c>
      <c r="BB78" s="41">
        <v>100</v>
      </c>
      <c r="BC78" s="41">
        <v>20180301</v>
      </c>
      <c r="BD78" s="41">
        <v>20180301</v>
      </c>
      <c r="BE78" s="41" t="s">
        <v>198</v>
      </c>
      <c r="BF78" s="41" t="s">
        <v>149</v>
      </c>
      <c r="BG78" s="41">
        <v>20180301</v>
      </c>
      <c r="BH78" s="41">
        <v>0</v>
      </c>
      <c r="BI78" s="41">
        <v>0</v>
      </c>
      <c r="BJ78" s="41"/>
      <c r="BK78" s="41">
        <v>0</v>
      </c>
      <c r="BL78" s="41" t="s">
        <v>140</v>
      </c>
      <c r="BM78" s="41">
        <v>818</v>
      </c>
      <c r="BN78" s="41">
        <v>0</v>
      </c>
      <c r="BO78" s="41">
        <v>12</v>
      </c>
      <c r="BP78" s="41">
        <v>20180201</v>
      </c>
      <c r="BQ78" s="41">
        <v>0</v>
      </c>
      <c r="BR78" s="41">
        <v>0</v>
      </c>
      <c r="BS78" s="41">
        <v>6</v>
      </c>
      <c r="BT78" s="25">
        <v>29</v>
      </c>
      <c r="BU78" s="25">
        <v>0</v>
      </c>
      <c r="BV78" s="25">
        <v>0</v>
      </c>
      <c r="BW78" s="25">
        <v>0</v>
      </c>
      <c r="BX78" s="25">
        <v>0</v>
      </c>
      <c r="BY78" s="25">
        <v>0</v>
      </c>
      <c r="BZ78" s="25">
        <v>0</v>
      </c>
      <c r="CA78" s="25">
        <v>0</v>
      </c>
      <c r="CB78" s="25">
        <v>0</v>
      </c>
      <c r="CC78" s="25">
        <v>0</v>
      </c>
      <c r="CD78" s="25">
        <v>0</v>
      </c>
      <c r="CE78" s="25">
        <v>0</v>
      </c>
      <c r="CF78" s="25">
        <v>0</v>
      </c>
      <c r="CG78" s="25">
        <v>0</v>
      </c>
      <c r="CH78" s="25">
        <v>0</v>
      </c>
      <c r="CI78" s="25">
        <v>0</v>
      </c>
      <c r="CJ78" s="25">
        <v>0</v>
      </c>
      <c r="CK78" s="22">
        <v>1</v>
      </c>
      <c r="CL78" s="25">
        <v>3</v>
      </c>
      <c r="CM78" s="41" t="s">
        <v>150</v>
      </c>
      <c r="CN78" s="41">
        <v>100</v>
      </c>
      <c r="CO78" s="41">
        <v>20180301</v>
      </c>
      <c r="CP78" s="41">
        <v>20180301</v>
      </c>
      <c r="CQ78" s="41" t="s">
        <v>198</v>
      </c>
      <c r="CR78" s="41" t="s">
        <v>200</v>
      </c>
      <c r="CS78" s="41">
        <v>20180301</v>
      </c>
      <c r="CT78" s="41">
        <v>0</v>
      </c>
      <c r="CU78" s="41">
        <v>0</v>
      </c>
      <c r="CV78" s="41"/>
      <c r="CW78" s="41">
        <v>0</v>
      </c>
      <c r="CX78" s="41" t="s">
        <v>140</v>
      </c>
      <c r="CY78" s="41">
        <v>818</v>
      </c>
      <c r="CZ78" s="41">
        <v>0</v>
      </c>
      <c r="DA78" s="41">
        <v>12</v>
      </c>
      <c r="DB78" s="41">
        <v>20180201</v>
      </c>
      <c r="DC78" s="41">
        <v>0</v>
      </c>
      <c r="DD78" s="41">
        <v>0</v>
      </c>
      <c r="DE78" s="41">
        <v>10</v>
      </c>
      <c r="DF78" s="25">
        <v>29</v>
      </c>
      <c r="DG78" s="25">
        <v>0</v>
      </c>
      <c r="DH78" s="25">
        <v>0</v>
      </c>
      <c r="DI78" s="25">
        <v>0</v>
      </c>
      <c r="DJ78" s="25">
        <v>0</v>
      </c>
      <c r="DK78" s="25">
        <v>0</v>
      </c>
      <c r="DL78" s="25">
        <v>0</v>
      </c>
      <c r="DM78" s="25">
        <v>0</v>
      </c>
      <c r="DN78" s="25">
        <v>0</v>
      </c>
      <c r="DO78" s="25">
        <v>0</v>
      </c>
      <c r="DP78" s="25">
        <v>0</v>
      </c>
      <c r="DQ78" s="25">
        <v>0</v>
      </c>
      <c r="DR78" s="25">
        <v>0</v>
      </c>
      <c r="DS78" s="25">
        <v>0</v>
      </c>
      <c r="DT78" s="25">
        <v>0</v>
      </c>
      <c r="DU78" s="25">
        <v>0</v>
      </c>
      <c r="DV78" s="25">
        <v>0</v>
      </c>
      <c r="DW78" s="23">
        <v>1</v>
      </c>
      <c r="DX78" s="25">
        <v>4</v>
      </c>
      <c r="DY78" s="41" t="s">
        <v>151</v>
      </c>
      <c r="DZ78" s="41">
        <v>100</v>
      </c>
      <c r="EA78" s="41">
        <v>20180301</v>
      </c>
      <c r="EB78" s="41">
        <v>20180301</v>
      </c>
      <c r="EC78" s="41" t="s">
        <v>198</v>
      </c>
      <c r="ED78" s="41" t="s">
        <v>201</v>
      </c>
      <c r="EE78" s="41">
        <v>20180301</v>
      </c>
      <c r="EF78" s="41">
        <v>0</v>
      </c>
      <c r="EG78" s="41">
        <v>0</v>
      </c>
      <c r="EH78" s="41"/>
      <c r="EI78" s="41">
        <v>0</v>
      </c>
      <c r="EJ78" s="41" t="s">
        <v>140</v>
      </c>
      <c r="EK78" s="41">
        <v>818</v>
      </c>
      <c r="EL78" s="41">
        <v>0</v>
      </c>
      <c r="EM78" s="41">
        <v>12</v>
      </c>
      <c r="EN78" s="41">
        <v>20180201</v>
      </c>
      <c r="EO78" s="41">
        <v>0</v>
      </c>
      <c r="EP78" s="41">
        <v>0</v>
      </c>
      <c r="EQ78" s="41">
        <v>5</v>
      </c>
      <c r="ER78" s="25">
        <v>29</v>
      </c>
      <c r="ES78" s="25">
        <v>0</v>
      </c>
      <c r="ET78" s="25">
        <v>0</v>
      </c>
      <c r="EU78" s="25">
        <v>0</v>
      </c>
      <c r="EV78" s="25">
        <v>0</v>
      </c>
      <c r="EW78" s="25">
        <v>0</v>
      </c>
      <c r="EX78" s="25">
        <v>0</v>
      </c>
      <c r="EY78" s="25">
        <v>0</v>
      </c>
      <c r="EZ78" s="25">
        <v>0</v>
      </c>
      <c r="FA78" s="25">
        <v>0</v>
      </c>
      <c r="FB78" s="25">
        <v>0</v>
      </c>
      <c r="FC78" s="25">
        <v>0</v>
      </c>
      <c r="FD78" s="25">
        <v>0</v>
      </c>
      <c r="FE78" s="25">
        <v>0</v>
      </c>
      <c r="FF78" s="25">
        <v>0</v>
      </c>
      <c r="FG78" s="25">
        <v>0</v>
      </c>
      <c r="FH78" s="25">
        <v>0</v>
      </c>
      <c r="FI78" s="25">
        <v>1</v>
      </c>
      <c r="FJ78" s="25">
        <v>1</v>
      </c>
      <c r="FK78" s="25">
        <v>1</v>
      </c>
      <c r="FL78" s="25">
        <v>29</v>
      </c>
      <c r="FM78" s="25" t="s">
        <v>137</v>
      </c>
      <c r="FN78" s="25">
        <v>19900101</v>
      </c>
      <c r="FP78" s="28">
        <v>4</v>
      </c>
      <c r="FQ78" s="47">
        <v>1</v>
      </c>
      <c r="FR78" s="41">
        <v>1</v>
      </c>
      <c r="FS78" s="41" t="str">
        <f t="shared" si="6"/>
        <v>MFSP</v>
      </c>
      <c r="FT78" s="41">
        <f t="shared" si="7"/>
        <v>818</v>
      </c>
      <c r="FU78" s="41">
        <f t="shared" si="8"/>
        <v>29</v>
      </c>
      <c r="FV78" s="41">
        <v>47700</v>
      </c>
      <c r="FW78" s="41">
        <v>72.08</v>
      </c>
      <c r="FX78" s="41"/>
      <c r="FY78" s="29">
        <v>0</v>
      </c>
      <c r="FZ78" s="29">
        <v>0</v>
      </c>
      <c r="GA78" s="30">
        <v>0</v>
      </c>
      <c r="GB78" s="30">
        <v>0</v>
      </c>
      <c r="GC78" s="29">
        <v>0</v>
      </c>
      <c r="GD78" s="41">
        <v>0</v>
      </c>
      <c r="GE78" s="29">
        <v>0</v>
      </c>
      <c r="GF78" s="29">
        <v>0</v>
      </c>
      <c r="GG78" s="29">
        <v>0</v>
      </c>
      <c r="GH78" s="29">
        <v>0</v>
      </c>
      <c r="GI78" s="29">
        <v>0</v>
      </c>
      <c r="GJ78" s="29">
        <v>0</v>
      </c>
      <c r="GK78" s="29">
        <v>0</v>
      </c>
      <c r="GL78" s="29">
        <v>0</v>
      </c>
      <c r="GM78" s="29">
        <v>0</v>
      </c>
      <c r="GN78" s="29">
        <v>0</v>
      </c>
      <c r="GO78" s="29">
        <v>0</v>
      </c>
      <c r="GP78" s="29">
        <v>0</v>
      </c>
      <c r="GQ78" s="29">
        <v>0</v>
      </c>
      <c r="GR78" s="18">
        <v>1</v>
      </c>
      <c r="GS78" s="41">
        <v>2</v>
      </c>
      <c r="GT78" s="41" t="str">
        <f t="shared" si="9"/>
        <v>PURO</v>
      </c>
      <c r="GU78" s="41">
        <v>818</v>
      </c>
      <c r="GV78" s="41">
        <v>35</v>
      </c>
      <c r="GW78" s="41">
        <v>0</v>
      </c>
      <c r="GX78" s="41">
        <v>6.36</v>
      </c>
      <c r="GY78" s="41"/>
      <c r="GZ78" s="41">
        <v>0</v>
      </c>
      <c r="HA78" s="41">
        <v>0</v>
      </c>
      <c r="HB78" s="42">
        <v>0</v>
      </c>
      <c r="HC78" s="42">
        <v>0</v>
      </c>
      <c r="HD78" s="41">
        <v>0</v>
      </c>
      <c r="HE78" s="41">
        <v>0</v>
      </c>
      <c r="HF78" s="41">
        <v>0</v>
      </c>
      <c r="HG78" s="41">
        <v>0</v>
      </c>
      <c r="HH78" s="41">
        <v>0</v>
      </c>
      <c r="HI78" s="41">
        <v>0</v>
      </c>
      <c r="HJ78" s="41">
        <v>0</v>
      </c>
      <c r="HK78" s="41">
        <v>0</v>
      </c>
      <c r="HL78" s="41">
        <v>0</v>
      </c>
      <c r="HM78" s="41">
        <v>0</v>
      </c>
      <c r="HN78" s="41">
        <v>0</v>
      </c>
      <c r="HO78" s="41">
        <v>0</v>
      </c>
      <c r="HP78" s="41">
        <v>0</v>
      </c>
      <c r="HQ78" s="41">
        <v>0</v>
      </c>
      <c r="HR78" s="41">
        <v>0</v>
      </c>
      <c r="HS78" s="24">
        <v>1</v>
      </c>
      <c r="HT78" s="41">
        <v>3</v>
      </c>
      <c r="HU78" s="41" t="str">
        <f t="shared" si="10"/>
        <v>PUDT</v>
      </c>
      <c r="HV78" s="41">
        <v>818</v>
      </c>
      <c r="HW78" s="41">
        <v>35</v>
      </c>
      <c r="HX78" s="41">
        <v>0</v>
      </c>
      <c r="HY78" s="41">
        <v>10.6</v>
      </c>
      <c r="HZ78" s="42"/>
      <c r="IA78" s="41">
        <v>0</v>
      </c>
      <c r="IB78" s="41">
        <v>0</v>
      </c>
      <c r="IC78" s="42">
        <v>0</v>
      </c>
      <c r="ID78" s="42">
        <v>0</v>
      </c>
      <c r="IE78" s="41">
        <v>0</v>
      </c>
      <c r="IF78" s="43">
        <v>0</v>
      </c>
      <c r="IG78" s="41">
        <v>0</v>
      </c>
      <c r="IH78" s="41">
        <v>0</v>
      </c>
      <c r="II78" s="41">
        <v>0</v>
      </c>
      <c r="IJ78" s="41">
        <v>0</v>
      </c>
      <c r="IK78" s="41">
        <v>0</v>
      </c>
      <c r="IL78" s="41">
        <v>0</v>
      </c>
      <c r="IM78" s="41">
        <v>0</v>
      </c>
      <c r="IN78" s="41">
        <v>0</v>
      </c>
      <c r="IO78" s="41">
        <v>0</v>
      </c>
      <c r="IP78" s="41">
        <v>0</v>
      </c>
      <c r="IQ78" s="41">
        <v>0</v>
      </c>
      <c r="IR78" s="41">
        <v>0</v>
      </c>
      <c r="IS78" s="41">
        <v>0</v>
      </c>
      <c r="IT78" s="17">
        <v>1</v>
      </c>
      <c r="IU78" s="41">
        <v>4</v>
      </c>
      <c r="IV78" s="41" t="str">
        <f t="shared" si="11"/>
        <v>PUDS</v>
      </c>
      <c r="IW78" s="41">
        <v>818</v>
      </c>
      <c r="IX78" s="41">
        <v>35</v>
      </c>
      <c r="IY78" s="41">
        <v>0</v>
      </c>
      <c r="IZ78" s="41">
        <v>5.3</v>
      </c>
      <c r="JA78" s="42"/>
      <c r="JB78" s="41">
        <v>0</v>
      </c>
      <c r="JC78" s="41">
        <v>0</v>
      </c>
      <c r="JD78" s="42">
        <v>0</v>
      </c>
      <c r="JE78" s="42">
        <v>0</v>
      </c>
      <c r="JF78" s="41">
        <v>0</v>
      </c>
      <c r="JG78" s="41">
        <v>0</v>
      </c>
      <c r="JH78" s="41">
        <v>0</v>
      </c>
      <c r="JI78" s="41">
        <v>0</v>
      </c>
      <c r="JJ78" s="41">
        <v>0</v>
      </c>
      <c r="JK78" s="41">
        <v>0</v>
      </c>
      <c r="JL78" s="41">
        <v>0</v>
      </c>
      <c r="JM78" s="41">
        <v>0</v>
      </c>
      <c r="JN78" s="41">
        <v>0</v>
      </c>
      <c r="JO78" s="41">
        <v>0</v>
      </c>
      <c r="JP78" s="41">
        <v>0</v>
      </c>
      <c r="JQ78" s="41">
        <v>0</v>
      </c>
      <c r="JR78" s="41">
        <v>0</v>
      </c>
      <c r="JS78" s="41">
        <v>0</v>
      </c>
      <c r="JT78" s="41">
        <v>0</v>
      </c>
      <c r="JU78"/>
    </row>
    <row r="79" spans="1:281" ht="15.75">
      <c r="A79" s="25">
        <v>73</v>
      </c>
      <c r="B79" s="25">
        <v>20190301</v>
      </c>
      <c r="C79" s="25"/>
      <c r="D79" s="25" t="s">
        <v>132</v>
      </c>
      <c r="E79" s="25" t="s">
        <v>132</v>
      </c>
      <c r="F79" s="25" t="s">
        <v>133</v>
      </c>
      <c r="G79" s="25"/>
      <c r="H79" s="25">
        <v>100000073</v>
      </c>
      <c r="I79" s="25" t="s">
        <v>134</v>
      </c>
      <c r="J79" s="25" t="s">
        <v>135</v>
      </c>
      <c r="K79" s="25" t="s">
        <v>132</v>
      </c>
      <c r="L79" s="25">
        <v>4</v>
      </c>
      <c r="M79" s="25">
        <v>1</v>
      </c>
      <c r="N79" s="25">
        <v>1</v>
      </c>
      <c r="O79" s="45" t="s">
        <v>141</v>
      </c>
      <c r="P79" s="25">
        <v>100</v>
      </c>
      <c r="Q79" s="25">
        <v>20180301</v>
      </c>
      <c r="R79" s="25">
        <v>20180301</v>
      </c>
      <c r="S79" s="25" t="s">
        <v>137</v>
      </c>
      <c r="T79" s="25" t="s">
        <v>142</v>
      </c>
      <c r="U79" s="25">
        <v>20190301</v>
      </c>
      <c r="V79" s="25">
        <v>6</v>
      </c>
      <c r="W79" s="25">
        <v>6</v>
      </c>
      <c r="X79" s="25" t="s">
        <v>139</v>
      </c>
      <c r="Y79" s="25">
        <v>0</v>
      </c>
      <c r="Z79" s="25" t="s">
        <v>140</v>
      </c>
      <c r="AA79" s="25">
        <v>818</v>
      </c>
      <c r="AB79" s="41">
        <v>0</v>
      </c>
      <c r="AC79" s="41">
        <v>12</v>
      </c>
      <c r="AD79" s="41">
        <v>20180201</v>
      </c>
      <c r="AE79" s="41">
        <v>0</v>
      </c>
      <c r="AF79" s="26">
        <v>50000</v>
      </c>
      <c r="AG79" s="41">
        <v>73</v>
      </c>
      <c r="AH79" s="26">
        <v>30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0</v>
      </c>
      <c r="AW79" s="26">
        <v>0</v>
      </c>
      <c r="AX79" s="26">
        <v>0</v>
      </c>
      <c r="AY79" s="46">
        <v>1</v>
      </c>
      <c r="AZ79" s="25">
        <v>2</v>
      </c>
      <c r="BA79" s="41" t="s">
        <v>203</v>
      </c>
      <c r="BB79" s="41">
        <v>100</v>
      </c>
      <c r="BC79" s="41">
        <v>20180301</v>
      </c>
      <c r="BD79" s="41">
        <v>20180301</v>
      </c>
      <c r="BE79" s="41" t="s">
        <v>198</v>
      </c>
      <c r="BF79" s="41" t="s">
        <v>149</v>
      </c>
      <c r="BG79" s="41">
        <v>20180301</v>
      </c>
      <c r="BH79" s="41">
        <v>0</v>
      </c>
      <c r="BI79" s="41">
        <v>0</v>
      </c>
      <c r="BJ79" s="41"/>
      <c r="BK79" s="41">
        <v>0</v>
      </c>
      <c r="BL79" s="41" t="s">
        <v>140</v>
      </c>
      <c r="BM79" s="41">
        <v>818</v>
      </c>
      <c r="BN79" s="41">
        <v>0</v>
      </c>
      <c r="BO79" s="41">
        <v>12</v>
      </c>
      <c r="BP79" s="41">
        <v>20180201</v>
      </c>
      <c r="BQ79" s="41">
        <v>0</v>
      </c>
      <c r="BR79" s="41">
        <v>0</v>
      </c>
      <c r="BS79" s="41">
        <v>6</v>
      </c>
      <c r="BT79" s="25">
        <v>30</v>
      </c>
      <c r="BU79" s="25">
        <v>0</v>
      </c>
      <c r="BV79" s="25">
        <v>0</v>
      </c>
      <c r="BW79" s="25">
        <v>0</v>
      </c>
      <c r="BX79" s="25">
        <v>0</v>
      </c>
      <c r="BY79" s="25">
        <v>0</v>
      </c>
      <c r="BZ79" s="25">
        <v>0</v>
      </c>
      <c r="CA79" s="25">
        <v>0</v>
      </c>
      <c r="CB79" s="25">
        <v>0</v>
      </c>
      <c r="CC79" s="25">
        <v>0</v>
      </c>
      <c r="CD79" s="25">
        <v>0</v>
      </c>
      <c r="CE79" s="25">
        <v>0</v>
      </c>
      <c r="CF79" s="25">
        <v>0</v>
      </c>
      <c r="CG79" s="25">
        <v>0</v>
      </c>
      <c r="CH79" s="25">
        <v>0</v>
      </c>
      <c r="CI79" s="25">
        <v>0</v>
      </c>
      <c r="CJ79" s="25">
        <v>0</v>
      </c>
      <c r="CK79" s="22">
        <v>1</v>
      </c>
      <c r="CL79" s="25">
        <v>3</v>
      </c>
      <c r="CM79" s="41" t="s">
        <v>150</v>
      </c>
      <c r="CN79" s="41">
        <v>100</v>
      </c>
      <c r="CO79" s="41">
        <v>20180301</v>
      </c>
      <c r="CP79" s="41">
        <v>20180301</v>
      </c>
      <c r="CQ79" s="41" t="s">
        <v>198</v>
      </c>
      <c r="CR79" s="41" t="s">
        <v>200</v>
      </c>
      <c r="CS79" s="41">
        <v>20180301</v>
      </c>
      <c r="CT79" s="41">
        <v>0</v>
      </c>
      <c r="CU79" s="41">
        <v>0</v>
      </c>
      <c r="CV79" s="41"/>
      <c r="CW79" s="41">
        <v>0</v>
      </c>
      <c r="CX79" s="41" t="s">
        <v>140</v>
      </c>
      <c r="CY79" s="41">
        <v>818</v>
      </c>
      <c r="CZ79" s="41">
        <v>0</v>
      </c>
      <c r="DA79" s="41">
        <v>12</v>
      </c>
      <c r="DB79" s="41">
        <v>20180201</v>
      </c>
      <c r="DC79" s="41">
        <v>0</v>
      </c>
      <c r="DD79" s="41">
        <v>0</v>
      </c>
      <c r="DE79" s="41">
        <v>11</v>
      </c>
      <c r="DF79" s="25">
        <v>30</v>
      </c>
      <c r="DG79" s="25">
        <v>0</v>
      </c>
      <c r="DH79" s="25">
        <v>0</v>
      </c>
      <c r="DI79" s="25">
        <v>0</v>
      </c>
      <c r="DJ79" s="25">
        <v>0</v>
      </c>
      <c r="DK79" s="25">
        <v>0</v>
      </c>
      <c r="DL79" s="25">
        <v>0</v>
      </c>
      <c r="DM79" s="25">
        <v>0</v>
      </c>
      <c r="DN79" s="25">
        <v>0</v>
      </c>
      <c r="DO79" s="25">
        <v>0</v>
      </c>
      <c r="DP79" s="25">
        <v>0</v>
      </c>
      <c r="DQ79" s="25">
        <v>0</v>
      </c>
      <c r="DR79" s="25">
        <v>0</v>
      </c>
      <c r="DS79" s="25">
        <v>0</v>
      </c>
      <c r="DT79" s="25">
        <v>0</v>
      </c>
      <c r="DU79" s="25">
        <v>0</v>
      </c>
      <c r="DV79" s="25">
        <v>0</v>
      </c>
      <c r="DW79" s="23">
        <v>1</v>
      </c>
      <c r="DX79" s="25">
        <v>4</v>
      </c>
      <c r="DY79" s="41" t="s">
        <v>151</v>
      </c>
      <c r="DZ79" s="41">
        <v>100</v>
      </c>
      <c r="EA79" s="41">
        <v>20180301</v>
      </c>
      <c r="EB79" s="41">
        <v>20180301</v>
      </c>
      <c r="EC79" s="41" t="s">
        <v>198</v>
      </c>
      <c r="ED79" s="41" t="s">
        <v>201</v>
      </c>
      <c r="EE79" s="41">
        <v>20180301</v>
      </c>
      <c r="EF79" s="41">
        <v>0</v>
      </c>
      <c r="EG79" s="41">
        <v>0</v>
      </c>
      <c r="EH79" s="41"/>
      <c r="EI79" s="41">
        <v>0</v>
      </c>
      <c r="EJ79" s="41" t="s">
        <v>140</v>
      </c>
      <c r="EK79" s="41">
        <v>818</v>
      </c>
      <c r="EL79" s="41">
        <v>0</v>
      </c>
      <c r="EM79" s="41">
        <v>12</v>
      </c>
      <c r="EN79" s="41">
        <v>20180201</v>
      </c>
      <c r="EO79" s="41">
        <v>0</v>
      </c>
      <c r="EP79" s="41">
        <v>0</v>
      </c>
      <c r="EQ79" s="41">
        <v>5</v>
      </c>
      <c r="ER79" s="25">
        <v>30</v>
      </c>
      <c r="ES79" s="25">
        <v>0</v>
      </c>
      <c r="ET79" s="25">
        <v>0</v>
      </c>
      <c r="EU79" s="25">
        <v>0</v>
      </c>
      <c r="EV79" s="25">
        <v>0</v>
      </c>
      <c r="EW79" s="25">
        <v>0</v>
      </c>
      <c r="EX79" s="25">
        <v>0</v>
      </c>
      <c r="EY79" s="25">
        <v>0</v>
      </c>
      <c r="EZ79" s="25">
        <v>0</v>
      </c>
      <c r="FA79" s="25">
        <v>0</v>
      </c>
      <c r="FB79" s="25">
        <v>0</v>
      </c>
      <c r="FC79" s="25">
        <v>0</v>
      </c>
      <c r="FD79" s="25">
        <v>0</v>
      </c>
      <c r="FE79" s="25">
        <v>0</v>
      </c>
      <c r="FF79" s="25">
        <v>0</v>
      </c>
      <c r="FG79" s="25">
        <v>0</v>
      </c>
      <c r="FH79" s="25">
        <v>0</v>
      </c>
      <c r="FI79" s="25">
        <v>1</v>
      </c>
      <c r="FJ79" s="25">
        <v>1</v>
      </c>
      <c r="FK79" s="25">
        <v>1</v>
      </c>
      <c r="FL79" s="25">
        <v>30</v>
      </c>
      <c r="FM79" s="25" t="s">
        <v>137</v>
      </c>
      <c r="FN79" s="25">
        <v>19890101</v>
      </c>
      <c r="FP79" s="28">
        <v>4</v>
      </c>
      <c r="FQ79" s="47">
        <v>1</v>
      </c>
      <c r="FR79" s="41">
        <v>1</v>
      </c>
      <c r="FS79" s="41" t="str">
        <f t="shared" si="6"/>
        <v>MFSP</v>
      </c>
      <c r="FT79" s="41">
        <f t="shared" si="7"/>
        <v>818</v>
      </c>
      <c r="FU79" s="41">
        <f t="shared" si="8"/>
        <v>30</v>
      </c>
      <c r="FV79" s="41">
        <v>53000</v>
      </c>
      <c r="FW79" s="41">
        <v>77.38</v>
      </c>
      <c r="FX79" s="41"/>
      <c r="FY79" s="29">
        <v>0</v>
      </c>
      <c r="FZ79" s="29">
        <v>0</v>
      </c>
      <c r="GA79" s="30">
        <v>0</v>
      </c>
      <c r="GB79" s="30">
        <v>0</v>
      </c>
      <c r="GC79" s="29">
        <v>0</v>
      </c>
      <c r="GD79" s="41">
        <v>0</v>
      </c>
      <c r="GE79" s="29">
        <v>0</v>
      </c>
      <c r="GF79" s="29">
        <v>0</v>
      </c>
      <c r="GG79" s="29">
        <v>0</v>
      </c>
      <c r="GH79" s="29">
        <v>0</v>
      </c>
      <c r="GI79" s="29">
        <v>0</v>
      </c>
      <c r="GJ79" s="29">
        <v>0</v>
      </c>
      <c r="GK79" s="29">
        <v>0</v>
      </c>
      <c r="GL79" s="29">
        <v>0</v>
      </c>
      <c r="GM79" s="29">
        <v>0</v>
      </c>
      <c r="GN79" s="29">
        <v>0</v>
      </c>
      <c r="GO79" s="29">
        <v>0</v>
      </c>
      <c r="GP79" s="29">
        <v>0</v>
      </c>
      <c r="GQ79" s="29">
        <v>0</v>
      </c>
      <c r="GR79" s="18">
        <v>1</v>
      </c>
      <c r="GS79" s="41">
        <v>2</v>
      </c>
      <c r="GT79" s="41" t="str">
        <f t="shared" si="9"/>
        <v>PURO</v>
      </c>
      <c r="GU79" s="41">
        <v>818</v>
      </c>
      <c r="GV79" s="41">
        <v>37</v>
      </c>
      <c r="GW79" s="41">
        <v>0</v>
      </c>
      <c r="GX79" s="41">
        <v>6.36</v>
      </c>
      <c r="GY79" s="41"/>
      <c r="GZ79" s="41">
        <v>0</v>
      </c>
      <c r="HA79" s="41">
        <v>0</v>
      </c>
      <c r="HB79" s="42">
        <v>0</v>
      </c>
      <c r="HC79" s="42">
        <v>0</v>
      </c>
      <c r="HD79" s="41">
        <v>0</v>
      </c>
      <c r="HE79" s="41">
        <v>0</v>
      </c>
      <c r="HF79" s="41">
        <v>0</v>
      </c>
      <c r="HG79" s="41">
        <v>0</v>
      </c>
      <c r="HH79" s="41">
        <v>0</v>
      </c>
      <c r="HI79" s="41">
        <v>0</v>
      </c>
      <c r="HJ79" s="41">
        <v>0</v>
      </c>
      <c r="HK79" s="41">
        <v>0</v>
      </c>
      <c r="HL79" s="41">
        <v>0</v>
      </c>
      <c r="HM79" s="41">
        <v>0</v>
      </c>
      <c r="HN79" s="41">
        <v>0</v>
      </c>
      <c r="HO79" s="41">
        <v>0</v>
      </c>
      <c r="HP79" s="41">
        <v>0</v>
      </c>
      <c r="HQ79" s="41">
        <v>0</v>
      </c>
      <c r="HR79" s="41">
        <v>0</v>
      </c>
      <c r="HS79" s="24">
        <v>1</v>
      </c>
      <c r="HT79" s="41">
        <v>3</v>
      </c>
      <c r="HU79" s="41" t="str">
        <f t="shared" si="10"/>
        <v>PUDT</v>
      </c>
      <c r="HV79" s="41">
        <v>818</v>
      </c>
      <c r="HW79" s="41">
        <v>37</v>
      </c>
      <c r="HX79" s="41">
        <v>0</v>
      </c>
      <c r="HY79" s="41">
        <v>11.66</v>
      </c>
      <c r="HZ79" s="42"/>
      <c r="IA79" s="41">
        <v>0</v>
      </c>
      <c r="IB79" s="41">
        <v>0</v>
      </c>
      <c r="IC79" s="42">
        <v>0</v>
      </c>
      <c r="ID79" s="42">
        <v>0</v>
      </c>
      <c r="IE79" s="41">
        <v>0</v>
      </c>
      <c r="IF79" s="43">
        <v>0</v>
      </c>
      <c r="IG79" s="41">
        <v>0</v>
      </c>
      <c r="IH79" s="41">
        <v>0</v>
      </c>
      <c r="II79" s="41">
        <v>0</v>
      </c>
      <c r="IJ79" s="41">
        <v>0</v>
      </c>
      <c r="IK79" s="41">
        <v>0</v>
      </c>
      <c r="IL79" s="41">
        <v>0</v>
      </c>
      <c r="IM79" s="41">
        <v>0</v>
      </c>
      <c r="IN79" s="41">
        <v>0</v>
      </c>
      <c r="IO79" s="41">
        <v>0</v>
      </c>
      <c r="IP79" s="41">
        <v>0</v>
      </c>
      <c r="IQ79" s="41">
        <v>0</v>
      </c>
      <c r="IR79" s="41">
        <v>0</v>
      </c>
      <c r="IS79" s="41">
        <v>0</v>
      </c>
      <c r="IT79" s="17">
        <v>1</v>
      </c>
      <c r="IU79" s="41">
        <v>4</v>
      </c>
      <c r="IV79" s="41" t="str">
        <f t="shared" si="11"/>
        <v>PUDS</v>
      </c>
      <c r="IW79" s="41">
        <v>818</v>
      </c>
      <c r="IX79" s="41">
        <v>37</v>
      </c>
      <c r="IY79" s="41">
        <v>0</v>
      </c>
      <c r="IZ79" s="41">
        <v>5.3</v>
      </c>
      <c r="JA79" s="42"/>
      <c r="JB79" s="41">
        <v>0</v>
      </c>
      <c r="JC79" s="41">
        <v>0</v>
      </c>
      <c r="JD79" s="42">
        <v>0</v>
      </c>
      <c r="JE79" s="42">
        <v>0</v>
      </c>
      <c r="JF79" s="41">
        <v>0</v>
      </c>
      <c r="JG79" s="41">
        <v>0</v>
      </c>
      <c r="JH79" s="41">
        <v>0</v>
      </c>
      <c r="JI79" s="41">
        <v>0</v>
      </c>
      <c r="JJ79" s="41">
        <v>0</v>
      </c>
      <c r="JK79" s="41">
        <v>0</v>
      </c>
      <c r="JL79" s="41">
        <v>0</v>
      </c>
      <c r="JM79" s="41">
        <v>0</v>
      </c>
      <c r="JN79" s="41">
        <v>0</v>
      </c>
      <c r="JO79" s="41">
        <v>0</v>
      </c>
      <c r="JP79" s="41">
        <v>0</v>
      </c>
      <c r="JQ79" s="41">
        <v>0</v>
      </c>
      <c r="JR79" s="41">
        <v>0</v>
      </c>
      <c r="JS79" s="41">
        <v>0</v>
      </c>
      <c r="JT79" s="41">
        <v>0</v>
      </c>
      <c r="JU79"/>
    </row>
    <row r="80" spans="1:281" ht="15.75">
      <c r="A80" s="25">
        <v>74</v>
      </c>
      <c r="B80" s="25">
        <v>20190301</v>
      </c>
      <c r="C80" s="25"/>
      <c r="D80" s="25" t="s">
        <v>132</v>
      </c>
      <c r="E80" s="25" t="s">
        <v>132</v>
      </c>
      <c r="F80" s="25" t="s">
        <v>133</v>
      </c>
      <c r="G80" s="25"/>
      <c r="H80" s="25">
        <v>100000074</v>
      </c>
      <c r="I80" s="25" t="s">
        <v>134</v>
      </c>
      <c r="J80" s="25" t="s">
        <v>135</v>
      </c>
      <c r="K80" s="25" t="s">
        <v>132</v>
      </c>
      <c r="L80" s="25">
        <v>4</v>
      </c>
      <c r="M80" s="25">
        <v>1</v>
      </c>
      <c r="N80" s="25">
        <v>1</v>
      </c>
      <c r="O80" s="45" t="s">
        <v>141</v>
      </c>
      <c r="P80" s="25">
        <v>100</v>
      </c>
      <c r="Q80" s="25">
        <v>20180301</v>
      </c>
      <c r="R80" s="25">
        <v>20180301</v>
      </c>
      <c r="S80" s="25" t="s">
        <v>137</v>
      </c>
      <c r="T80" s="25" t="s">
        <v>143</v>
      </c>
      <c r="U80" s="25">
        <v>20190301</v>
      </c>
      <c r="V80" s="25">
        <v>6</v>
      </c>
      <c r="W80" s="25">
        <v>6</v>
      </c>
      <c r="X80" s="25" t="s">
        <v>139</v>
      </c>
      <c r="Y80" s="25">
        <v>0</v>
      </c>
      <c r="Z80" s="25" t="s">
        <v>140</v>
      </c>
      <c r="AA80" s="25">
        <v>818</v>
      </c>
      <c r="AB80" s="41">
        <v>0</v>
      </c>
      <c r="AC80" s="41">
        <v>12</v>
      </c>
      <c r="AD80" s="41">
        <v>20180201</v>
      </c>
      <c r="AE80" s="41">
        <v>0</v>
      </c>
      <c r="AF80" s="26">
        <v>55000</v>
      </c>
      <c r="AG80" s="41">
        <v>77</v>
      </c>
      <c r="AH80" s="26">
        <v>31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0</v>
      </c>
      <c r="AW80" s="26">
        <v>0</v>
      </c>
      <c r="AX80" s="26">
        <v>0</v>
      </c>
      <c r="AY80" s="46">
        <v>1</v>
      </c>
      <c r="AZ80" s="25">
        <v>2</v>
      </c>
      <c r="BA80" s="41" t="s">
        <v>203</v>
      </c>
      <c r="BB80" s="41">
        <v>100</v>
      </c>
      <c r="BC80" s="41">
        <v>20180301</v>
      </c>
      <c r="BD80" s="41">
        <v>20180301</v>
      </c>
      <c r="BE80" s="41" t="s">
        <v>198</v>
      </c>
      <c r="BF80" s="41" t="s">
        <v>149</v>
      </c>
      <c r="BG80" s="41">
        <v>20180301</v>
      </c>
      <c r="BH80" s="41">
        <v>0</v>
      </c>
      <c r="BI80" s="41">
        <v>0</v>
      </c>
      <c r="BJ80" s="41"/>
      <c r="BK80" s="41">
        <v>0</v>
      </c>
      <c r="BL80" s="41" t="s">
        <v>140</v>
      </c>
      <c r="BM80" s="41">
        <v>818</v>
      </c>
      <c r="BN80" s="41">
        <v>0</v>
      </c>
      <c r="BO80" s="41">
        <v>12</v>
      </c>
      <c r="BP80" s="41">
        <v>20180201</v>
      </c>
      <c r="BQ80" s="41">
        <v>0</v>
      </c>
      <c r="BR80" s="41">
        <v>0</v>
      </c>
      <c r="BS80" s="41">
        <v>6</v>
      </c>
      <c r="BT80" s="25">
        <v>31</v>
      </c>
      <c r="BU80" s="25">
        <v>0</v>
      </c>
      <c r="BV80" s="25">
        <v>0</v>
      </c>
      <c r="BW80" s="25">
        <v>0</v>
      </c>
      <c r="BX80" s="25">
        <v>0</v>
      </c>
      <c r="BY80" s="25">
        <v>0</v>
      </c>
      <c r="BZ80" s="25">
        <v>0</v>
      </c>
      <c r="CA80" s="25">
        <v>0</v>
      </c>
      <c r="CB80" s="25">
        <v>0</v>
      </c>
      <c r="CC80" s="25">
        <v>0</v>
      </c>
      <c r="CD80" s="25">
        <v>0</v>
      </c>
      <c r="CE80" s="25">
        <v>0</v>
      </c>
      <c r="CF80" s="25">
        <v>0</v>
      </c>
      <c r="CG80" s="25">
        <v>0</v>
      </c>
      <c r="CH80" s="25">
        <v>0</v>
      </c>
      <c r="CI80" s="25">
        <v>0</v>
      </c>
      <c r="CJ80" s="25">
        <v>0</v>
      </c>
      <c r="CK80" s="22">
        <v>1</v>
      </c>
      <c r="CL80" s="25">
        <v>3</v>
      </c>
      <c r="CM80" s="41" t="s">
        <v>150</v>
      </c>
      <c r="CN80" s="41">
        <v>100</v>
      </c>
      <c r="CO80" s="41">
        <v>20180301</v>
      </c>
      <c r="CP80" s="41">
        <v>20180301</v>
      </c>
      <c r="CQ80" s="41" t="s">
        <v>198</v>
      </c>
      <c r="CR80" s="41" t="s">
        <v>200</v>
      </c>
      <c r="CS80" s="41">
        <v>20180301</v>
      </c>
      <c r="CT80" s="41">
        <v>0</v>
      </c>
      <c r="CU80" s="41">
        <v>0</v>
      </c>
      <c r="CV80" s="41"/>
      <c r="CW80" s="41">
        <v>0</v>
      </c>
      <c r="CX80" s="41" t="s">
        <v>140</v>
      </c>
      <c r="CY80" s="41">
        <v>818</v>
      </c>
      <c r="CZ80" s="41">
        <v>0</v>
      </c>
      <c r="DA80" s="41">
        <v>12</v>
      </c>
      <c r="DB80" s="41">
        <v>20180201</v>
      </c>
      <c r="DC80" s="41">
        <v>0</v>
      </c>
      <c r="DD80" s="41">
        <v>0</v>
      </c>
      <c r="DE80" s="41">
        <v>11</v>
      </c>
      <c r="DF80" s="25">
        <v>31</v>
      </c>
      <c r="DG80" s="25">
        <v>0</v>
      </c>
      <c r="DH80" s="25">
        <v>0</v>
      </c>
      <c r="DI80" s="25">
        <v>0</v>
      </c>
      <c r="DJ80" s="25">
        <v>0</v>
      </c>
      <c r="DK80" s="25">
        <v>0</v>
      </c>
      <c r="DL80" s="25">
        <v>0</v>
      </c>
      <c r="DM80" s="25">
        <v>0</v>
      </c>
      <c r="DN80" s="25">
        <v>0</v>
      </c>
      <c r="DO80" s="25">
        <v>0</v>
      </c>
      <c r="DP80" s="25">
        <v>0</v>
      </c>
      <c r="DQ80" s="25">
        <v>0</v>
      </c>
      <c r="DR80" s="25">
        <v>0</v>
      </c>
      <c r="DS80" s="25">
        <v>0</v>
      </c>
      <c r="DT80" s="25">
        <v>0</v>
      </c>
      <c r="DU80" s="25">
        <v>0</v>
      </c>
      <c r="DV80" s="25">
        <v>0</v>
      </c>
      <c r="DW80" s="23">
        <v>1</v>
      </c>
      <c r="DX80" s="25">
        <v>4</v>
      </c>
      <c r="DY80" s="41" t="s">
        <v>151</v>
      </c>
      <c r="DZ80" s="41">
        <v>100</v>
      </c>
      <c r="EA80" s="41">
        <v>20180301</v>
      </c>
      <c r="EB80" s="41">
        <v>20180301</v>
      </c>
      <c r="EC80" s="41" t="s">
        <v>198</v>
      </c>
      <c r="ED80" s="41" t="s">
        <v>201</v>
      </c>
      <c r="EE80" s="41">
        <v>20180301</v>
      </c>
      <c r="EF80" s="41">
        <v>0</v>
      </c>
      <c r="EG80" s="41">
        <v>0</v>
      </c>
      <c r="EH80" s="41"/>
      <c r="EI80" s="41">
        <v>0</v>
      </c>
      <c r="EJ80" s="41" t="s">
        <v>140</v>
      </c>
      <c r="EK80" s="41">
        <v>818</v>
      </c>
      <c r="EL80" s="41">
        <v>0</v>
      </c>
      <c r="EM80" s="41">
        <v>12</v>
      </c>
      <c r="EN80" s="41">
        <v>20180201</v>
      </c>
      <c r="EO80" s="41">
        <v>0</v>
      </c>
      <c r="EP80" s="41">
        <v>0</v>
      </c>
      <c r="EQ80" s="41">
        <v>6</v>
      </c>
      <c r="ER80" s="25">
        <v>31</v>
      </c>
      <c r="ES80" s="25">
        <v>0</v>
      </c>
      <c r="ET80" s="25">
        <v>0</v>
      </c>
      <c r="EU80" s="25">
        <v>0</v>
      </c>
      <c r="EV80" s="25">
        <v>0</v>
      </c>
      <c r="EW80" s="25">
        <v>0</v>
      </c>
      <c r="EX80" s="25">
        <v>0</v>
      </c>
      <c r="EY80" s="25">
        <v>0</v>
      </c>
      <c r="EZ80" s="25">
        <v>0</v>
      </c>
      <c r="FA80" s="25">
        <v>0</v>
      </c>
      <c r="FB80" s="25">
        <v>0</v>
      </c>
      <c r="FC80" s="25">
        <v>0</v>
      </c>
      <c r="FD80" s="25">
        <v>0</v>
      </c>
      <c r="FE80" s="25">
        <v>0</v>
      </c>
      <c r="FF80" s="25">
        <v>0</v>
      </c>
      <c r="FG80" s="25">
        <v>0</v>
      </c>
      <c r="FH80" s="25">
        <v>0</v>
      </c>
      <c r="FI80" s="25">
        <v>1</v>
      </c>
      <c r="FJ80" s="25">
        <v>1</v>
      </c>
      <c r="FK80" s="25">
        <v>1</v>
      </c>
      <c r="FL80" s="25">
        <v>31</v>
      </c>
      <c r="FM80" s="25" t="s">
        <v>137</v>
      </c>
      <c r="FN80" s="25">
        <v>19880101</v>
      </c>
      <c r="FP80" s="28">
        <v>4</v>
      </c>
      <c r="FQ80" s="47">
        <v>1</v>
      </c>
      <c r="FR80" s="41">
        <v>1</v>
      </c>
      <c r="FS80" s="41" t="str">
        <f t="shared" si="6"/>
        <v>MFSP</v>
      </c>
      <c r="FT80" s="41">
        <f t="shared" si="7"/>
        <v>818</v>
      </c>
      <c r="FU80" s="41">
        <f t="shared" si="8"/>
        <v>31</v>
      </c>
      <c r="FV80" s="41">
        <v>58300</v>
      </c>
      <c r="FW80" s="41">
        <v>81.62</v>
      </c>
      <c r="FX80" s="41"/>
      <c r="FY80" s="29">
        <v>0</v>
      </c>
      <c r="FZ80" s="29">
        <v>0</v>
      </c>
      <c r="GA80" s="30">
        <v>0</v>
      </c>
      <c r="GB80" s="30">
        <v>0</v>
      </c>
      <c r="GC80" s="29">
        <v>0</v>
      </c>
      <c r="GD80" s="41">
        <v>0</v>
      </c>
      <c r="GE80" s="29">
        <v>0</v>
      </c>
      <c r="GF80" s="29">
        <v>0</v>
      </c>
      <c r="GG80" s="29">
        <v>0</v>
      </c>
      <c r="GH80" s="29">
        <v>0</v>
      </c>
      <c r="GI80" s="29">
        <v>0</v>
      </c>
      <c r="GJ80" s="29">
        <v>0</v>
      </c>
      <c r="GK80" s="29">
        <v>0</v>
      </c>
      <c r="GL80" s="29">
        <v>0</v>
      </c>
      <c r="GM80" s="29">
        <v>0</v>
      </c>
      <c r="GN80" s="29">
        <v>0</v>
      </c>
      <c r="GO80" s="29">
        <v>0</v>
      </c>
      <c r="GP80" s="29">
        <v>0</v>
      </c>
      <c r="GQ80" s="29">
        <v>0</v>
      </c>
      <c r="GR80" s="18">
        <v>1</v>
      </c>
      <c r="GS80" s="41">
        <v>2</v>
      </c>
      <c r="GT80" s="41" t="str">
        <f t="shared" si="9"/>
        <v>PURO</v>
      </c>
      <c r="GU80" s="41">
        <v>818</v>
      </c>
      <c r="GV80" s="41">
        <v>38</v>
      </c>
      <c r="GW80" s="41">
        <v>0</v>
      </c>
      <c r="GX80" s="41">
        <v>6.36</v>
      </c>
      <c r="GY80" s="41"/>
      <c r="GZ80" s="41">
        <v>0</v>
      </c>
      <c r="HA80" s="41">
        <v>0</v>
      </c>
      <c r="HB80" s="42">
        <v>0</v>
      </c>
      <c r="HC80" s="42">
        <v>0</v>
      </c>
      <c r="HD80" s="41">
        <v>0</v>
      </c>
      <c r="HE80" s="41">
        <v>0</v>
      </c>
      <c r="HF80" s="41">
        <v>0</v>
      </c>
      <c r="HG80" s="41">
        <v>0</v>
      </c>
      <c r="HH80" s="41">
        <v>0</v>
      </c>
      <c r="HI80" s="41">
        <v>0</v>
      </c>
      <c r="HJ80" s="41">
        <v>0</v>
      </c>
      <c r="HK80" s="41">
        <v>0</v>
      </c>
      <c r="HL80" s="41">
        <v>0</v>
      </c>
      <c r="HM80" s="41">
        <v>0</v>
      </c>
      <c r="HN80" s="41">
        <v>0</v>
      </c>
      <c r="HO80" s="41">
        <v>0</v>
      </c>
      <c r="HP80" s="41">
        <v>0</v>
      </c>
      <c r="HQ80" s="41">
        <v>0</v>
      </c>
      <c r="HR80" s="41">
        <v>0</v>
      </c>
      <c r="HS80" s="24">
        <v>1</v>
      </c>
      <c r="HT80" s="41">
        <v>3</v>
      </c>
      <c r="HU80" s="41" t="str">
        <f t="shared" si="10"/>
        <v>PUDT</v>
      </c>
      <c r="HV80" s="41">
        <v>818</v>
      </c>
      <c r="HW80" s="41">
        <v>38</v>
      </c>
      <c r="HX80" s="41">
        <v>0</v>
      </c>
      <c r="HY80" s="41">
        <v>11.66</v>
      </c>
      <c r="HZ80" s="42"/>
      <c r="IA80" s="41">
        <v>0</v>
      </c>
      <c r="IB80" s="41">
        <v>0</v>
      </c>
      <c r="IC80" s="42">
        <v>0</v>
      </c>
      <c r="ID80" s="42">
        <v>0</v>
      </c>
      <c r="IE80" s="41">
        <v>0</v>
      </c>
      <c r="IF80" s="43">
        <v>0</v>
      </c>
      <c r="IG80" s="41">
        <v>0</v>
      </c>
      <c r="IH80" s="41">
        <v>0</v>
      </c>
      <c r="II80" s="41">
        <v>0</v>
      </c>
      <c r="IJ80" s="41">
        <v>0</v>
      </c>
      <c r="IK80" s="41">
        <v>0</v>
      </c>
      <c r="IL80" s="41">
        <v>0</v>
      </c>
      <c r="IM80" s="41">
        <v>0</v>
      </c>
      <c r="IN80" s="41">
        <v>0</v>
      </c>
      <c r="IO80" s="41">
        <v>0</v>
      </c>
      <c r="IP80" s="41">
        <v>0</v>
      </c>
      <c r="IQ80" s="41">
        <v>0</v>
      </c>
      <c r="IR80" s="41">
        <v>0</v>
      </c>
      <c r="IS80" s="41">
        <v>0</v>
      </c>
      <c r="IT80" s="17">
        <v>1</v>
      </c>
      <c r="IU80" s="41">
        <v>4</v>
      </c>
      <c r="IV80" s="41" t="str">
        <f t="shared" si="11"/>
        <v>PUDS</v>
      </c>
      <c r="IW80" s="41">
        <v>818</v>
      </c>
      <c r="IX80" s="41">
        <v>38</v>
      </c>
      <c r="IY80" s="41">
        <v>0</v>
      </c>
      <c r="IZ80" s="41">
        <v>6.36</v>
      </c>
      <c r="JA80" s="42"/>
      <c r="JB80" s="41">
        <v>0</v>
      </c>
      <c r="JC80" s="41">
        <v>0</v>
      </c>
      <c r="JD80" s="42">
        <v>0</v>
      </c>
      <c r="JE80" s="42">
        <v>0</v>
      </c>
      <c r="JF80" s="41">
        <v>0</v>
      </c>
      <c r="JG80" s="41">
        <v>0</v>
      </c>
      <c r="JH80" s="41">
        <v>0</v>
      </c>
      <c r="JI80" s="41">
        <v>0</v>
      </c>
      <c r="JJ80" s="41">
        <v>0</v>
      </c>
      <c r="JK80" s="41">
        <v>0</v>
      </c>
      <c r="JL80" s="41">
        <v>0</v>
      </c>
      <c r="JM80" s="41">
        <v>0</v>
      </c>
      <c r="JN80" s="41">
        <v>0</v>
      </c>
      <c r="JO80" s="41">
        <v>0</v>
      </c>
      <c r="JP80" s="41">
        <v>0</v>
      </c>
      <c r="JQ80" s="41">
        <v>0</v>
      </c>
      <c r="JR80" s="41">
        <v>0</v>
      </c>
      <c r="JS80" s="41">
        <v>0</v>
      </c>
      <c r="JT80" s="41">
        <v>0</v>
      </c>
      <c r="JU80"/>
    </row>
    <row r="81" spans="1:281" ht="15.75">
      <c r="A81" s="25">
        <v>75</v>
      </c>
      <c r="B81" s="25">
        <v>20190301</v>
      </c>
      <c r="C81" s="25"/>
      <c r="D81" s="25" t="s">
        <v>132</v>
      </c>
      <c r="E81" s="25" t="s">
        <v>132</v>
      </c>
      <c r="F81" s="25" t="s">
        <v>133</v>
      </c>
      <c r="G81" s="25"/>
      <c r="H81" s="25">
        <v>100000075</v>
      </c>
      <c r="I81" s="25" t="s">
        <v>134</v>
      </c>
      <c r="J81" s="25" t="s">
        <v>135</v>
      </c>
      <c r="K81" s="25" t="s">
        <v>132</v>
      </c>
      <c r="L81" s="25">
        <v>4</v>
      </c>
      <c r="M81" s="25">
        <v>1</v>
      </c>
      <c r="N81" s="25">
        <v>1</v>
      </c>
      <c r="O81" s="45" t="s">
        <v>141</v>
      </c>
      <c r="P81" s="25">
        <v>100</v>
      </c>
      <c r="Q81" s="25">
        <v>20180301</v>
      </c>
      <c r="R81" s="25">
        <v>20180301</v>
      </c>
      <c r="S81" s="25" t="s">
        <v>137</v>
      </c>
      <c r="T81" s="25" t="s">
        <v>143</v>
      </c>
      <c r="U81" s="25">
        <v>20190301</v>
      </c>
      <c r="V81" s="25">
        <v>6</v>
      </c>
      <c r="W81" s="25">
        <v>6</v>
      </c>
      <c r="X81" s="25" t="s">
        <v>139</v>
      </c>
      <c r="Y81" s="25">
        <v>0</v>
      </c>
      <c r="Z81" s="25" t="s">
        <v>140</v>
      </c>
      <c r="AA81" s="25">
        <v>818</v>
      </c>
      <c r="AB81" s="41">
        <v>0</v>
      </c>
      <c r="AC81" s="41">
        <v>12</v>
      </c>
      <c r="AD81" s="41">
        <v>20180201</v>
      </c>
      <c r="AE81" s="41">
        <v>0</v>
      </c>
      <c r="AF81" s="26">
        <v>60000</v>
      </c>
      <c r="AG81" s="41">
        <v>82</v>
      </c>
      <c r="AH81" s="26">
        <v>32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0</v>
      </c>
      <c r="AX81" s="26">
        <v>0</v>
      </c>
      <c r="AY81" s="46">
        <v>1</v>
      </c>
      <c r="AZ81" s="25">
        <v>2</v>
      </c>
      <c r="BA81" s="41" t="s">
        <v>203</v>
      </c>
      <c r="BB81" s="41">
        <v>100</v>
      </c>
      <c r="BC81" s="41">
        <v>20180301</v>
      </c>
      <c r="BD81" s="41">
        <v>20180301</v>
      </c>
      <c r="BE81" s="41" t="s">
        <v>198</v>
      </c>
      <c r="BF81" s="41" t="s">
        <v>149</v>
      </c>
      <c r="BG81" s="41">
        <v>20180301</v>
      </c>
      <c r="BH81" s="41">
        <v>0</v>
      </c>
      <c r="BI81" s="41">
        <v>0</v>
      </c>
      <c r="BJ81" s="41"/>
      <c r="BK81" s="41">
        <v>0</v>
      </c>
      <c r="BL81" s="41" t="s">
        <v>140</v>
      </c>
      <c r="BM81" s="41">
        <v>818</v>
      </c>
      <c r="BN81" s="41">
        <v>0</v>
      </c>
      <c r="BO81" s="41">
        <v>12</v>
      </c>
      <c r="BP81" s="41">
        <v>20180201</v>
      </c>
      <c r="BQ81" s="41">
        <v>0</v>
      </c>
      <c r="BR81" s="41">
        <v>0</v>
      </c>
      <c r="BS81" s="41">
        <v>7</v>
      </c>
      <c r="BT81" s="25">
        <v>32</v>
      </c>
      <c r="BU81" s="25">
        <v>0</v>
      </c>
      <c r="BV81" s="25">
        <v>0</v>
      </c>
      <c r="BW81" s="25">
        <v>0</v>
      </c>
      <c r="BX81" s="25">
        <v>0</v>
      </c>
      <c r="BY81" s="25">
        <v>0</v>
      </c>
      <c r="BZ81" s="25">
        <v>0</v>
      </c>
      <c r="CA81" s="25">
        <v>0</v>
      </c>
      <c r="CB81" s="25">
        <v>0</v>
      </c>
      <c r="CC81" s="25">
        <v>0</v>
      </c>
      <c r="CD81" s="25">
        <v>0</v>
      </c>
      <c r="CE81" s="25">
        <v>0</v>
      </c>
      <c r="CF81" s="25">
        <v>0</v>
      </c>
      <c r="CG81" s="25">
        <v>0</v>
      </c>
      <c r="CH81" s="25">
        <v>0</v>
      </c>
      <c r="CI81" s="25">
        <v>0</v>
      </c>
      <c r="CJ81" s="25">
        <v>0</v>
      </c>
      <c r="CK81" s="22">
        <v>1</v>
      </c>
      <c r="CL81" s="25">
        <v>3</v>
      </c>
      <c r="CM81" s="41" t="s">
        <v>150</v>
      </c>
      <c r="CN81" s="41">
        <v>100</v>
      </c>
      <c r="CO81" s="41">
        <v>20180301</v>
      </c>
      <c r="CP81" s="41">
        <v>20180301</v>
      </c>
      <c r="CQ81" s="41" t="s">
        <v>198</v>
      </c>
      <c r="CR81" s="41" t="s">
        <v>200</v>
      </c>
      <c r="CS81" s="41">
        <v>20180301</v>
      </c>
      <c r="CT81" s="41">
        <v>0</v>
      </c>
      <c r="CU81" s="41">
        <v>0</v>
      </c>
      <c r="CV81" s="41"/>
      <c r="CW81" s="41">
        <v>0</v>
      </c>
      <c r="CX81" s="41" t="s">
        <v>140</v>
      </c>
      <c r="CY81" s="41">
        <v>818</v>
      </c>
      <c r="CZ81" s="41">
        <v>0</v>
      </c>
      <c r="DA81" s="41">
        <v>12</v>
      </c>
      <c r="DB81" s="41">
        <v>20180201</v>
      </c>
      <c r="DC81" s="41">
        <v>0</v>
      </c>
      <c r="DD81" s="41">
        <v>0</v>
      </c>
      <c r="DE81" s="41">
        <v>11</v>
      </c>
      <c r="DF81" s="25">
        <v>32</v>
      </c>
      <c r="DG81" s="25">
        <v>0</v>
      </c>
      <c r="DH81" s="25">
        <v>0</v>
      </c>
      <c r="DI81" s="25">
        <v>0</v>
      </c>
      <c r="DJ81" s="25">
        <v>0</v>
      </c>
      <c r="DK81" s="25">
        <v>0</v>
      </c>
      <c r="DL81" s="25">
        <v>0</v>
      </c>
      <c r="DM81" s="25">
        <v>0</v>
      </c>
      <c r="DN81" s="25">
        <v>0</v>
      </c>
      <c r="DO81" s="25">
        <v>0</v>
      </c>
      <c r="DP81" s="25">
        <v>0</v>
      </c>
      <c r="DQ81" s="25">
        <v>0</v>
      </c>
      <c r="DR81" s="25">
        <v>0</v>
      </c>
      <c r="DS81" s="25">
        <v>0</v>
      </c>
      <c r="DT81" s="25">
        <v>0</v>
      </c>
      <c r="DU81" s="25">
        <v>0</v>
      </c>
      <c r="DV81" s="25">
        <v>0</v>
      </c>
      <c r="DW81" s="23">
        <v>1</v>
      </c>
      <c r="DX81" s="25">
        <v>4</v>
      </c>
      <c r="DY81" s="41" t="s">
        <v>151</v>
      </c>
      <c r="DZ81" s="41">
        <v>100</v>
      </c>
      <c r="EA81" s="41">
        <v>20180301</v>
      </c>
      <c r="EB81" s="41">
        <v>20180301</v>
      </c>
      <c r="EC81" s="41" t="s">
        <v>198</v>
      </c>
      <c r="ED81" s="41" t="s">
        <v>201</v>
      </c>
      <c r="EE81" s="41">
        <v>20180301</v>
      </c>
      <c r="EF81" s="41">
        <v>0</v>
      </c>
      <c r="EG81" s="41">
        <v>0</v>
      </c>
      <c r="EH81" s="41"/>
      <c r="EI81" s="41">
        <v>0</v>
      </c>
      <c r="EJ81" s="41" t="s">
        <v>140</v>
      </c>
      <c r="EK81" s="41">
        <v>818</v>
      </c>
      <c r="EL81" s="41">
        <v>0</v>
      </c>
      <c r="EM81" s="41">
        <v>12</v>
      </c>
      <c r="EN81" s="41">
        <v>20180201</v>
      </c>
      <c r="EO81" s="41">
        <v>0</v>
      </c>
      <c r="EP81" s="41">
        <v>0</v>
      </c>
      <c r="EQ81" s="41">
        <v>6</v>
      </c>
      <c r="ER81" s="25">
        <v>32</v>
      </c>
      <c r="ES81" s="25">
        <v>0</v>
      </c>
      <c r="ET81" s="25">
        <v>0</v>
      </c>
      <c r="EU81" s="25">
        <v>0</v>
      </c>
      <c r="EV81" s="25">
        <v>0</v>
      </c>
      <c r="EW81" s="25">
        <v>0</v>
      </c>
      <c r="EX81" s="25">
        <v>0</v>
      </c>
      <c r="EY81" s="25">
        <v>0</v>
      </c>
      <c r="EZ81" s="25">
        <v>0</v>
      </c>
      <c r="FA81" s="25">
        <v>0</v>
      </c>
      <c r="FB81" s="25">
        <v>0</v>
      </c>
      <c r="FC81" s="25">
        <v>0</v>
      </c>
      <c r="FD81" s="25">
        <v>0</v>
      </c>
      <c r="FE81" s="25">
        <v>0</v>
      </c>
      <c r="FF81" s="25">
        <v>0</v>
      </c>
      <c r="FG81" s="25">
        <v>0</v>
      </c>
      <c r="FH81" s="25">
        <v>0</v>
      </c>
      <c r="FI81" s="25">
        <v>1</v>
      </c>
      <c r="FJ81" s="25">
        <v>1</v>
      </c>
      <c r="FK81" s="25">
        <v>1</v>
      </c>
      <c r="FL81" s="25">
        <v>32</v>
      </c>
      <c r="FM81" s="25" t="s">
        <v>137</v>
      </c>
      <c r="FN81" s="25">
        <v>19870101</v>
      </c>
      <c r="FP81" s="28">
        <v>4</v>
      </c>
      <c r="FQ81" s="47">
        <v>1</v>
      </c>
      <c r="FR81" s="41">
        <v>1</v>
      </c>
      <c r="FS81" s="41" t="str">
        <f t="shared" si="6"/>
        <v>MFSP</v>
      </c>
      <c r="FT81" s="41">
        <f t="shared" si="7"/>
        <v>818</v>
      </c>
      <c r="FU81" s="41">
        <f t="shared" si="8"/>
        <v>32</v>
      </c>
      <c r="FV81" s="41">
        <v>63600</v>
      </c>
      <c r="FW81" s="41">
        <v>86.92</v>
      </c>
      <c r="FX81" s="41"/>
      <c r="FY81" s="29">
        <v>0</v>
      </c>
      <c r="FZ81" s="29">
        <v>0</v>
      </c>
      <c r="GA81" s="30">
        <v>0</v>
      </c>
      <c r="GB81" s="30">
        <v>0</v>
      </c>
      <c r="GC81" s="29">
        <v>0</v>
      </c>
      <c r="GD81" s="41">
        <v>0</v>
      </c>
      <c r="GE81" s="29">
        <v>0</v>
      </c>
      <c r="GF81" s="29">
        <v>0</v>
      </c>
      <c r="GG81" s="29">
        <v>0</v>
      </c>
      <c r="GH81" s="29">
        <v>0</v>
      </c>
      <c r="GI81" s="29">
        <v>0</v>
      </c>
      <c r="GJ81" s="29">
        <v>0</v>
      </c>
      <c r="GK81" s="29">
        <v>0</v>
      </c>
      <c r="GL81" s="29">
        <v>0</v>
      </c>
      <c r="GM81" s="29">
        <v>0</v>
      </c>
      <c r="GN81" s="29">
        <v>0</v>
      </c>
      <c r="GO81" s="29">
        <v>0</v>
      </c>
      <c r="GP81" s="29">
        <v>0</v>
      </c>
      <c r="GQ81" s="29">
        <v>0</v>
      </c>
      <c r="GR81" s="18">
        <v>1</v>
      </c>
      <c r="GS81" s="41">
        <v>2</v>
      </c>
      <c r="GT81" s="41" t="str">
        <f t="shared" si="9"/>
        <v>PURO</v>
      </c>
      <c r="GU81" s="41">
        <v>818</v>
      </c>
      <c r="GV81" s="41">
        <v>39</v>
      </c>
      <c r="GW81" s="41">
        <v>0</v>
      </c>
      <c r="GX81" s="41">
        <v>7.42</v>
      </c>
      <c r="GY81" s="41"/>
      <c r="GZ81" s="41">
        <v>0</v>
      </c>
      <c r="HA81" s="41">
        <v>0</v>
      </c>
      <c r="HB81" s="42">
        <v>0</v>
      </c>
      <c r="HC81" s="42">
        <v>0</v>
      </c>
      <c r="HD81" s="41">
        <v>0</v>
      </c>
      <c r="HE81" s="41">
        <v>0</v>
      </c>
      <c r="HF81" s="41">
        <v>0</v>
      </c>
      <c r="HG81" s="41">
        <v>0</v>
      </c>
      <c r="HH81" s="41">
        <v>0</v>
      </c>
      <c r="HI81" s="41">
        <v>0</v>
      </c>
      <c r="HJ81" s="41">
        <v>0</v>
      </c>
      <c r="HK81" s="41">
        <v>0</v>
      </c>
      <c r="HL81" s="41">
        <v>0</v>
      </c>
      <c r="HM81" s="41">
        <v>0</v>
      </c>
      <c r="HN81" s="41">
        <v>0</v>
      </c>
      <c r="HO81" s="41">
        <v>0</v>
      </c>
      <c r="HP81" s="41">
        <v>0</v>
      </c>
      <c r="HQ81" s="41">
        <v>0</v>
      </c>
      <c r="HR81" s="41">
        <v>0</v>
      </c>
      <c r="HS81" s="24">
        <v>1</v>
      </c>
      <c r="HT81" s="41">
        <v>3</v>
      </c>
      <c r="HU81" s="41" t="str">
        <f t="shared" si="10"/>
        <v>PUDT</v>
      </c>
      <c r="HV81" s="41">
        <v>818</v>
      </c>
      <c r="HW81" s="41">
        <v>39</v>
      </c>
      <c r="HX81" s="41">
        <v>0</v>
      </c>
      <c r="HY81" s="41">
        <v>11.66</v>
      </c>
      <c r="HZ81" s="42"/>
      <c r="IA81" s="41">
        <v>0</v>
      </c>
      <c r="IB81" s="41">
        <v>0</v>
      </c>
      <c r="IC81" s="42">
        <v>0</v>
      </c>
      <c r="ID81" s="42">
        <v>0</v>
      </c>
      <c r="IE81" s="41">
        <v>0</v>
      </c>
      <c r="IF81" s="43">
        <v>0</v>
      </c>
      <c r="IG81" s="41">
        <v>0</v>
      </c>
      <c r="IH81" s="41">
        <v>0</v>
      </c>
      <c r="II81" s="41">
        <v>0</v>
      </c>
      <c r="IJ81" s="41">
        <v>0</v>
      </c>
      <c r="IK81" s="41">
        <v>0</v>
      </c>
      <c r="IL81" s="41">
        <v>0</v>
      </c>
      <c r="IM81" s="41">
        <v>0</v>
      </c>
      <c r="IN81" s="41">
        <v>0</v>
      </c>
      <c r="IO81" s="41">
        <v>0</v>
      </c>
      <c r="IP81" s="41">
        <v>0</v>
      </c>
      <c r="IQ81" s="41">
        <v>0</v>
      </c>
      <c r="IR81" s="41">
        <v>0</v>
      </c>
      <c r="IS81" s="41">
        <v>0</v>
      </c>
      <c r="IT81" s="17">
        <v>1</v>
      </c>
      <c r="IU81" s="41">
        <v>4</v>
      </c>
      <c r="IV81" s="41" t="str">
        <f t="shared" si="11"/>
        <v>PUDS</v>
      </c>
      <c r="IW81" s="41">
        <v>818</v>
      </c>
      <c r="IX81" s="41">
        <v>39</v>
      </c>
      <c r="IY81" s="41">
        <v>0</v>
      </c>
      <c r="IZ81" s="41">
        <v>6.36</v>
      </c>
      <c r="JA81" s="42"/>
      <c r="JB81" s="41">
        <v>0</v>
      </c>
      <c r="JC81" s="41">
        <v>0</v>
      </c>
      <c r="JD81" s="42">
        <v>0</v>
      </c>
      <c r="JE81" s="42">
        <v>0</v>
      </c>
      <c r="JF81" s="41">
        <v>0</v>
      </c>
      <c r="JG81" s="41">
        <v>0</v>
      </c>
      <c r="JH81" s="41">
        <v>0</v>
      </c>
      <c r="JI81" s="41">
        <v>0</v>
      </c>
      <c r="JJ81" s="41">
        <v>0</v>
      </c>
      <c r="JK81" s="41">
        <v>0</v>
      </c>
      <c r="JL81" s="41">
        <v>0</v>
      </c>
      <c r="JM81" s="41">
        <v>0</v>
      </c>
      <c r="JN81" s="41">
        <v>0</v>
      </c>
      <c r="JO81" s="41">
        <v>0</v>
      </c>
      <c r="JP81" s="41">
        <v>0</v>
      </c>
      <c r="JQ81" s="41">
        <v>0</v>
      </c>
      <c r="JR81" s="41">
        <v>0</v>
      </c>
      <c r="JS81" s="41">
        <v>0</v>
      </c>
      <c r="JT81" s="41">
        <v>0</v>
      </c>
      <c r="JU81"/>
    </row>
    <row r="82" spans="1:281" ht="15.75">
      <c r="A82" s="25">
        <v>76</v>
      </c>
      <c r="B82" s="25">
        <v>20190301</v>
      </c>
      <c r="C82" s="25"/>
      <c r="D82" s="25" t="s">
        <v>132</v>
      </c>
      <c r="E82" s="25" t="s">
        <v>132</v>
      </c>
      <c r="F82" s="25" t="s">
        <v>133</v>
      </c>
      <c r="G82" s="25"/>
      <c r="H82" s="25">
        <v>100000076</v>
      </c>
      <c r="I82" s="25" t="s">
        <v>134</v>
      </c>
      <c r="J82" s="25" t="s">
        <v>135</v>
      </c>
      <c r="K82" s="25" t="s">
        <v>132</v>
      </c>
      <c r="L82" s="25">
        <v>4</v>
      </c>
      <c r="M82" s="25">
        <v>1</v>
      </c>
      <c r="N82" s="25">
        <v>1</v>
      </c>
      <c r="O82" s="45" t="s">
        <v>141</v>
      </c>
      <c r="P82" s="25">
        <v>100</v>
      </c>
      <c r="Q82" s="25">
        <v>20180301</v>
      </c>
      <c r="R82" s="25">
        <v>20180301</v>
      </c>
      <c r="S82" s="25" t="s">
        <v>137</v>
      </c>
      <c r="T82" s="25" t="s">
        <v>143</v>
      </c>
      <c r="U82" s="25">
        <v>20190301</v>
      </c>
      <c r="V82" s="25">
        <v>6</v>
      </c>
      <c r="W82" s="25">
        <v>6</v>
      </c>
      <c r="X82" s="25" t="s">
        <v>139</v>
      </c>
      <c r="Y82" s="25">
        <v>0</v>
      </c>
      <c r="Z82" s="25" t="s">
        <v>140</v>
      </c>
      <c r="AA82" s="25">
        <v>818</v>
      </c>
      <c r="AB82" s="41">
        <v>0</v>
      </c>
      <c r="AC82" s="41">
        <v>12</v>
      </c>
      <c r="AD82" s="41">
        <v>20180201</v>
      </c>
      <c r="AE82" s="41">
        <v>0</v>
      </c>
      <c r="AF82" s="26">
        <v>65000</v>
      </c>
      <c r="AG82" s="41">
        <v>86</v>
      </c>
      <c r="AH82" s="26">
        <v>33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0</v>
      </c>
      <c r="AX82" s="26">
        <v>0</v>
      </c>
      <c r="AY82" s="46">
        <v>1</v>
      </c>
      <c r="AZ82" s="25">
        <v>2</v>
      </c>
      <c r="BA82" s="41" t="s">
        <v>203</v>
      </c>
      <c r="BB82" s="41">
        <v>100</v>
      </c>
      <c r="BC82" s="41">
        <v>20180301</v>
      </c>
      <c r="BD82" s="41">
        <v>20180301</v>
      </c>
      <c r="BE82" s="41" t="s">
        <v>198</v>
      </c>
      <c r="BF82" s="41" t="s">
        <v>149</v>
      </c>
      <c r="BG82" s="41">
        <v>20180301</v>
      </c>
      <c r="BH82" s="41">
        <v>0</v>
      </c>
      <c r="BI82" s="41">
        <v>0</v>
      </c>
      <c r="BJ82" s="41"/>
      <c r="BK82" s="41">
        <v>0</v>
      </c>
      <c r="BL82" s="41" t="s">
        <v>140</v>
      </c>
      <c r="BM82" s="41">
        <v>818</v>
      </c>
      <c r="BN82" s="41">
        <v>0</v>
      </c>
      <c r="BO82" s="41">
        <v>12</v>
      </c>
      <c r="BP82" s="41">
        <v>20180201</v>
      </c>
      <c r="BQ82" s="41">
        <v>0</v>
      </c>
      <c r="BR82" s="41">
        <v>0</v>
      </c>
      <c r="BS82" s="41">
        <v>7</v>
      </c>
      <c r="BT82" s="25">
        <v>33</v>
      </c>
      <c r="BU82" s="25">
        <v>0</v>
      </c>
      <c r="BV82" s="25">
        <v>0</v>
      </c>
      <c r="BW82" s="25">
        <v>0</v>
      </c>
      <c r="BX82" s="25">
        <v>0</v>
      </c>
      <c r="BY82" s="25">
        <v>0</v>
      </c>
      <c r="BZ82" s="25">
        <v>0</v>
      </c>
      <c r="CA82" s="25">
        <v>0</v>
      </c>
      <c r="CB82" s="25">
        <v>0</v>
      </c>
      <c r="CC82" s="25">
        <v>0</v>
      </c>
      <c r="CD82" s="25">
        <v>0</v>
      </c>
      <c r="CE82" s="25">
        <v>0</v>
      </c>
      <c r="CF82" s="25">
        <v>0</v>
      </c>
      <c r="CG82" s="25">
        <v>0</v>
      </c>
      <c r="CH82" s="25">
        <v>0</v>
      </c>
      <c r="CI82" s="25">
        <v>0</v>
      </c>
      <c r="CJ82" s="25">
        <v>0</v>
      </c>
      <c r="CK82" s="22">
        <v>1</v>
      </c>
      <c r="CL82" s="25">
        <v>3</v>
      </c>
      <c r="CM82" s="41" t="s">
        <v>150</v>
      </c>
      <c r="CN82" s="41">
        <v>100</v>
      </c>
      <c r="CO82" s="41">
        <v>20180301</v>
      </c>
      <c r="CP82" s="41">
        <v>20180301</v>
      </c>
      <c r="CQ82" s="41" t="s">
        <v>198</v>
      </c>
      <c r="CR82" s="41" t="s">
        <v>200</v>
      </c>
      <c r="CS82" s="41">
        <v>20180301</v>
      </c>
      <c r="CT82" s="41">
        <v>0</v>
      </c>
      <c r="CU82" s="41">
        <v>0</v>
      </c>
      <c r="CV82" s="41"/>
      <c r="CW82" s="41">
        <v>0</v>
      </c>
      <c r="CX82" s="41" t="s">
        <v>140</v>
      </c>
      <c r="CY82" s="41">
        <v>818</v>
      </c>
      <c r="CZ82" s="41">
        <v>0</v>
      </c>
      <c r="DA82" s="41">
        <v>12</v>
      </c>
      <c r="DB82" s="41">
        <v>20180201</v>
      </c>
      <c r="DC82" s="41">
        <v>0</v>
      </c>
      <c r="DD82" s="41">
        <v>0</v>
      </c>
      <c r="DE82" s="41">
        <v>12</v>
      </c>
      <c r="DF82" s="25">
        <v>33</v>
      </c>
      <c r="DG82" s="25">
        <v>0</v>
      </c>
      <c r="DH82" s="25">
        <v>0</v>
      </c>
      <c r="DI82" s="25">
        <v>0</v>
      </c>
      <c r="DJ82" s="25">
        <v>0</v>
      </c>
      <c r="DK82" s="25">
        <v>0</v>
      </c>
      <c r="DL82" s="25">
        <v>0</v>
      </c>
      <c r="DM82" s="25">
        <v>0</v>
      </c>
      <c r="DN82" s="25">
        <v>0</v>
      </c>
      <c r="DO82" s="25">
        <v>0</v>
      </c>
      <c r="DP82" s="25">
        <v>0</v>
      </c>
      <c r="DQ82" s="25">
        <v>0</v>
      </c>
      <c r="DR82" s="25">
        <v>0</v>
      </c>
      <c r="DS82" s="25">
        <v>0</v>
      </c>
      <c r="DT82" s="25">
        <v>0</v>
      </c>
      <c r="DU82" s="25">
        <v>0</v>
      </c>
      <c r="DV82" s="25">
        <v>0</v>
      </c>
      <c r="DW82" s="23">
        <v>1</v>
      </c>
      <c r="DX82" s="25">
        <v>4</v>
      </c>
      <c r="DY82" s="41" t="s">
        <v>151</v>
      </c>
      <c r="DZ82" s="41">
        <v>100</v>
      </c>
      <c r="EA82" s="41">
        <v>20180301</v>
      </c>
      <c r="EB82" s="41">
        <v>20180301</v>
      </c>
      <c r="EC82" s="41" t="s">
        <v>198</v>
      </c>
      <c r="ED82" s="41" t="s">
        <v>201</v>
      </c>
      <c r="EE82" s="41">
        <v>20180301</v>
      </c>
      <c r="EF82" s="41">
        <v>0</v>
      </c>
      <c r="EG82" s="41">
        <v>0</v>
      </c>
      <c r="EH82" s="41"/>
      <c r="EI82" s="41">
        <v>0</v>
      </c>
      <c r="EJ82" s="41" t="s">
        <v>140</v>
      </c>
      <c r="EK82" s="41">
        <v>818</v>
      </c>
      <c r="EL82" s="41">
        <v>0</v>
      </c>
      <c r="EM82" s="41">
        <v>12</v>
      </c>
      <c r="EN82" s="41">
        <v>20180201</v>
      </c>
      <c r="EO82" s="41">
        <v>0</v>
      </c>
      <c r="EP82" s="41">
        <v>0</v>
      </c>
      <c r="EQ82" s="41">
        <v>6</v>
      </c>
      <c r="ER82" s="25">
        <v>33</v>
      </c>
      <c r="ES82" s="25">
        <v>0</v>
      </c>
      <c r="ET82" s="25">
        <v>0</v>
      </c>
      <c r="EU82" s="25">
        <v>0</v>
      </c>
      <c r="EV82" s="25">
        <v>0</v>
      </c>
      <c r="EW82" s="25">
        <v>0</v>
      </c>
      <c r="EX82" s="25">
        <v>0</v>
      </c>
      <c r="EY82" s="25">
        <v>0</v>
      </c>
      <c r="EZ82" s="25">
        <v>0</v>
      </c>
      <c r="FA82" s="25">
        <v>0</v>
      </c>
      <c r="FB82" s="25">
        <v>0</v>
      </c>
      <c r="FC82" s="25">
        <v>0</v>
      </c>
      <c r="FD82" s="25">
        <v>0</v>
      </c>
      <c r="FE82" s="25">
        <v>0</v>
      </c>
      <c r="FF82" s="25">
        <v>0</v>
      </c>
      <c r="FG82" s="25">
        <v>0</v>
      </c>
      <c r="FH82" s="25">
        <v>0</v>
      </c>
      <c r="FI82" s="25">
        <v>1</v>
      </c>
      <c r="FJ82" s="25">
        <v>1</v>
      </c>
      <c r="FK82" s="25">
        <v>1</v>
      </c>
      <c r="FL82" s="25">
        <v>33</v>
      </c>
      <c r="FM82" s="25" t="s">
        <v>137</v>
      </c>
      <c r="FN82" s="25">
        <v>19860101</v>
      </c>
      <c r="FP82" s="28">
        <v>4</v>
      </c>
      <c r="FQ82" s="47">
        <v>1</v>
      </c>
      <c r="FR82" s="41">
        <v>1</v>
      </c>
      <c r="FS82" s="41" t="str">
        <f t="shared" si="6"/>
        <v>MFSP</v>
      </c>
      <c r="FT82" s="41">
        <f t="shared" si="7"/>
        <v>818</v>
      </c>
      <c r="FU82" s="41">
        <f t="shared" si="8"/>
        <v>33</v>
      </c>
      <c r="FV82" s="41">
        <v>68900</v>
      </c>
      <c r="FW82" s="41">
        <v>91.16</v>
      </c>
      <c r="FX82" s="41"/>
      <c r="FY82" s="29">
        <v>0</v>
      </c>
      <c r="FZ82" s="29">
        <v>0</v>
      </c>
      <c r="GA82" s="30">
        <v>0</v>
      </c>
      <c r="GB82" s="30">
        <v>0</v>
      </c>
      <c r="GC82" s="29">
        <v>0</v>
      </c>
      <c r="GD82" s="41">
        <v>0</v>
      </c>
      <c r="GE82" s="29">
        <v>0</v>
      </c>
      <c r="GF82" s="29">
        <v>0</v>
      </c>
      <c r="GG82" s="29">
        <v>0</v>
      </c>
      <c r="GH82" s="29">
        <v>0</v>
      </c>
      <c r="GI82" s="29">
        <v>0</v>
      </c>
      <c r="GJ82" s="29">
        <v>0</v>
      </c>
      <c r="GK82" s="29">
        <v>0</v>
      </c>
      <c r="GL82" s="29">
        <v>0</v>
      </c>
      <c r="GM82" s="29">
        <v>0</v>
      </c>
      <c r="GN82" s="29">
        <v>0</v>
      </c>
      <c r="GO82" s="29">
        <v>0</v>
      </c>
      <c r="GP82" s="29">
        <v>0</v>
      </c>
      <c r="GQ82" s="29">
        <v>0</v>
      </c>
      <c r="GR82" s="18">
        <v>1</v>
      </c>
      <c r="GS82" s="41">
        <v>2</v>
      </c>
      <c r="GT82" s="41" t="str">
        <f t="shared" si="9"/>
        <v>PURO</v>
      </c>
      <c r="GU82" s="41">
        <v>818</v>
      </c>
      <c r="GV82" s="41">
        <v>40</v>
      </c>
      <c r="GW82" s="41">
        <v>0</v>
      </c>
      <c r="GX82" s="41">
        <v>7.42</v>
      </c>
      <c r="GY82" s="41"/>
      <c r="GZ82" s="41">
        <v>0</v>
      </c>
      <c r="HA82" s="41">
        <v>0</v>
      </c>
      <c r="HB82" s="42">
        <v>0</v>
      </c>
      <c r="HC82" s="42">
        <v>0</v>
      </c>
      <c r="HD82" s="41">
        <v>0</v>
      </c>
      <c r="HE82" s="41">
        <v>0</v>
      </c>
      <c r="HF82" s="41">
        <v>0</v>
      </c>
      <c r="HG82" s="41">
        <v>0</v>
      </c>
      <c r="HH82" s="41">
        <v>0</v>
      </c>
      <c r="HI82" s="41">
        <v>0</v>
      </c>
      <c r="HJ82" s="41">
        <v>0</v>
      </c>
      <c r="HK82" s="41">
        <v>0</v>
      </c>
      <c r="HL82" s="41">
        <v>0</v>
      </c>
      <c r="HM82" s="41">
        <v>0</v>
      </c>
      <c r="HN82" s="41">
        <v>0</v>
      </c>
      <c r="HO82" s="41">
        <v>0</v>
      </c>
      <c r="HP82" s="41">
        <v>0</v>
      </c>
      <c r="HQ82" s="41">
        <v>0</v>
      </c>
      <c r="HR82" s="41">
        <v>0</v>
      </c>
      <c r="HS82" s="24">
        <v>1</v>
      </c>
      <c r="HT82" s="41">
        <v>3</v>
      </c>
      <c r="HU82" s="41" t="str">
        <f t="shared" si="10"/>
        <v>PUDT</v>
      </c>
      <c r="HV82" s="41">
        <v>818</v>
      </c>
      <c r="HW82" s="41">
        <v>40</v>
      </c>
      <c r="HX82" s="41">
        <v>0</v>
      </c>
      <c r="HY82" s="41">
        <v>12.72</v>
      </c>
      <c r="HZ82" s="42"/>
      <c r="IA82" s="41">
        <v>0</v>
      </c>
      <c r="IB82" s="41">
        <v>0</v>
      </c>
      <c r="IC82" s="42">
        <v>0</v>
      </c>
      <c r="ID82" s="42">
        <v>0</v>
      </c>
      <c r="IE82" s="41">
        <v>0</v>
      </c>
      <c r="IF82" s="43">
        <v>0</v>
      </c>
      <c r="IG82" s="41">
        <v>0</v>
      </c>
      <c r="IH82" s="41">
        <v>0</v>
      </c>
      <c r="II82" s="41">
        <v>0</v>
      </c>
      <c r="IJ82" s="41">
        <v>0</v>
      </c>
      <c r="IK82" s="41">
        <v>0</v>
      </c>
      <c r="IL82" s="41">
        <v>0</v>
      </c>
      <c r="IM82" s="41">
        <v>0</v>
      </c>
      <c r="IN82" s="41">
        <v>0</v>
      </c>
      <c r="IO82" s="41">
        <v>0</v>
      </c>
      <c r="IP82" s="41">
        <v>0</v>
      </c>
      <c r="IQ82" s="41">
        <v>0</v>
      </c>
      <c r="IR82" s="41">
        <v>0</v>
      </c>
      <c r="IS82" s="41">
        <v>0</v>
      </c>
      <c r="IT82" s="17">
        <v>1</v>
      </c>
      <c r="IU82" s="41">
        <v>4</v>
      </c>
      <c r="IV82" s="41" t="str">
        <f t="shared" si="11"/>
        <v>PUDS</v>
      </c>
      <c r="IW82" s="41">
        <v>818</v>
      </c>
      <c r="IX82" s="41">
        <v>40</v>
      </c>
      <c r="IY82" s="41">
        <v>0</v>
      </c>
      <c r="IZ82" s="41">
        <v>6.36</v>
      </c>
      <c r="JA82" s="42"/>
      <c r="JB82" s="41">
        <v>0</v>
      </c>
      <c r="JC82" s="41">
        <v>0</v>
      </c>
      <c r="JD82" s="42">
        <v>0</v>
      </c>
      <c r="JE82" s="42">
        <v>0</v>
      </c>
      <c r="JF82" s="41">
        <v>0</v>
      </c>
      <c r="JG82" s="41">
        <v>0</v>
      </c>
      <c r="JH82" s="41">
        <v>0</v>
      </c>
      <c r="JI82" s="41">
        <v>0</v>
      </c>
      <c r="JJ82" s="41">
        <v>0</v>
      </c>
      <c r="JK82" s="41">
        <v>0</v>
      </c>
      <c r="JL82" s="41">
        <v>0</v>
      </c>
      <c r="JM82" s="41">
        <v>0</v>
      </c>
      <c r="JN82" s="41">
        <v>0</v>
      </c>
      <c r="JO82" s="41">
        <v>0</v>
      </c>
      <c r="JP82" s="41">
        <v>0</v>
      </c>
      <c r="JQ82" s="41">
        <v>0</v>
      </c>
      <c r="JR82" s="41">
        <v>0</v>
      </c>
      <c r="JS82" s="41">
        <v>0</v>
      </c>
      <c r="JT82" s="41">
        <v>0</v>
      </c>
      <c r="JU82"/>
    </row>
    <row r="83" spans="1:281" ht="15.75">
      <c r="A83" s="25">
        <v>77</v>
      </c>
      <c r="B83" s="25">
        <v>20190301</v>
      </c>
      <c r="C83" s="25"/>
      <c r="D83" s="25" t="s">
        <v>132</v>
      </c>
      <c r="E83" s="25" t="s">
        <v>132</v>
      </c>
      <c r="F83" s="25" t="s">
        <v>133</v>
      </c>
      <c r="G83" s="25"/>
      <c r="H83" s="25">
        <v>100000077</v>
      </c>
      <c r="I83" s="25" t="s">
        <v>134</v>
      </c>
      <c r="J83" s="25" t="s">
        <v>135</v>
      </c>
      <c r="K83" s="25" t="s">
        <v>132</v>
      </c>
      <c r="L83" s="25">
        <v>4</v>
      </c>
      <c r="M83" s="25">
        <v>1</v>
      </c>
      <c r="N83" s="25">
        <v>1</v>
      </c>
      <c r="O83" s="45" t="s">
        <v>141</v>
      </c>
      <c r="P83" s="25">
        <v>100</v>
      </c>
      <c r="Q83" s="25">
        <v>20180301</v>
      </c>
      <c r="R83" s="25">
        <v>20180301</v>
      </c>
      <c r="S83" s="25" t="s">
        <v>137</v>
      </c>
      <c r="T83" s="25" t="s">
        <v>143</v>
      </c>
      <c r="U83" s="25">
        <v>20190301</v>
      </c>
      <c r="V83" s="25">
        <v>6</v>
      </c>
      <c r="W83" s="25">
        <v>6</v>
      </c>
      <c r="X83" s="25" t="s">
        <v>139</v>
      </c>
      <c r="Y83" s="25">
        <v>0</v>
      </c>
      <c r="Z83" s="25" t="s">
        <v>140</v>
      </c>
      <c r="AA83" s="25">
        <v>818</v>
      </c>
      <c r="AB83" s="41">
        <v>0</v>
      </c>
      <c r="AC83" s="41">
        <v>12</v>
      </c>
      <c r="AD83" s="41">
        <v>20180201</v>
      </c>
      <c r="AE83" s="41">
        <v>0</v>
      </c>
      <c r="AF83" s="26">
        <v>70000</v>
      </c>
      <c r="AG83" s="41">
        <v>91</v>
      </c>
      <c r="AH83" s="26">
        <v>34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0</v>
      </c>
      <c r="AX83" s="26">
        <v>0</v>
      </c>
      <c r="AY83" s="46">
        <v>1</v>
      </c>
      <c r="AZ83" s="25">
        <v>2</v>
      </c>
      <c r="BA83" s="41" t="s">
        <v>203</v>
      </c>
      <c r="BB83" s="41">
        <v>100</v>
      </c>
      <c r="BC83" s="41">
        <v>20180301</v>
      </c>
      <c r="BD83" s="41">
        <v>20180301</v>
      </c>
      <c r="BE83" s="41" t="s">
        <v>198</v>
      </c>
      <c r="BF83" s="41" t="s">
        <v>149</v>
      </c>
      <c r="BG83" s="41">
        <v>20180301</v>
      </c>
      <c r="BH83" s="41">
        <v>0</v>
      </c>
      <c r="BI83" s="41">
        <v>0</v>
      </c>
      <c r="BJ83" s="41"/>
      <c r="BK83" s="41">
        <v>0</v>
      </c>
      <c r="BL83" s="41" t="s">
        <v>140</v>
      </c>
      <c r="BM83" s="41">
        <v>818</v>
      </c>
      <c r="BN83" s="41">
        <v>0</v>
      </c>
      <c r="BO83" s="41">
        <v>12</v>
      </c>
      <c r="BP83" s="41">
        <v>20180201</v>
      </c>
      <c r="BQ83" s="41">
        <v>0</v>
      </c>
      <c r="BR83" s="41">
        <v>0</v>
      </c>
      <c r="BS83" s="41">
        <v>7</v>
      </c>
      <c r="BT83" s="25">
        <v>34</v>
      </c>
      <c r="BU83" s="25">
        <v>0</v>
      </c>
      <c r="BV83" s="25">
        <v>0</v>
      </c>
      <c r="BW83" s="25">
        <v>0</v>
      </c>
      <c r="BX83" s="25">
        <v>0</v>
      </c>
      <c r="BY83" s="25">
        <v>0</v>
      </c>
      <c r="BZ83" s="25">
        <v>0</v>
      </c>
      <c r="CA83" s="25">
        <v>0</v>
      </c>
      <c r="CB83" s="25">
        <v>0</v>
      </c>
      <c r="CC83" s="25">
        <v>0</v>
      </c>
      <c r="CD83" s="25">
        <v>0</v>
      </c>
      <c r="CE83" s="25">
        <v>0</v>
      </c>
      <c r="CF83" s="25">
        <v>0</v>
      </c>
      <c r="CG83" s="25">
        <v>0</v>
      </c>
      <c r="CH83" s="25">
        <v>0</v>
      </c>
      <c r="CI83" s="25">
        <v>0</v>
      </c>
      <c r="CJ83" s="25">
        <v>0</v>
      </c>
      <c r="CK83" s="22">
        <v>1</v>
      </c>
      <c r="CL83" s="25">
        <v>3</v>
      </c>
      <c r="CM83" s="41" t="s">
        <v>150</v>
      </c>
      <c r="CN83" s="41">
        <v>100</v>
      </c>
      <c r="CO83" s="41">
        <v>20180301</v>
      </c>
      <c r="CP83" s="41">
        <v>20180301</v>
      </c>
      <c r="CQ83" s="41" t="s">
        <v>198</v>
      </c>
      <c r="CR83" s="41" t="s">
        <v>200</v>
      </c>
      <c r="CS83" s="41">
        <v>20180301</v>
      </c>
      <c r="CT83" s="41">
        <v>0</v>
      </c>
      <c r="CU83" s="41">
        <v>0</v>
      </c>
      <c r="CV83" s="41"/>
      <c r="CW83" s="41">
        <v>0</v>
      </c>
      <c r="CX83" s="41" t="s">
        <v>140</v>
      </c>
      <c r="CY83" s="41">
        <v>818</v>
      </c>
      <c r="CZ83" s="41">
        <v>0</v>
      </c>
      <c r="DA83" s="41">
        <v>12</v>
      </c>
      <c r="DB83" s="41">
        <v>20180201</v>
      </c>
      <c r="DC83" s="41">
        <v>0</v>
      </c>
      <c r="DD83" s="41">
        <v>0</v>
      </c>
      <c r="DE83" s="41">
        <v>12</v>
      </c>
      <c r="DF83" s="25">
        <v>34</v>
      </c>
      <c r="DG83" s="25">
        <v>0</v>
      </c>
      <c r="DH83" s="25">
        <v>0</v>
      </c>
      <c r="DI83" s="25">
        <v>0</v>
      </c>
      <c r="DJ83" s="25">
        <v>0</v>
      </c>
      <c r="DK83" s="25">
        <v>0</v>
      </c>
      <c r="DL83" s="25">
        <v>0</v>
      </c>
      <c r="DM83" s="25">
        <v>0</v>
      </c>
      <c r="DN83" s="25">
        <v>0</v>
      </c>
      <c r="DO83" s="25">
        <v>0</v>
      </c>
      <c r="DP83" s="25">
        <v>0</v>
      </c>
      <c r="DQ83" s="25">
        <v>0</v>
      </c>
      <c r="DR83" s="25">
        <v>0</v>
      </c>
      <c r="DS83" s="25">
        <v>0</v>
      </c>
      <c r="DT83" s="25">
        <v>0</v>
      </c>
      <c r="DU83" s="25">
        <v>0</v>
      </c>
      <c r="DV83" s="25">
        <v>0</v>
      </c>
      <c r="DW83" s="23">
        <v>1</v>
      </c>
      <c r="DX83" s="25">
        <v>4</v>
      </c>
      <c r="DY83" s="41" t="s">
        <v>151</v>
      </c>
      <c r="DZ83" s="41">
        <v>100</v>
      </c>
      <c r="EA83" s="41">
        <v>20180301</v>
      </c>
      <c r="EB83" s="41">
        <v>20180301</v>
      </c>
      <c r="EC83" s="41" t="s">
        <v>198</v>
      </c>
      <c r="ED83" s="41" t="s">
        <v>201</v>
      </c>
      <c r="EE83" s="41">
        <v>20180301</v>
      </c>
      <c r="EF83" s="41">
        <v>0</v>
      </c>
      <c r="EG83" s="41">
        <v>0</v>
      </c>
      <c r="EH83" s="41"/>
      <c r="EI83" s="41">
        <v>0</v>
      </c>
      <c r="EJ83" s="41" t="s">
        <v>140</v>
      </c>
      <c r="EK83" s="41">
        <v>818</v>
      </c>
      <c r="EL83" s="41">
        <v>0</v>
      </c>
      <c r="EM83" s="41">
        <v>12</v>
      </c>
      <c r="EN83" s="41">
        <v>20180201</v>
      </c>
      <c r="EO83" s="41">
        <v>0</v>
      </c>
      <c r="EP83" s="41">
        <v>0</v>
      </c>
      <c r="EQ83" s="41">
        <v>6</v>
      </c>
      <c r="ER83" s="25">
        <v>34</v>
      </c>
      <c r="ES83" s="25">
        <v>0</v>
      </c>
      <c r="ET83" s="25">
        <v>0</v>
      </c>
      <c r="EU83" s="25">
        <v>0</v>
      </c>
      <c r="EV83" s="25">
        <v>0</v>
      </c>
      <c r="EW83" s="25">
        <v>0</v>
      </c>
      <c r="EX83" s="25">
        <v>0</v>
      </c>
      <c r="EY83" s="25">
        <v>0</v>
      </c>
      <c r="EZ83" s="25">
        <v>0</v>
      </c>
      <c r="FA83" s="25">
        <v>0</v>
      </c>
      <c r="FB83" s="25">
        <v>0</v>
      </c>
      <c r="FC83" s="25">
        <v>0</v>
      </c>
      <c r="FD83" s="25">
        <v>0</v>
      </c>
      <c r="FE83" s="25">
        <v>0</v>
      </c>
      <c r="FF83" s="25">
        <v>0</v>
      </c>
      <c r="FG83" s="25">
        <v>0</v>
      </c>
      <c r="FH83" s="25">
        <v>0</v>
      </c>
      <c r="FI83" s="25">
        <v>1</v>
      </c>
      <c r="FJ83" s="25">
        <v>1</v>
      </c>
      <c r="FK83" s="25">
        <v>1</v>
      </c>
      <c r="FL83" s="25">
        <v>34</v>
      </c>
      <c r="FM83" s="25" t="s">
        <v>137</v>
      </c>
      <c r="FN83" s="25">
        <v>19850101</v>
      </c>
      <c r="FP83" s="28">
        <v>4</v>
      </c>
      <c r="FQ83" s="47">
        <v>1</v>
      </c>
      <c r="FR83" s="41">
        <v>1</v>
      </c>
      <c r="FS83" s="41" t="str">
        <f t="shared" si="6"/>
        <v>MFSP</v>
      </c>
      <c r="FT83" s="41">
        <f t="shared" si="7"/>
        <v>818</v>
      </c>
      <c r="FU83" s="41">
        <f t="shared" si="8"/>
        <v>34</v>
      </c>
      <c r="FV83" s="41">
        <v>74200</v>
      </c>
      <c r="FW83" s="41">
        <v>96.46</v>
      </c>
      <c r="FX83" s="41"/>
      <c r="FY83" s="29">
        <v>0</v>
      </c>
      <c r="FZ83" s="29">
        <v>0</v>
      </c>
      <c r="GA83" s="30">
        <v>0</v>
      </c>
      <c r="GB83" s="30">
        <v>0</v>
      </c>
      <c r="GC83" s="29">
        <v>0</v>
      </c>
      <c r="GD83" s="41">
        <v>0</v>
      </c>
      <c r="GE83" s="29">
        <v>0</v>
      </c>
      <c r="GF83" s="29">
        <v>0</v>
      </c>
      <c r="GG83" s="29">
        <v>0</v>
      </c>
      <c r="GH83" s="29">
        <v>0</v>
      </c>
      <c r="GI83" s="29">
        <v>0</v>
      </c>
      <c r="GJ83" s="29">
        <v>0</v>
      </c>
      <c r="GK83" s="29">
        <v>0</v>
      </c>
      <c r="GL83" s="29">
        <v>0</v>
      </c>
      <c r="GM83" s="29">
        <v>0</v>
      </c>
      <c r="GN83" s="29">
        <v>0</v>
      </c>
      <c r="GO83" s="29">
        <v>0</v>
      </c>
      <c r="GP83" s="29">
        <v>0</v>
      </c>
      <c r="GQ83" s="29">
        <v>0</v>
      </c>
      <c r="GR83" s="18">
        <v>1</v>
      </c>
      <c r="GS83" s="41">
        <v>2</v>
      </c>
      <c r="GT83" s="41" t="str">
        <f t="shared" si="9"/>
        <v>PURO</v>
      </c>
      <c r="GU83" s="41">
        <v>818</v>
      </c>
      <c r="GV83" s="41">
        <v>41</v>
      </c>
      <c r="GW83" s="41">
        <v>0</v>
      </c>
      <c r="GX83" s="41">
        <v>7.42</v>
      </c>
      <c r="GY83" s="41"/>
      <c r="GZ83" s="41">
        <v>0</v>
      </c>
      <c r="HA83" s="41">
        <v>0</v>
      </c>
      <c r="HB83" s="42">
        <v>0</v>
      </c>
      <c r="HC83" s="42">
        <v>0</v>
      </c>
      <c r="HD83" s="41">
        <v>0</v>
      </c>
      <c r="HE83" s="41">
        <v>0</v>
      </c>
      <c r="HF83" s="41">
        <v>0</v>
      </c>
      <c r="HG83" s="41">
        <v>0</v>
      </c>
      <c r="HH83" s="41">
        <v>0</v>
      </c>
      <c r="HI83" s="41">
        <v>0</v>
      </c>
      <c r="HJ83" s="41">
        <v>0</v>
      </c>
      <c r="HK83" s="41">
        <v>0</v>
      </c>
      <c r="HL83" s="41">
        <v>0</v>
      </c>
      <c r="HM83" s="41">
        <v>0</v>
      </c>
      <c r="HN83" s="41">
        <v>0</v>
      </c>
      <c r="HO83" s="41">
        <v>0</v>
      </c>
      <c r="HP83" s="41">
        <v>0</v>
      </c>
      <c r="HQ83" s="41">
        <v>0</v>
      </c>
      <c r="HR83" s="41">
        <v>0</v>
      </c>
      <c r="HS83" s="24">
        <v>1</v>
      </c>
      <c r="HT83" s="41">
        <v>3</v>
      </c>
      <c r="HU83" s="41" t="str">
        <f t="shared" si="10"/>
        <v>PUDT</v>
      </c>
      <c r="HV83" s="41">
        <v>818</v>
      </c>
      <c r="HW83" s="41">
        <v>41</v>
      </c>
      <c r="HX83" s="41">
        <v>0</v>
      </c>
      <c r="HY83" s="41">
        <v>12.72</v>
      </c>
      <c r="HZ83" s="42"/>
      <c r="IA83" s="41">
        <v>0</v>
      </c>
      <c r="IB83" s="41">
        <v>0</v>
      </c>
      <c r="IC83" s="42">
        <v>0</v>
      </c>
      <c r="ID83" s="42">
        <v>0</v>
      </c>
      <c r="IE83" s="41">
        <v>0</v>
      </c>
      <c r="IF83" s="43">
        <v>0</v>
      </c>
      <c r="IG83" s="41">
        <v>0</v>
      </c>
      <c r="IH83" s="41">
        <v>0</v>
      </c>
      <c r="II83" s="41">
        <v>0</v>
      </c>
      <c r="IJ83" s="41">
        <v>0</v>
      </c>
      <c r="IK83" s="41">
        <v>0</v>
      </c>
      <c r="IL83" s="41">
        <v>0</v>
      </c>
      <c r="IM83" s="41">
        <v>0</v>
      </c>
      <c r="IN83" s="41">
        <v>0</v>
      </c>
      <c r="IO83" s="41">
        <v>0</v>
      </c>
      <c r="IP83" s="41">
        <v>0</v>
      </c>
      <c r="IQ83" s="41">
        <v>0</v>
      </c>
      <c r="IR83" s="41">
        <v>0</v>
      </c>
      <c r="IS83" s="41">
        <v>0</v>
      </c>
      <c r="IT83" s="17">
        <v>1</v>
      </c>
      <c r="IU83" s="41">
        <v>4</v>
      </c>
      <c r="IV83" s="41" t="str">
        <f t="shared" si="11"/>
        <v>PUDS</v>
      </c>
      <c r="IW83" s="41">
        <v>818</v>
      </c>
      <c r="IX83" s="41">
        <v>41</v>
      </c>
      <c r="IY83" s="41">
        <v>0</v>
      </c>
      <c r="IZ83" s="41">
        <v>6.36</v>
      </c>
      <c r="JA83" s="42"/>
      <c r="JB83" s="41">
        <v>0</v>
      </c>
      <c r="JC83" s="41">
        <v>0</v>
      </c>
      <c r="JD83" s="42">
        <v>0</v>
      </c>
      <c r="JE83" s="42">
        <v>0</v>
      </c>
      <c r="JF83" s="41">
        <v>0</v>
      </c>
      <c r="JG83" s="41">
        <v>0</v>
      </c>
      <c r="JH83" s="41">
        <v>0</v>
      </c>
      <c r="JI83" s="41">
        <v>0</v>
      </c>
      <c r="JJ83" s="41">
        <v>0</v>
      </c>
      <c r="JK83" s="41">
        <v>0</v>
      </c>
      <c r="JL83" s="41">
        <v>0</v>
      </c>
      <c r="JM83" s="41">
        <v>0</v>
      </c>
      <c r="JN83" s="41">
        <v>0</v>
      </c>
      <c r="JO83" s="41">
        <v>0</v>
      </c>
      <c r="JP83" s="41">
        <v>0</v>
      </c>
      <c r="JQ83" s="41">
        <v>0</v>
      </c>
      <c r="JR83" s="41">
        <v>0</v>
      </c>
      <c r="JS83" s="41">
        <v>0</v>
      </c>
      <c r="JT83" s="41">
        <v>0</v>
      </c>
      <c r="JU83"/>
    </row>
    <row r="84" spans="1:281" ht="15.75">
      <c r="A84" s="25">
        <v>78</v>
      </c>
      <c r="B84" s="25">
        <v>20190301</v>
      </c>
      <c r="C84" s="25"/>
      <c r="D84" s="25" t="s">
        <v>132</v>
      </c>
      <c r="E84" s="25" t="s">
        <v>132</v>
      </c>
      <c r="F84" s="25" t="s">
        <v>133</v>
      </c>
      <c r="G84" s="25"/>
      <c r="H84" s="25">
        <v>100000078</v>
      </c>
      <c r="I84" s="25" t="s">
        <v>134</v>
      </c>
      <c r="J84" s="25" t="s">
        <v>135</v>
      </c>
      <c r="K84" s="25" t="s">
        <v>132</v>
      </c>
      <c r="L84" s="25">
        <v>4</v>
      </c>
      <c r="M84" s="25">
        <v>1</v>
      </c>
      <c r="N84" s="25">
        <v>1</v>
      </c>
      <c r="O84" s="45" t="s">
        <v>141</v>
      </c>
      <c r="P84" s="25">
        <v>100</v>
      </c>
      <c r="Q84" s="25">
        <v>20180301</v>
      </c>
      <c r="R84" s="25">
        <v>20180301</v>
      </c>
      <c r="S84" s="25" t="s">
        <v>137</v>
      </c>
      <c r="T84" s="25" t="s">
        <v>143</v>
      </c>
      <c r="U84" s="25">
        <v>20190301</v>
      </c>
      <c r="V84" s="25">
        <v>6</v>
      </c>
      <c r="W84" s="25">
        <v>6</v>
      </c>
      <c r="X84" s="25" t="s">
        <v>139</v>
      </c>
      <c r="Y84" s="25">
        <v>0</v>
      </c>
      <c r="Z84" s="25" t="s">
        <v>140</v>
      </c>
      <c r="AA84" s="25">
        <v>818</v>
      </c>
      <c r="AB84" s="41">
        <v>0</v>
      </c>
      <c r="AC84" s="41">
        <v>12</v>
      </c>
      <c r="AD84" s="41">
        <v>20180201</v>
      </c>
      <c r="AE84" s="41">
        <v>0</v>
      </c>
      <c r="AF84" s="26">
        <v>75000</v>
      </c>
      <c r="AG84" s="41">
        <v>95</v>
      </c>
      <c r="AH84" s="26">
        <v>35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0</v>
      </c>
      <c r="AX84" s="26">
        <v>0</v>
      </c>
      <c r="AY84" s="46">
        <v>1</v>
      </c>
      <c r="AZ84" s="25">
        <v>2</v>
      </c>
      <c r="BA84" s="41" t="s">
        <v>203</v>
      </c>
      <c r="BB84" s="41">
        <v>100</v>
      </c>
      <c r="BC84" s="41">
        <v>20180301</v>
      </c>
      <c r="BD84" s="41">
        <v>20180301</v>
      </c>
      <c r="BE84" s="41" t="s">
        <v>198</v>
      </c>
      <c r="BF84" s="41" t="s">
        <v>149</v>
      </c>
      <c r="BG84" s="41">
        <v>20180301</v>
      </c>
      <c r="BH84" s="41">
        <v>0</v>
      </c>
      <c r="BI84" s="41">
        <v>0</v>
      </c>
      <c r="BJ84" s="41"/>
      <c r="BK84" s="41">
        <v>0</v>
      </c>
      <c r="BL84" s="41" t="s">
        <v>140</v>
      </c>
      <c r="BM84" s="41">
        <v>818</v>
      </c>
      <c r="BN84" s="41">
        <v>0</v>
      </c>
      <c r="BO84" s="41">
        <v>12</v>
      </c>
      <c r="BP84" s="41">
        <v>20180201</v>
      </c>
      <c r="BQ84" s="41">
        <v>0</v>
      </c>
      <c r="BR84" s="41">
        <v>0</v>
      </c>
      <c r="BS84" s="41">
        <v>7</v>
      </c>
      <c r="BT84" s="25">
        <v>35</v>
      </c>
      <c r="BU84" s="25">
        <v>0</v>
      </c>
      <c r="BV84" s="25">
        <v>0</v>
      </c>
      <c r="BW84" s="25">
        <v>0</v>
      </c>
      <c r="BX84" s="25">
        <v>0</v>
      </c>
      <c r="BY84" s="25">
        <v>0</v>
      </c>
      <c r="BZ84" s="25">
        <v>0</v>
      </c>
      <c r="CA84" s="25">
        <v>0</v>
      </c>
      <c r="CB84" s="25">
        <v>0</v>
      </c>
      <c r="CC84" s="25">
        <v>0</v>
      </c>
      <c r="CD84" s="25">
        <v>0</v>
      </c>
      <c r="CE84" s="25">
        <v>0</v>
      </c>
      <c r="CF84" s="25">
        <v>0</v>
      </c>
      <c r="CG84" s="25">
        <v>0</v>
      </c>
      <c r="CH84" s="25">
        <v>0</v>
      </c>
      <c r="CI84" s="25">
        <v>0</v>
      </c>
      <c r="CJ84" s="25">
        <v>0</v>
      </c>
      <c r="CK84" s="22">
        <v>1</v>
      </c>
      <c r="CL84" s="25">
        <v>3</v>
      </c>
      <c r="CM84" s="41" t="s">
        <v>150</v>
      </c>
      <c r="CN84" s="41">
        <v>100</v>
      </c>
      <c r="CO84" s="41">
        <v>20180301</v>
      </c>
      <c r="CP84" s="41">
        <v>20180301</v>
      </c>
      <c r="CQ84" s="41" t="s">
        <v>198</v>
      </c>
      <c r="CR84" s="41" t="s">
        <v>200</v>
      </c>
      <c r="CS84" s="41">
        <v>20180301</v>
      </c>
      <c r="CT84" s="41">
        <v>0</v>
      </c>
      <c r="CU84" s="41">
        <v>0</v>
      </c>
      <c r="CV84" s="41"/>
      <c r="CW84" s="41">
        <v>0</v>
      </c>
      <c r="CX84" s="41" t="s">
        <v>140</v>
      </c>
      <c r="CY84" s="41">
        <v>818</v>
      </c>
      <c r="CZ84" s="41">
        <v>0</v>
      </c>
      <c r="DA84" s="41">
        <v>12</v>
      </c>
      <c r="DB84" s="41">
        <v>20180201</v>
      </c>
      <c r="DC84" s="41">
        <v>0</v>
      </c>
      <c r="DD84" s="41">
        <v>0</v>
      </c>
      <c r="DE84" s="41">
        <v>13</v>
      </c>
      <c r="DF84" s="25">
        <v>35</v>
      </c>
      <c r="DG84" s="25">
        <v>0</v>
      </c>
      <c r="DH84" s="25">
        <v>0</v>
      </c>
      <c r="DI84" s="25">
        <v>0</v>
      </c>
      <c r="DJ84" s="25">
        <v>0</v>
      </c>
      <c r="DK84" s="25">
        <v>0</v>
      </c>
      <c r="DL84" s="25">
        <v>0</v>
      </c>
      <c r="DM84" s="25">
        <v>0</v>
      </c>
      <c r="DN84" s="25">
        <v>0</v>
      </c>
      <c r="DO84" s="25">
        <v>0</v>
      </c>
      <c r="DP84" s="25">
        <v>0</v>
      </c>
      <c r="DQ84" s="25">
        <v>0</v>
      </c>
      <c r="DR84" s="25">
        <v>0</v>
      </c>
      <c r="DS84" s="25">
        <v>0</v>
      </c>
      <c r="DT84" s="25">
        <v>0</v>
      </c>
      <c r="DU84" s="25">
        <v>0</v>
      </c>
      <c r="DV84" s="25">
        <v>0</v>
      </c>
      <c r="DW84" s="23">
        <v>1</v>
      </c>
      <c r="DX84" s="25">
        <v>4</v>
      </c>
      <c r="DY84" s="41" t="s">
        <v>151</v>
      </c>
      <c r="DZ84" s="41">
        <v>100</v>
      </c>
      <c r="EA84" s="41">
        <v>20180301</v>
      </c>
      <c r="EB84" s="41">
        <v>20180301</v>
      </c>
      <c r="EC84" s="41" t="s">
        <v>198</v>
      </c>
      <c r="ED84" s="41" t="s">
        <v>201</v>
      </c>
      <c r="EE84" s="41">
        <v>20180301</v>
      </c>
      <c r="EF84" s="41">
        <v>0</v>
      </c>
      <c r="EG84" s="41">
        <v>0</v>
      </c>
      <c r="EH84" s="41"/>
      <c r="EI84" s="41">
        <v>0</v>
      </c>
      <c r="EJ84" s="41" t="s">
        <v>140</v>
      </c>
      <c r="EK84" s="41">
        <v>818</v>
      </c>
      <c r="EL84" s="41">
        <v>0</v>
      </c>
      <c r="EM84" s="41">
        <v>12</v>
      </c>
      <c r="EN84" s="41">
        <v>20180201</v>
      </c>
      <c r="EO84" s="41">
        <v>0</v>
      </c>
      <c r="EP84" s="41">
        <v>0</v>
      </c>
      <c r="EQ84" s="41">
        <v>6</v>
      </c>
      <c r="ER84" s="25">
        <v>35</v>
      </c>
      <c r="ES84" s="25">
        <v>0</v>
      </c>
      <c r="ET84" s="25">
        <v>0</v>
      </c>
      <c r="EU84" s="25">
        <v>0</v>
      </c>
      <c r="EV84" s="25">
        <v>0</v>
      </c>
      <c r="EW84" s="25">
        <v>0</v>
      </c>
      <c r="EX84" s="25">
        <v>0</v>
      </c>
      <c r="EY84" s="25">
        <v>0</v>
      </c>
      <c r="EZ84" s="25">
        <v>0</v>
      </c>
      <c r="FA84" s="25">
        <v>0</v>
      </c>
      <c r="FB84" s="25">
        <v>0</v>
      </c>
      <c r="FC84" s="25">
        <v>0</v>
      </c>
      <c r="FD84" s="25">
        <v>0</v>
      </c>
      <c r="FE84" s="25">
        <v>0</v>
      </c>
      <c r="FF84" s="25">
        <v>0</v>
      </c>
      <c r="FG84" s="25">
        <v>0</v>
      </c>
      <c r="FH84" s="25">
        <v>0</v>
      </c>
      <c r="FI84" s="25">
        <v>1</v>
      </c>
      <c r="FJ84" s="25">
        <v>1</v>
      </c>
      <c r="FK84" s="25">
        <v>1</v>
      </c>
      <c r="FL84" s="25">
        <v>35</v>
      </c>
      <c r="FM84" s="25" t="s">
        <v>137</v>
      </c>
      <c r="FN84" s="25">
        <v>19840101</v>
      </c>
      <c r="FP84" s="28">
        <v>4</v>
      </c>
      <c r="FQ84" s="47">
        <v>1</v>
      </c>
      <c r="FR84" s="41">
        <v>1</v>
      </c>
      <c r="FS84" s="41" t="str">
        <f t="shared" si="6"/>
        <v>MFSP</v>
      </c>
      <c r="FT84" s="41">
        <f t="shared" si="7"/>
        <v>818</v>
      </c>
      <c r="FU84" s="41">
        <f t="shared" si="8"/>
        <v>35</v>
      </c>
      <c r="FV84" s="41">
        <v>79500</v>
      </c>
      <c r="FW84" s="41">
        <v>100.7</v>
      </c>
      <c r="FX84" s="41"/>
      <c r="FY84" s="29">
        <v>0</v>
      </c>
      <c r="FZ84" s="29">
        <v>0</v>
      </c>
      <c r="GA84" s="30">
        <v>0</v>
      </c>
      <c r="GB84" s="30">
        <v>0</v>
      </c>
      <c r="GC84" s="29">
        <v>0</v>
      </c>
      <c r="GD84" s="41">
        <v>0</v>
      </c>
      <c r="GE84" s="29">
        <v>0</v>
      </c>
      <c r="GF84" s="29">
        <v>0</v>
      </c>
      <c r="GG84" s="29">
        <v>0</v>
      </c>
      <c r="GH84" s="29">
        <v>0</v>
      </c>
      <c r="GI84" s="29">
        <v>0</v>
      </c>
      <c r="GJ84" s="29">
        <v>0</v>
      </c>
      <c r="GK84" s="29">
        <v>0</v>
      </c>
      <c r="GL84" s="29">
        <v>0</v>
      </c>
      <c r="GM84" s="29">
        <v>0</v>
      </c>
      <c r="GN84" s="29">
        <v>0</v>
      </c>
      <c r="GO84" s="29">
        <v>0</v>
      </c>
      <c r="GP84" s="29">
        <v>0</v>
      </c>
      <c r="GQ84" s="29">
        <v>0</v>
      </c>
      <c r="GR84" s="18">
        <v>1</v>
      </c>
      <c r="GS84" s="41">
        <v>2</v>
      </c>
      <c r="GT84" s="41" t="str">
        <f t="shared" si="9"/>
        <v>PURO</v>
      </c>
      <c r="GU84" s="41">
        <v>818</v>
      </c>
      <c r="GV84" s="41">
        <v>42</v>
      </c>
      <c r="GW84" s="41">
        <v>0</v>
      </c>
      <c r="GX84" s="41">
        <v>7.42</v>
      </c>
      <c r="GY84" s="41"/>
      <c r="GZ84" s="41">
        <v>0</v>
      </c>
      <c r="HA84" s="41">
        <v>0</v>
      </c>
      <c r="HB84" s="42">
        <v>0</v>
      </c>
      <c r="HC84" s="42">
        <v>0</v>
      </c>
      <c r="HD84" s="41">
        <v>0</v>
      </c>
      <c r="HE84" s="41">
        <v>0</v>
      </c>
      <c r="HF84" s="41">
        <v>0</v>
      </c>
      <c r="HG84" s="41">
        <v>0</v>
      </c>
      <c r="HH84" s="41">
        <v>0</v>
      </c>
      <c r="HI84" s="41">
        <v>0</v>
      </c>
      <c r="HJ84" s="41">
        <v>0</v>
      </c>
      <c r="HK84" s="41">
        <v>0</v>
      </c>
      <c r="HL84" s="41">
        <v>0</v>
      </c>
      <c r="HM84" s="41">
        <v>0</v>
      </c>
      <c r="HN84" s="41">
        <v>0</v>
      </c>
      <c r="HO84" s="41">
        <v>0</v>
      </c>
      <c r="HP84" s="41">
        <v>0</v>
      </c>
      <c r="HQ84" s="41">
        <v>0</v>
      </c>
      <c r="HR84" s="41">
        <v>0</v>
      </c>
      <c r="HS84" s="24">
        <v>1</v>
      </c>
      <c r="HT84" s="41">
        <v>3</v>
      </c>
      <c r="HU84" s="41" t="str">
        <f t="shared" si="10"/>
        <v>PUDT</v>
      </c>
      <c r="HV84" s="41">
        <v>818</v>
      </c>
      <c r="HW84" s="41">
        <v>42</v>
      </c>
      <c r="HX84" s="41">
        <v>0</v>
      </c>
      <c r="HY84" s="41">
        <v>13.78</v>
      </c>
      <c r="HZ84" s="42"/>
      <c r="IA84" s="41">
        <v>0</v>
      </c>
      <c r="IB84" s="41">
        <v>0</v>
      </c>
      <c r="IC84" s="42">
        <v>0</v>
      </c>
      <c r="ID84" s="42">
        <v>0</v>
      </c>
      <c r="IE84" s="41">
        <v>0</v>
      </c>
      <c r="IF84" s="43">
        <v>0</v>
      </c>
      <c r="IG84" s="41">
        <v>0</v>
      </c>
      <c r="IH84" s="41">
        <v>0</v>
      </c>
      <c r="II84" s="41">
        <v>0</v>
      </c>
      <c r="IJ84" s="41">
        <v>0</v>
      </c>
      <c r="IK84" s="41">
        <v>0</v>
      </c>
      <c r="IL84" s="41">
        <v>0</v>
      </c>
      <c r="IM84" s="41">
        <v>0</v>
      </c>
      <c r="IN84" s="41">
        <v>0</v>
      </c>
      <c r="IO84" s="41">
        <v>0</v>
      </c>
      <c r="IP84" s="41">
        <v>0</v>
      </c>
      <c r="IQ84" s="41">
        <v>0</v>
      </c>
      <c r="IR84" s="41">
        <v>0</v>
      </c>
      <c r="IS84" s="41">
        <v>0</v>
      </c>
      <c r="IT84" s="17">
        <v>1</v>
      </c>
      <c r="IU84" s="41">
        <v>4</v>
      </c>
      <c r="IV84" s="41" t="str">
        <f t="shared" si="11"/>
        <v>PUDS</v>
      </c>
      <c r="IW84" s="41">
        <v>818</v>
      </c>
      <c r="IX84" s="41">
        <v>42</v>
      </c>
      <c r="IY84" s="41">
        <v>0</v>
      </c>
      <c r="IZ84" s="41">
        <v>6.36</v>
      </c>
      <c r="JA84" s="42"/>
      <c r="JB84" s="41">
        <v>0</v>
      </c>
      <c r="JC84" s="41">
        <v>0</v>
      </c>
      <c r="JD84" s="42">
        <v>0</v>
      </c>
      <c r="JE84" s="42">
        <v>0</v>
      </c>
      <c r="JF84" s="41">
        <v>0</v>
      </c>
      <c r="JG84" s="41">
        <v>0</v>
      </c>
      <c r="JH84" s="41">
        <v>0</v>
      </c>
      <c r="JI84" s="41">
        <v>0</v>
      </c>
      <c r="JJ84" s="41">
        <v>0</v>
      </c>
      <c r="JK84" s="41">
        <v>0</v>
      </c>
      <c r="JL84" s="41">
        <v>0</v>
      </c>
      <c r="JM84" s="41">
        <v>0</v>
      </c>
      <c r="JN84" s="41">
        <v>0</v>
      </c>
      <c r="JO84" s="41">
        <v>0</v>
      </c>
      <c r="JP84" s="41">
        <v>0</v>
      </c>
      <c r="JQ84" s="41">
        <v>0</v>
      </c>
      <c r="JR84" s="41">
        <v>0</v>
      </c>
      <c r="JS84" s="41">
        <v>0</v>
      </c>
      <c r="JT84" s="41">
        <v>0</v>
      </c>
      <c r="JU84"/>
    </row>
    <row r="85" spans="1:281" ht="15.75">
      <c r="A85" s="25">
        <v>79</v>
      </c>
      <c r="B85" s="25">
        <v>20190301</v>
      </c>
      <c r="C85" s="25"/>
      <c r="D85" s="25" t="s">
        <v>132</v>
      </c>
      <c r="E85" s="25" t="s">
        <v>132</v>
      </c>
      <c r="F85" s="25" t="s">
        <v>133</v>
      </c>
      <c r="G85" s="25"/>
      <c r="H85" s="25">
        <v>100000079</v>
      </c>
      <c r="I85" s="25" t="s">
        <v>134</v>
      </c>
      <c r="J85" s="25" t="s">
        <v>135</v>
      </c>
      <c r="K85" s="25" t="s">
        <v>132</v>
      </c>
      <c r="L85" s="25">
        <v>4</v>
      </c>
      <c r="M85" s="25">
        <v>1</v>
      </c>
      <c r="N85" s="25">
        <v>1</v>
      </c>
      <c r="O85" s="45" t="s">
        <v>144</v>
      </c>
      <c r="P85" s="25">
        <v>100</v>
      </c>
      <c r="Q85" s="25">
        <v>20180301</v>
      </c>
      <c r="R85" s="25">
        <v>20180301</v>
      </c>
      <c r="S85" s="25" t="s">
        <v>137</v>
      </c>
      <c r="T85" s="25" t="s">
        <v>145</v>
      </c>
      <c r="U85" s="25">
        <v>20190301</v>
      </c>
      <c r="V85" s="25">
        <v>10</v>
      </c>
      <c r="W85" s="25">
        <v>10</v>
      </c>
      <c r="X85" s="25" t="s">
        <v>139</v>
      </c>
      <c r="Y85" s="25">
        <v>0</v>
      </c>
      <c r="Z85" s="25" t="s">
        <v>140</v>
      </c>
      <c r="AA85" s="25">
        <v>818</v>
      </c>
      <c r="AB85" s="41">
        <v>0</v>
      </c>
      <c r="AC85" s="41">
        <v>12</v>
      </c>
      <c r="AD85" s="41">
        <v>20180201</v>
      </c>
      <c r="AE85" s="41">
        <v>0</v>
      </c>
      <c r="AF85" s="26">
        <v>10000</v>
      </c>
      <c r="AG85" s="41">
        <v>3</v>
      </c>
      <c r="AH85" s="26">
        <v>34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0</v>
      </c>
      <c r="AW85" s="26">
        <v>0</v>
      </c>
      <c r="AX85" s="26">
        <v>0</v>
      </c>
      <c r="AY85" s="46">
        <v>1</v>
      </c>
      <c r="AZ85" s="25">
        <v>2</v>
      </c>
      <c r="BA85" s="41" t="s">
        <v>203</v>
      </c>
      <c r="BB85" s="41">
        <v>100</v>
      </c>
      <c r="BC85" s="41">
        <v>20180301</v>
      </c>
      <c r="BD85" s="41">
        <v>20180301</v>
      </c>
      <c r="BE85" s="41" t="s">
        <v>198</v>
      </c>
      <c r="BF85" s="41" t="s">
        <v>149</v>
      </c>
      <c r="BG85" s="41">
        <v>20180301</v>
      </c>
      <c r="BH85" s="41">
        <v>0</v>
      </c>
      <c r="BI85" s="41">
        <v>0</v>
      </c>
      <c r="BJ85" s="41"/>
      <c r="BK85" s="41">
        <v>0</v>
      </c>
      <c r="BL85" s="41" t="s">
        <v>140</v>
      </c>
      <c r="BM85" s="41">
        <v>818</v>
      </c>
      <c r="BN85" s="41">
        <v>0</v>
      </c>
      <c r="BO85" s="41">
        <v>12</v>
      </c>
      <c r="BP85" s="41">
        <v>20180201</v>
      </c>
      <c r="BQ85" s="41">
        <v>0</v>
      </c>
      <c r="BR85" s="41">
        <v>0</v>
      </c>
      <c r="BS85" s="41">
        <v>1</v>
      </c>
      <c r="BT85" s="25">
        <v>34</v>
      </c>
      <c r="BU85" s="25">
        <v>0</v>
      </c>
      <c r="BV85" s="25">
        <v>0</v>
      </c>
      <c r="BW85" s="25">
        <v>0</v>
      </c>
      <c r="BX85" s="25">
        <v>0</v>
      </c>
      <c r="BY85" s="25">
        <v>0</v>
      </c>
      <c r="BZ85" s="25">
        <v>0</v>
      </c>
      <c r="CA85" s="25">
        <v>0</v>
      </c>
      <c r="CB85" s="25">
        <v>0</v>
      </c>
      <c r="CC85" s="25">
        <v>0</v>
      </c>
      <c r="CD85" s="25">
        <v>0</v>
      </c>
      <c r="CE85" s="25">
        <v>0</v>
      </c>
      <c r="CF85" s="25">
        <v>0</v>
      </c>
      <c r="CG85" s="25">
        <v>0</v>
      </c>
      <c r="CH85" s="25">
        <v>0</v>
      </c>
      <c r="CI85" s="25">
        <v>0</v>
      </c>
      <c r="CJ85" s="25">
        <v>0</v>
      </c>
      <c r="CK85" s="22">
        <v>1</v>
      </c>
      <c r="CL85" s="25">
        <v>3</v>
      </c>
      <c r="CM85" s="41" t="s">
        <v>150</v>
      </c>
      <c r="CN85" s="41">
        <v>100</v>
      </c>
      <c r="CO85" s="41">
        <v>20180301</v>
      </c>
      <c r="CP85" s="41">
        <v>20180301</v>
      </c>
      <c r="CQ85" s="41" t="s">
        <v>198</v>
      </c>
      <c r="CR85" s="41" t="s">
        <v>200</v>
      </c>
      <c r="CS85" s="41">
        <v>20180301</v>
      </c>
      <c r="CT85" s="41">
        <v>0</v>
      </c>
      <c r="CU85" s="41">
        <v>0</v>
      </c>
      <c r="CV85" s="41"/>
      <c r="CW85" s="41">
        <v>0</v>
      </c>
      <c r="CX85" s="41" t="s">
        <v>140</v>
      </c>
      <c r="CY85" s="41">
        <v>818</v>
      </c>
      <c r="CZ85" s="41">
        <v>0</v>
      </c>
      <c r="DA85" s="41">
        <v>12</v>
      </c>
      <c r="DB85" s="41">
        <v>20180201</v>
      </c>
      <c r="DC85" s="41">
        <v>0</v>
      </c>
      <c r="DD85" s="41">
        <v>0</v>
      </c>
      <c r="DE85" s="41">
        <v>1</v>
      </c>
      <c r="DF85" s="25">
        <v>34</v>
      </c>
      <c r="DG85" s="25">
        <v>0</v>
      </c>
      <c r="DH85" s="25">
        <v>0</v>
      </c>
      <c r="DI85" s="25">
        <v>0</v>
      </c>
      <c r="DJ85" s="25">
        <v>0</v>
      </c>
      <c r="DK85" s="25">
        <v>0</v>
      </c>
      <c r="DL85" s="25">
        <v>0</v>
      </c>
      <c r="DM85" s="25">
        <v>0</v>
      </c>
      <c r="DN85" s="25">
        <v>0</v>
      </c>
      <c r="DO85" s="25">
        <v>0</v>
      </c>
      <c r="DP85" s="25">
        <v>0</v>
      </c>
      <c r="DQ85" s="25">
        <v>0</v>
      </c>
      <c r="DR85" s="25">
        <v>0</v>
      </c>
      <c r="DS85" s="25">
        <v>0</v>
      </c>
      <c r="DT85" s="25">
        <v>0</v>
      </c>
      <c r="DU85" s="25">
        <v>0</v>
      </c>
      <c r="DV85" s="25">
        <v>0</v>
      </c>
      <c r="DW85" s="23">
        <v>1</v>
      </c>
      <c r="DX85" s="25">
        <v>4</v>
      </c>
      <c r="DY85" s="41" t="s">
        <v>151</v>
      </c>
      <c r="DZ85" s="41">
        <v>100</v>
      </c>
      <c r="EA85" s="41">
        <v>20180301</v>
      </c>
      <c r="EB85" s="41">
        <v>20180301</v>
      </c>
      <c r="EC85" s="41" t="s">
        <v>198</v>
      </c>
      <c r="ED85" s="41" t="s">
        <v>201</v>
      </c>
      <c r="EE85" s="41">
        <v>20180301</v>
      </c>
      <c r="EF85" s="41">
        <v>0</v>
      </c>
      <c r="EG85" s="41">
        <v>0</v>
      </c>
      <c r="EH85" s="41"/>
      <c r="EI85" s="41">
        <v>0</v>
      </c>
      <c r="EJ85" s="41" t="s">
        <v>140</v>
      </c>
      <c r="EK85" s="41">
        <v>818</v>
      </c>
      <c r="EL85" s="41">
        <v>0</v>
      </c>
      <c r="EM85" s="41">
        <v>12</v>
      </c>
      <c r="EN85" s="41">
        <v>20180201</v>
      </c>
      <c r="EO85" s="41">
        <v>0</v>
      </c>
      <c r="EP85" s="41">
        <v>0</v>
      </c>
      <c r="EQ85" s="41">
        <v>1</v>
      </c>
      <c r="ER85" s="25">
        <v>34</v>
      </c>
      <c r="ES85" s="25">
        <v>0</v>
      </c>
      <c r="ET85" s="25">
        <v>0</v>
      </c>
      <c r="EU85" s="25">
        <v>0</v>
      </c>
      <c r="EV85" s="25">
        <v>0</v>
      </c>
      <c r="EW85" s="25">
        <v>0</v>
      </c>
      <c r="EX85" s="25">
        <v>0</v>
      </c>
      <c r="EY85" s="25">
        <v>0</v>
      </c>
      <c r="EZ85" s="25">
        <v>0</v>
      </c>
      <c r="FA85" s="25">
        <v>0</v>
      </c>
      <c r="FB85" s="25">
        <v>0</v>
      </c>
      <c r="FC85" s="25">
        <v>0</v>
      </c>
      <c r="FD85" s="25">
        <v>0</v>
      </c>
      <c r="FE85" s="25">
        <v>0</v>
      </c>
      <c r="FF85" s="25">
        <v>0</v>
      </c>
      <c r="FG85" s="25">
        <v>0</v>
      </c>
      <c r="FH85" s="25">
        <v>0</v>
      </c>
      <c r="FI85" s="25">
        <v>1</v>
      </c>
      <c r="FJ85" s="25">
        <v>1</v>
      </c>
      <c r="FK85" s="25">
        <v>1</v>
      </c>
      <c r="FL85" s="25">
        <v>34</v>
      </c>
      <c r="FM85" s="25" t="s">
        <v>137</v>
      </c>
      <c r="FN85" s="25">
        <v>19850101</v>
      </c>
      <c r="FP85" s="28">
        <v>4</v>
      </c>
      <c r="FQ85" s="47">
        <v>1</v>
      </c>
      <c r="FR85" s="41">
        <v>1</v>
      </c>
      <c r="FS85" s="41" t="str">
        <f t="shared" si="6"/>
        <v>MFUC</v>
      </c>
      <c r="FT85" s="41">
        <f t="shared" si="7"/>
        <v>818</v>
      </c>
      <c r="FU85" s="41">
        <f t="shared" si="8"/>
        <v>34</v>
      </c>
      <c r="FV85" s="41">
        <v>11000</v>
      </c>
      <c r="FW85" s="41">
        <v>3.3</v>
      </c>
      <c r="FX85" s="41"/>
      <c r="FY85" s="29">
        <v>0</v>
      </c>
      <c r="FZ85" s="29">
        <v>0</v>
      </c>
      <c r="GA85" s="30">
        <v>0</v>
      </c>
      <c r="GB85" s="30">
        <v>0</v>
      </c>
      <c r="GC85" s="29">
        <v>0</v>
      </c>
      <c r="GD85" s="41">
        <v>0</v>
      </c>
      <c r="GE85" s="29">
        <v>0</v>
      </c>
      <c r="GF85" s="29">
        <v>0</v>
      </c>
      <c r="GG85" s="29">
        <v>0</v>
      </c>
      <c r="GH85" s="29">
        <v>0</v>
      </c>
      <c r="GI85" s="29">
        <v>0</v>
      </c>
      <c r="GJ85" s="29">
        <v>0</v>
      </c>
      <c r="GK85" s="29">
        <v>0</v>
      </c>
      <c r="GL85" s="29">
        <v>0</v>
      </c>
      <c r="GM85" s="29">
        <v>0</v>
      </c>
      <c r="GN85" s="29">
        <v>0</v>
      </c>
      <c r="GO85" s="29">
        <v>0</v>
      </c>
      <c r="GP85" s="29">
        <v>0</v>
      </c>
      <c r="GQ85" s="29">
        <v>0</v>
      </c>
      <c r="GR85" s="18">
        <v>1</v>
      </c>
      <c r="GS85" s="41">
        <v>2</v>
      </c>
      <c r="GT85" s="41" t="str">
        <f t="shared" si="9"/>
        <v>PURO</v>
      </c>
      <c r="GU85" s="41">
        <v>818</v>
      </c>
      <c r="GV85" s="41">
        <v>46</v>
      </c>
      <c r="GW85" s="41">
        <v>0</v>
      </c>
      <c r="GX85" s="41">
        <v>1.1000000000000001</v>
      </c>
      <c r="GY85" s="41"/>
      <c r="GZ85" s="41">
        <v>0</v>
      </c>
      <c r="HA85" s="41">
        <v>0</v>
      </c>
      <c r="HB85" s="42">
        <v>0</v>
      </c>
      <c r="HC85" s="42">
        <v>0</v>
      </c>
      <c r="HD85" s="41">
        <v>0</v>
      </c>
      <c r="HE85" s="41">
        <v>0</v>
      </c>
      <c r="HF85" s="41">
        <v>0</v>
      </c>
      <c r="HG85" s="41">
        <v>0</v>
      </c>
      <c r="HH85" s="41">
        <v>0</v>
      </c>
      <c r="HI85" s="41">
        <v>0</v>
      </c>
      <c r="HJ85" s="41">
        <v>0</v>
      </c>
      <c r="HK85" s="41">
        <v>0</v>
      </c>
      <c r="HL85" s="41">
        <v>0</v>
      </c>
      <c r="HM85" s="41">
        <v>0</v>
      </c>
      <c r="HN85" s="41">
        <v>0</v>
      </c>
      <c r="HO85" s="41">
        <v>0</v>
      </c>
      <c r="HP85" s="41">
        <v>0</v>
      </c>
      <c r="HQ85" s="41">
        <v>0</v>
      </c>
      <c r="HR85" s="41">
        <v>0</v>
      </c>
      <c r="HS85" s="24">
        <v>1</v>
      </c>
      <c r="HT85" s="41">
        <v>3</v>
      </c>
      <c r="HU85" s="41" t="str">
        <f t="shared" si="10"/>
        <v>PUDT</v>
      </c>
      <c r="HV85" s="41">
        <v>818</v>
      </c>
      <c r="HW85" s="41">
        <v>46</v>
      </c>
      <c r="HX85" s="41">
        <v>0</v>
      </c>
      <c r="HY85" s="41">
        <v>1.1000000000000001</v>
      </c>
      <c r="HZ85" s="42"/>
      <c r="IA85" s="41">
        <v>0</v>
      </c>
      <c r="IB85" s="41">
        <v>0</v>
      </c>
      <c r="IC85" s="42">
        <v>0</v>
      </c>
      <c r="ID85" s="42">
        <v>0</v>
      </c>
      <c r="IE85" s="41">
        <v>0</v>
      </c>
      <c r="IF85" s="43">
        <v>0</v>
      </c>
      <c r="IG85" s="41">
        <v>0</v>
      </c>
      <c r="IH85" s="41">
        <v>0</v>
      </c>
      <c r="II85" s="41">
        <v>0</v>
      </c>
      <c r="IJ85" s="41">
        <v>0</v>
      </c>
      <c r="IK85" s="41">
        <v>0</v>
      </c>
      <c r="IL85" s="41">
        <v>0</v>
      </c>
      <c r="IM85" s="41">
        <v>0</v>
      </c>
      <c r="IN85" s="41">
        <v>0</v>
      </c>
      <c r="IO85" s="41">
        <v>0</v>
      </c>
      <c r="IP85" s="41">
        <v>0</v>
      </c>
      <c r="IQ85" s="41">
        <v>0</v>
      </c>
      <c r="IR85" s="41">
        <v>0</v>
      </c>
      <c r="IS85" s="41">
        <v>0</v>
      </c>
      <c r="IT85" s="17">
        <v>1</v>
      </c>
      <c r="IU85" s="41">
        <v>4</v>
      </c>
      <c r="IV85" s="41" t="str">
        <f t="shared" si="11"/>
        <v>PUDS</v>
      </c>
      <c r="IW85" s="41">
        <v>818</v>
      </c>
      <c r="IX85" s="41">
        <v>46</v>
      </c>
      <c r="IY85" s="41">
        <v>0</v>
      </c>
      <c r="IZ85" s="41">
        <v>1.1000000000000001</v>
      </c>
      <c r="JA85" s="42"/>
      <c r="JB85" s="41">
        <v>0</v>
      </c>
      <c r="JC85" s="41">
        <v>0</v>
      </c>
      <c r="JD85" s="42">
        <v>0</v>
      </c>
      <c r="JE85" s="42">
        <v>0</v>
      </c>
      <c r="JF85" s="41">
        <v>0</v>
      </c>
      <c r="JG85" s="41">
        <v>0</v>
      </c>
      <c r="JH85" s="41">
        <v>0</v>
      </c>
      <c r="JI85" s="41">
        <v>0</v>
      </c>
      <c r="JJ85" s="41">
        <v>0</v>
      </c>
      <c r="JK85" s="41">
        <v>0</v>
      </c>
      <c r="JL85" s="41">
        <v>0</v>
      </c>
      <c r="JM85" s="41">
        <v>0</v>
      </c>
      <c r="JN85" s="41">
        <v>0</v>
      </c>
      <c r="JO85" s="41">
        <v>0</v>
      </c>
      <c r="JP85" s="41">
        <v>0</v>
      </c>
      <c r="JQ85" s="41">
        <v>0</v>
      </c>
      <c r="JR85" s="41">
        <v>0</v>
      </c>
      <c r="JS85" s="41">
        <v>0</v>
      </c>
      <c r="JT85" s="41">
        <v>0</v>
      </c>
      <c r="JU85"/>
    </row>
    <row r="86" spans="1:281" ht="15.75">
      <c r="A86" s="25">
        <v>80</v>
      </c>
      <c r="B86" s="25">
        <v>20190301</v>
      </c>
      <c r="C86" s="25"/>
      <c r="D86" s="25" t="s">
        <v>132</v>
      </c>
      <c r="E86" s="25" t="s">
        <v>132</v>
      </c>
      <c r="F86" s="25" t="s">
        <v>133</v>
      </c>
      <c r="G86" s="25"/>
      <c r="H86" s="25">
        <v>100000080</v>
      </c>
      <c r="I86" s="25" t="s">
        <v>134</v>
      </c>
      <c r="J86" s="25" t="s">
        <v>135</v>
      </c>
      <c r="K86" s="25" t="s">
        <v>132</v>
      </c>
      <c r="L86" s="25">
        <v>4</v>
      </c>
      <c r="M86" s="25">
        <v>1</v>
      </c>
      <c r="N86" s="25">
        <v>1</v>
      </c>
      <c r="O86" s="45" t="s">
        <v>144</v>
      </c>
      <c r="P86" s="25">
        <v>100</v>
      </c>
      <c r="Q86" s="25">
        <v>20180301</v>
      </c>
      <c r="R86" s="25">
        <v>20180301</v>
      </c>
      <c r="S86" s="25" t="s">
        <v>137</v>
      </c>
      <c r="T86" s="25" t="s">
        <v>145</v>
      </c>
      <c r="U86" s="25">
        <v>20190301</v>
      </c>
      <c r="V86" s="25">
        <v>10</v>
      </c>
      <c r="W86" s="25">
        <v>10</v>
      </c>
      <c r="X86" s="25" t="s">
        <v>139</v>
      </c>
      <c r="Y86" s="25">
        <v>0</v>
      </c>
      <c r="Z86" s="25" t="s">
        <v>140</v>
      </c>
      <c r="AA86" s="25">
        <v>818</v>
      </c>
      <c r="AB86" s="41">
        <v>0</v>
      </c>
      <c r="AC86" s="41">
        <v>12</v>
      </c>
      <c r="AD86" s="41">
        <v>20180201</v>
      </c>
      <c r="AE86" s="41">
        <v>0</v>
      </c>
      <c r="AF86" s="26">
        <v>15000</v>
      </c>
      <c r="AG86" s="41">
        <v>4</v>
      </c>
      <c r="AH86" s="26">
        <v>33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0</v>
      </c>
      <c r="AW86" s="26">
        <v>0</v>
      </c>
      <c r="AX86" s="26">
        <v>0</v>
      </c>
      <c r="AY86" s="46">
        <v>1</v>
      </c>
      <c r="AZ86" s="25">
        <v>2</v>
      </c>
      <c r="BA86" s="41" t="s">
        <v>203</v>
      </c>
      <c r="BB86" s="41">
        <v>100</v>
      </c>
      <c r="BC86" s="41">
        <v>20180301</v>
      </c>
      <c r="BD86" s="41">
        <v>20180301</v>
      </c>
      <c r="BE86" s="41" t="s">
        <v>198</v>
      </c>
      <c r="BF86" s="41" t="s">
        <v>149</v>
      </c>
      <c r="BG86" s="41">
        <v>20180301</v>
      </c>
      <c r="BH86" s="41">
        <v>0</v>
      </c>
      <c r="BI86" s="41">
        <v>0</v>
      </c>
      <c r="BJ86" s="41"/>
      <c r="BK86" s="41">
        <v>0</v>
      </c>
      <c r="BL86" s="41" t="s">
        <v>140</v>
      </c>
      <c r="BM86" s="41">
        <v>818</v>
      </c>
      <c r="BN86" s="41">
        <v>0</v>
      </c>
      <c r="BO86" s="41">
        <v>12</v>
      </c>
      <c r="BP86" s="41">
        <v>20180201</v>
      </c>
      <c r="BQ86" s="41">
        <v>0</v>
      </c>
      <c r="BR86" s="41">
        <v>0</v>
      </c>
      <c r="BS86" s="41">
        <v>1</v>
      </c>
      <c r="BT86" s="25">
        <v>33</v>
      </c>
      <c r="BU86" s="25">
        <v>0</v>
      </c>
      <c r="BV86" s="25">
        <v>0</v>
      </c>
      <c r="BW86" s="25">
        <v>0</v>
      </c>
      <c r="BX86" s="25">
        <v>0</v>
      </c>
      <c r="BY86" s="25">
        <v>0</v>
      </c>
      <c r="BZ86" s="25">
        <v>0</v>
      </c>
      <c r="CA86" s="25">
        <v>0</v>
      </c>
      <c r="CB86" s="25">
        <v>0</v>
      </c>
      <c r="CC86" s="25">
        <v>0</v>
      </c>
      <c r="CD86" s="25">
        <v>0</v>
      </c>
      <c r="CE86" s="25">
        <v>0</v>
      </c>
      <c r="CF86" s="25">
        <v>0</v>
      </c>
      <c r="CG86" s="25">
        <v>0</v>
      </c>
      <c r="CH86" s="25">
        <v>0</v>
      </c>
      <c r="CI86" s="25">
        <v>0</v>
      </c>
      <c r="CJ86" s="25">
        <v>0</v>
      </c>
      <c r="CK86" s="22">
        <v>1</v>
      </c>
      <c r="CL86" s="25">
        <v>3</v>
      </c>
      <c r="CM86" s="41" t="s">
        <v>150</v>
      </c>
      <c r="CN86" s="41">
        <v>100</v>
      </c>
      <c r="CO86" s="41">
        <v>20180301</v>
      </c>
      <c r="CP86" s="41">
        <v>20180301</v>
      </c>
      <c r="CQ86" s="41" t="s">
        <v>198</v>
      </c>
      <c r="CR86" s="41" t="s">
        <v>200</v>
      </c>
      <c r="CS86" s="41">
        <v>20180301</v>
      </c>
      <c r="CT86" s="41">
        <v>0</v>
      </c>
      <c r="CU86" s="41">
        <v>0</v>
      </c>
      <c r="CV86" s="41"/>
      <c r="CW86" s="41">
        <v>0</v>
      </c>
      <c r="CX86" s="41" t="s">
        <v>140</v>
      </c>
      <c r="CY86" s="41">
        <v>818</v>
      </c>
      <c r="CZ86" s="41">
        <v>0</v>
      </c>
      <c r="DA86" s="41">
        <v>12</v>
      </c>
      <c r="DB86" s="41">
        <v>20180201</v>
      </c>
      <c r="DC86" s="41">
        <v>0</v>
      </c>
      <c r="DD86" s="41">
        <v>0</v>
      </c>
      <c r="DE86" s="41">
        <v>1</v>
      </c>
      <c r="DF86" s="25">
        <v>33</v>
      </c>
      <c r="DG86" s="25">
        <v>0</v>
      </c>
      <c r="DH86" s="25">
        <v>0</v>
      </c>
      <c r="DI86" s="25">
        <v>0</v>
      </c>
      <c r="DJ86" s="25">
        <v>0</v>
      </c>
      <c r="DK86" s="25">
        <v>0</v>
      </c>
      <c r="DL86" s="25">
        <v>0</v>
      </c>
      <c r="DM86" s="25">
        <v>0</v>
      </c>
      <c r="DN86" s="25">
        <v>0</v>
      </c>
      <c r="DO86" s="25">
        <v>0</v>
      </c>
      <c r="DP86" s="25">
        <v>0</v>
      </c>
      <c r="DQ86" s="25">
        <v>0</v>
      </c>
      <c r="DR86" s="25">
        <v>0</v>
      </c>
      <c r="DS86" s="25">
        <v>0</v>
      </c>
      <c r="DT86" s="25">
        <v>0</v>
      </c>
      <c r="DU86" s="25">
        <v>0</v>
      </c>
      <c r="DV86" s="25">
        <v>0</v>
      </c>
      <c r="DW86" s="23">
        <v>1</v>
      </c>
      <c r="DX86" s="25">
        <v>4</v>
      </c>
      <c r="DY86" s="41" t="s">
        <v>151</v>
      </c>
      <c r="DZ86" s="41">
        <v>100</v>
      </c>
      <c r="EA86" s="41">
        <v>20180301</v>
      </c>
      <c r="EB86" s="41">
        <v>20180301</v>
      </c>
      <c r="EC86" s="41" t="s">
        <v>198</v>
      </c>
      <c r="ED86" s="41" t="s">
        <v>201</v>
      </c>
      <c r="EE86" s="41">
        <v>20180301</v>
      </c>
      <c r="EF86" s="41">
        <v>0</v>
      </c>
      <c r="EG86" s="41">
        <v>0</v>
      </c>
      <c r="EH86" s="41"/>
      <c r="EI86" s="41">
        <v>0</v>
      </c>
      <c r="EJ86" s="41" t="s">
        <v>140</v>
      </c>
      <c r="EK86" s="41">
        <v>818</v>
      </c>
      <c r="EL86" s="41">
        <v>0</v>
      </c>
      <c r="EM86" s="41">
        <v>12</v>
      </c>
      <c r="EN86" s="41">
        <v>20180201</v>
      </c>
      <c r="EO86" s="41">
        <v>0</v>
      </c>
      <c r="EP86" s="41">
        <v>0</v>
      </c>
      <c r="EQ86" s="41">
        <v>1</v>
      </c>
      <c r="ER86" s="25">
        <v>33</v>
      </c>
      <c r="ES86" s="25">
        <v>0</v>
      </c>
      <c r="ET86" s="25">
        <v>0</v>
      </c>
      <c r="EU86" s="25">
        <v>0</v>
      </c>
      <c r="EV86" s="25">
        <v>0</v>
      </c>
      <c r="EW86" s="25">
        <v>0</v>
      </c>
      <c r="EX86" s="25">
        <v>0</v>
      </c>
      <c r="EY86" s="25">
        <v>0</v>
      </c>
      <c r="EZ86" s="25">
        <v>0</v>
      </c>
      <c r="FA86" s="25">
        <v>0</v>
      </c>
      <c r="FB86" s="25">
        <v>0</v>
      </c>
      <c r="FC86" s="25">
        <v>0</v>
      </c>
      <c r="FD86" s="25">
        <v>0</v>
      </c>
      <c r="FE86" s="25">
        <v>0</v>
      </c>
      <c r="FF86" s="25">
        <v>0</v>
      </c>
      <c r="FG86" s="25">
        <v>0</v>
      </c>
      <c r="FH86" s="25">
        <v>0</v>
      </c>
      <c r="FI86" s="25">
        <v>1</v>
      </c>
      <c r="FJ86" s="25">
        <v>1</v>
      </c>
      <c r="FK86" s="25">
        <v>1</v>
      </c>
      <c r="FL86" s="25">
        <v>33</v>
      </c>
      <c r="FM86" s="25" t="s">
        <v>137</v>
      </c>
      <c r="FN86" s="25">
        <v>19860101</v>
      </c>
      <c r="FP86" s="28">
        <v>4</v>
      </c>
      <c r="FQ86" s="47">
        <v>1</v>
      </c>
      <c r="FR86" s="41">
        <v>1</v>
      </c>
      <c r="FS86" s="41" t="str">
        <f t="shared" si="6"/>
        <v>MFUC</v>
      </c>
      <c r="FT86" s="41">
        <f t="shared" si="7"/>
        <v>818</v>
      </c>
      <c r="FU86" s="41">
        <f t="shared" si="8"/>
        <v>33</v>
      </c>
      <c r="FV86" s="41">
        <v>16500</v>
      </c>
      <c r="FW86" s="41">
        <v>4.4000000000000004</v>
      </c>
      <c r="FX86" s="41"/>
      <c r="FY86" s="29">
        <v>0</v>
      </c>
      <c r="FZ86" s="29">
        <v>0</v>
      </c>
      <c r="GA86" s="30">
        <v>0</v>
      </c>
      <c r="GB86" s="30">
        <v>0</v>
      </c>
      <c r="GC86" s="29">
        <v>0</v>
      </c>
      <c r="GD86" s="41">
        <v>0</v>
      </c>
      <c r="GE86" s="29">
        <v>0</v>
      </c>
      <c r="GF86" s="29">
        <v>0</v>
      </c>
      <c r="GG86" s="29">
        <v>0</v>
      </c>
      <c r="GH86" s="29">
        <v>0</v>
      </c>
      <c r="GI86" s="29">
        <v>0</v>
      </c>
      <c r="GJ86" s="29">
        <v>0</v>
      </c>
      <c r="GK86" s="29">
        <v>0</v>
      </c>
      <c r="GL86" s="29">
        <v>0</v>
      </c>
      <c r="GM86" s="29">
        <v>0</v>
      </c>
      <c r="GN86" s="29">
        <v>0</v>
      </c>
      <c r="GO86" s="29">
        <v>0</v>
      </c>
      <c r="GP86" s="29">
        <v>0</v>
      </c>
      <c r="GQ86" s="29">
        <v>0</v>
      </c>
      <c r="GR86" s="18">
        <v>1</v>
      </c>
      <c r="GS86" s="41">
        <v>2</v>
      </c>
      <c r="GT86" s="41" t="str">
        <f t="shared" si="9"/>
        <v>PURO</v>
      </c>
      <c r="GU86" s="41">
        <v>818</v>
      </c>
      <c r="GV86" s="41">
        <v>46</v>
      </c>
      <c r="GW86" s="41">
        <v>0</v>
      </c>
      <c r="GX86" s="41">
        <v>1.1000000000000001</v>
      </c>
      <c r="GY86" s="41"/>
      <c r="GZ86" s="41">
        <v>0</v>
      </c>
      <c r="HA86" s="41">
        <v>0</v>
      </c>
      <c r="HB86" s="42">
        <v>0</v>
      </c>
      <c r="HC86" s="42">
        <v>0</v>
      </c>
      <c r="HD86" s="41">
        <v>0</v>
      </c>
      <c r="HE86" s="41">
        <v>0</v>
      </c>
      <c r="HF86" s="41">
        <v>0</v>
      </c>
      <c r="HG86" s="41">
        <v>0</v>
      </c>
      <c r="HH86" s="41">
        <v>0</v>
      </c>
      <c r="HI86" s="41">
        <v>0</v>
      </c>
      <c r="HJ86" s="41">
        <v>0</v>
      </c>
      <c r="HK86" s="41">
        <v>0</v>
      </c>
      <c r="HL86" s="41">
        <v>0</v>
      </c>
      <c r="HM86" s="41">
        <v>0</v>
      </c>
      <c r="HN86" s="41">
        <v>0</v>
      </c>
      <c r="HO86" s="41">
        <v>0</v>
      </c>
      <c r="HP86" s="41">
        <v>0</v>
      </c>
      <c r="HQ86" s="41">
        <v>0</v>
      </c>
      <c r="HR86" s="41">
        <v>0</v>
      </c>
      <c r="HS86" s="24">
        <v>1</v>
      </c>
      <c r="HT86" s="41">
        <v>3</v>
      </c>
      <c r="HU86" s="41" t="str">
        <f t="shared" si="10"/>
        <v>PUDT</v>
      </c>
      <c r="HV86" s="41">
        <v>818</v>
      </c>
      <c r="HW86" s="41">
        <v>46</v>
      </c>
      <c r="HX86" s="41">
        <v>0</v>
      </c>
      <c r="HY86" s="41">
        <v>1.1000000000000001</v>
      </c>
      <c r="HZ86" s="42"/>
      <c r="IA86" s="41">
        <v>0</v>
      </c>
      <c r="IB86" s="41">
        <v>0</v>
      </c>
      <c r="IC86" s="42">
        <v>0</v>
      </c>
      <c r="ID86" s="42">
        <v>0</v>
      </c>
      <c r="IE86" s="41">
        <v>0</v>
      </c>
      <c r="IF86" s="43">
        <v>0</v>
      </c>
      <c r="IG86" s="41">
        <v>0</v>
      </c>
      <c r="IH86" s="41">
        <v>0</v>
      </c>
      <c r="II86" s="41">
        <v>0</v>
      </c>
      <c r="IJ86" s="41">
        <v>0</v>
      </c>
      <c r="IK86" s="41">
        <v>0</v>
      </c>
      <c r="IL86" s="41">
        <v>0</v>
      </c>
      <c r="IM86" s="41">
        <v>0</v>
      </c>
      <c r="IN86" s="41">
        <v>0</v>
      </c>
      <c r="IO86" s="41">
        <v>0</v>
      </c>
      <c r="IP86" s="41">
        <v>0</v>
      </c>
      <c r="IQ86" s="41">
        <v>0</v>
      </c>
      <c r="IR86" s="41">
        <v>0</v>
      </c>
      <c r="IS86" s="41">
        <v>0</v>
      </c>
      <c r="IT86" s="17">
        <v>1</v>
      </c>
      <c r="IU86" s="41">
        <v>4</v>
      </c>
      <c r="IV86" s="41" t="str">
        <f t="shared" si="11"/>
        <v>PUDS</v>
      </c>
      <c r="IW86" s="41">
        <v>818</v>
      </c>
      <c r="IX86" s="41">
        <v>46</v>
      </c>
      <c r="IY86" s="41">
        <v>0</v>
      </c>
      <c r="IZ86" s="41">
        <v>1.1000000000000001</v>
      </c>
      <c r="JA86" s="42"/>
      <c r="JB86" s="41">
        <v>0</v>
      </c>
      <c r="JC86" s="41">
        <v>0</v>
      </c>
      <c r="JD86" s="42">
        <v>0</v>
      </c>
      <c r="JE86" s="42">
        <v>0</v>
      </c>
      <c r="JF86" s="41">
        <v>0</v>
      </c>
      <c r="JG86" s="41">
        <v>0</v>
      </c>
      <c r="JH86" s="41">
        <v>0</v>
      </c>
      <c r="JI86" s="41">
        <v>0</v>
      </c>
      <c r="JJ86" s="41">
        <v>0</v>
      </c>
      <c r="JK86" s="41">
        <v>0</v>
      </c>
      <c r="JL86" s="41">
        <v>0</v>
      </c>
      <c r="JM86" s="41">
        <v>0</v>
      </c>
      <c r="JN86" s="41">
        <v>0</v>
      </c>
      <c r="JO86" s="41">
        <v>0</v>
      </c>
      <c r="JP86" s="41">
        <v>0</v>
      </c>
      <c r="JQ86" s="41">
        <v>0</v>
      </c>
      <c r="JR86" s="41">
        <v>0</v>
      </c>
      <c r="JS86" s="41">
        <v>0</v>
      </c>
      <c r="JT86" s="41">
        <v>0</v>
      </c>
      <c r="JU86"/>
    </row>
    <row r="87" spans="1:281" ht="15.75">
      <c r="A87" s="25">
        <v>81</v>
      </c>
      <c r="B87" s="25">
        <v>20190301</v>
      </c>
      <c r="C87" s="25"/>
      <c r="D87" s="25" t="s">
        <v>132</v>
      </c>
      <c r="E87" s="25" t="s">
        <v>132</v>
      </c>
      <c r="F87" s="25" t="s">
        <v>133</v>
      </c>
      <c r="G87" s="25"/>
      <c r="H87" s="25">
        <v>100000081</v>
      </c>
      <c r="I87" s="25" t="s">
        <v>134</v>
      </c>
      <c r="J87" s="25" t="s">
        <v>135</v>
      </c>
      <c r="K87" s="25" t="s">
        <v>132</v>
      </c>
      <c r="L87" s="25">
        <v>4</v>
      </c>
      <c r="M87" s="25">
        <v>1</v>
      </c>
      <c r="N87" s="25">
        <v>1</v>
      </c>
      <c r="O87" s="45" t="s">
        <v>144</v>
      </c>
      <c r="P87" s="25">
        <v>100</v>
      </c>
      <c r="Q87" s="25">
        <v>20180301</v>
      </c>
      <c r="R87" s="25">
        <v>20180301</v>
      </c>
      <c r="S87" s="25" t="s">
        <v>137</v>
      </c>
      <c r="T87" s="25" t="s">
        <v>145</v>
      </c>
      <c r="U87" s="25">
        <v>20190301</v>
      </c>
      <c r="V87" s="25">
        <v>10</v>
      </c>
      <c r="W87" s="25">
        <v>10</v>
      </c>
      <c r="X87" s="25" t="s">
        <v>139</v>
      </c>
      <c r="Y87" s="25">
        <v>0</v>
      </c>
      <c r="Z87" s="25" t="s">
        <v>140</v>
      </c>
      <c r="AA87" s="25">
        <v>818</v>
      </c>
      <c r="AB87" s="41">
        <v>0</v>
      </c>
      <c r="AC87" s="41">
        <v>12</v>
      </c>
      <c r="AD87" s="41">
        <v>20180201</v>
      </c>
      <c r="AE87" s="41">
        <v>0</v>
      </c>
      <c r="AF87" s="26">
        <v>20000</v>
      </c>
      <c r="AG87" s="41">
        <v>6</v>
      </c>
      <c r="AH87" s="26">
        <v>32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0</v>
      </c>
      <c r="AW87" s="26">
        <v>0</v>
      </c>
      <c r="AX87" s="26">
        <v>0</v>
      </c>
      <c r="AY87" s="46">
        <v>1</v>
      </c>
      <c r="AZ87" s="25">
        <v>2</v>
      </c>
      <c r="BA87" s="41" t="s">
        <v>203</v>
      </c>
      <c r="BB87" s="41">
        <v>100</v>
      </c>
      <c r="BC87" s="41">
        <v>20180301</v>
      </c>
      <c r="BD87" s="41">
        <v>20180301</v>
      </c>
      <c r="BE87" s="41" t="s">
        <v>198</v>
      </c>
      <c r="BF87" s="41" t="s">
        <v>149</v>
      </c>
      <c r="BG87" s="41">
        <v>20180301</v>
      </c>
      <c r="BH87" s="41">
        <v>0</v>
      </c>
      <c r="BI87" s="41">
        <v>0</v>
      </c>
      <c r="BJ87" s="41"/>
      <c r="BK87" s="41">
        <v>0</v>
      </c>
      <c r="BL87" s="41" t="s">
        <v>140</v>
      </c>
      <c r="BM87" s="41">
        <v>818</v>
      </c>
      <c r="BN87" s="41">
        <v>0</v>
      </c>
      <c r="BO87" s="41">
        <v>12</v>
      </c>
      <c r="BP87" s="41">
        <v>20180201</v>
      </c>
      <c r="BQ87" s="41">
        <v>0</v>
      </c>
      <c r="BR87" s="41">
        <v>0</v>
      </c>
      <c r="BS87" s="41">
        <v>1</v>
      </c>
      <c r="BT87" s="25">
        <v>32</v>
      </c>
      <c r="BU87" s="25">
        <v>0</v>
      </c>
      <c r="BV87" s="25">
        <v>0</v>
      </c>
      <c r="BW87" s="25">
        <v>0</v>
      </c>
      <c r="BX87" s="25">
        <v>0</v>
      </c>
      <c r="BY87" s="25">
        <v>0</v>
      </c>
      <c r="BZ87" s="25">
        <v>0</v>
      </c>
      <c r="CA87" s="25">
        <v>0</v>
      </c>
      <c r="CB87" s="25">
        <v>0</v>
      </c>
      <c r="CC87" s="25">
        <v>0</v>
      </c>
      <c r="CD87" s="25">
        <v>0</v>
      </c>
      <c r="CE87" s="25">
        <v>0</v>
      </c>
      <c r="CF87" s="25">
        <v>0</v>
      </c>
      <c r="CG87" s="25">
        <v>0</v>
      </c>
      <c r="CH87" s="25">
        <v>0</v>
      </c>
      <c r="CI87" s="25">
        <v>0</v>
      </c>
      <c r="CJ87" s="25">
        <v>0</v>
      </c>
      <c r="CK87" s="22">
        <v>1</v>
      </c>
      <c r="CL87" s="25">
        <v>3</v>
      </c>
      <c r="CM87" s="41" t="s">
        <v>150</v>
      </c>
      <c r="CN87" s="41">
        <v>100</v>
      </c>
      <c r="CO87" s="41">
        <v>20180301</v>
      </c>
      <c r="CP87" s="41">
        <v>20180301</v>
      </c>
      <c r="CQ87" s="41" t="s">
        <v>198</v>
      </c>
      <c r="CR87" s="41" t="s">
        <v>200</v>
      </c>
      <c r="CS87" s="41">
        <v>20180301</v>
      </c>
      <c r="CT87" s="41">
        <v>0</v>
      </c>
      <c r="CU87" s="41">
        <v>0</v>
      </c>
      <c r="CV87" s="41"/>
      <c r="CW87" s="41">
        <v>0</v>
      </c>
      <c r="CX87" s="41" t="s">
        <v>140</v>
      </c>
      <c r="CY87" s="41">
        <v>818</v>
      </c>
      <c r="CZ87" s="41">
        <v>0</v>
      </c>
      <c r="DA87" s="41">
        <v>12</v>
      </c>
      <c r="DB87" s="41">
        <v>20180201</v>
      </c>
      <c r="DC87" s="41">
        <v>0</v>
      </c>
      <c r="DD87" s="41">
        <v>0</v>
      </c>
      <c r="DE87" s="41">
        <v>1</v>
      </c>
      <c r="DF87" s="25">
        <v>32</v>
      </c>
      <c r="DG87" s="25">
        <v>0</v>
      </c>
      <c r="DH87" s="25">
        <v>0</v>
      </c>
      <c r="DI87" s="25">
        <v>0</v>
      </c>
      <c r="DJ87" s="25">
        <v>0</v>
      </c>
      <c r="DK87" s="25">
        <v>0</v>
      </c>
      <c r="DL87" s="25">
        <v>0</v>
      </c>
      <c r="DM87" s="25">
        <v>0</v>
      </c>
      <c r="DN87" s="25">
        <v>0</v>
      </c>
      <c r="DO87" s="25">
        <v>0</v>
      </c>
      <c r="DP87" s="25">
        <v>0</v>
      </c>
      <c r="DQ87" s="25">
        <v>0</v>
      </c>
      <c r="DR87" s="25">
        <v>0</v>
      </c>
      <c r="DS87" s="25">
        <v>0</v>
      </c>
      <c r="DT87" s="25">
        <v>0</v>
      </c>
      <c r="DU87" s="25">
        <v>0</v>
      </c>
      <c r="DV87" s="25">
        <v>0</v>
      </c>
      <c r="DW87" s="23">
        <v>1</v>
      </c>
      <c r="DX87" s="25">
        <v>4</v>
      </c>
      <c r="DY87" s="41" t="s">
        <v>151</v>
      </c>
      <c r="DZ87" s="41">
        <v>100</v>
      </c>
      <c r="EA87" s="41">
        <v>20180301</v>
      </c>
      <c r="EB87" s="41">
        <v>20180301</v>
      </c>
      <c r="EC87" s="41" t="s">
        <v>198</v>
      </c>
      <c r="ED87" s="41" t="s">
        <v>201</v>
      </c>
      <c r="EE87" s="41">
        <v>20180301</v>
      </c>
      <c r="EF87" s="41">
        <v>0</v>
      </c>
      <c r="EG87" s="41">
        <v>0</v>
      </c>
      <c r="EH87" s="41"/>
      <c r="EI87" s="41">
        <v>0</v>
      </c>
      <c r="EJ87" s="41" t="s">
        <v>140</v>
      </c>
      <c r="EK87" s="41">
        <v>818</v>
      </c>
      <c r="EL87" s="41">
        <v>0</v>
      </c>
      <c r="EM87" s="41">
        <v>12</v>
      </c>
      <c r="EN87" s="41">
        <v>20180201</v>
      </c>
      <c r="EO87" s="41">
        <v>0</v>
      </c>
      <c r="EP87" s="41">
        <v>0</v>
      </c>
      <c r="EQ87" s="41">
        <v>1</v>
      </c>
      <c r="ER87" s="25">
        <v>32</v>
      </c>
      <c r="ES87" s="25">
        <v>0</v>
      </c>
      <c r="ET87" s="25">
        <v>0</v>
      </c>
      <c r="EU87" s="25">
        <v>0</v>
      </c>
      <c r="EV87" s="25">
        <v>0</v>
      </c>
      <c r="EW87" s="25">
        <v>0</v>
      </c>
      <c r="EX87" s="25">
        <v>0</v>
      </c>
      <c r="EY87" s="25">
        <v>0</v>
      </c>
      <c r="EZ87" s="25">
        <v>0</v>
      </c>
      <c r="FA87" s="25">
        <v>0</v>
      </c>
      <c r="FB87" s="25">
        <v>0</v>
      </c>
      <c r="FC87" s="25">
        <v>0</v>
      </c>
      <c r="FD87" s="25">
        <v>0</v>
      </c>
      <c r="FE87" s="25">
        <v>0</v>
      </c>
      <c r="FF87" s="25">
        <v>0</v>
      </c>
      <c r="FG87" s="25">
        <v>0</v>
      </c>
      <c r="FH87" s="25">
        <v>0</v>
      </c>
      <c r="FI87" s="25">
        <v>1</v>
      </c>
      <c r="FJ87" s="25">
        <v>1</v>
      </c>
      <c r="FK87" s="25">
        <v>1</v>
      </c>
      <c r="FL87" s="25">
        <v>32</v>
      </c>
      <c r="FM87" s="25" t="s">
        <v>137</v>
      </c>
      <c r="FN87" s="25">
        <v>19870101</v>
      </c>
      <c r="FP87" s="28">
        <v>4</v>
      </c>
      <c r="FQ87" s="47">
        <v>1</v>
      </c>
      <c r="FR87" s="41">
        <v>1</v>
      </c>
      <c r="FS87" s="41" t="str">
        <f t="shared" si="6"/>
        <v>MFUC</v>
      </c>
      <c r="FT87" s="41">
        <f t="shared" si="7"/>
        <v>818</v>
      </c>
      <c r="FU87" s="41">
        <f t="shared" si="8"/>
        <v>32</v>
      </c>
      <c r="FV87" s="41">
        <v>22000</v>
      </c>
      <c r="FW87" s="41">
        <v>6.6</v>
      </c>
      <c r="FX87" s="41"/>
      <c r="FY87" s="29">
        <v>0</v>
      </c>
      <c r="FZ87" s="29">
        <v>0</v>
      </c>
      <c r="GA87" s="30">
        <v>0</v>
      </c>
      <c r="GB87" s="30">
        <v>0</v>
      </c>
      <c r="GC87" s="29">
        <v>0</v>
      </c>
      <c r="GD87" s="41">
        <v>0</v>
      </c>
      <c r="GE87" s="29">
        <v>0</v>
      </c>
      <c r="GF87" s="29">
        <v>0</v>
      </c>
      <c r="GG87" s="29">
        <v>0</v>
      </c>
      <c r="GH87" s="29">
        <v>0</v>
      </c>
      <c r="GI87" s="29">
        <v>0</v>
      </c>
      <c r="GJ87" s="29">
        <v>0</v>
      </c>
      <c r="GK87" s="29">
        <v>0</v>
      </c>
      <c r="GL87" s="29">
        <v>0</v>
      </c>
      <c r="GM87" s="29">
        <v>0</v>
      </c>
      <c r="GN87" s="29">
        <v>0</v>
      </c>
      <c r="GO87" s="29">
        <v>0</v>
      </c>
      <c r="GP87" s="29">
        <v>0</v>
      </c>
      <c r="GQ87" s="29">
        <v>0</v>
      </c>
      <c r="GR87" s="18">
        <v>1</v>
      </c>
      <c r="GS87" s="41">
        <v>2</v>
      </c>
      <c r="GT87" s="41" t="str">
        <f t="shared" si="9"/>
        <v>PURO</v>
      </c>
      <c r="GU87" s="41">
        <v>818</v>
      </c>
      <c r="GV87" s="41">
        <v>49</v>
      </c>
      <c r="GW87" s="41">
        <v>0</v>
      </c>
      <c r="GX87" s="41">
        <v>1.1000000000000001</v>
      </c>
      <c r="GY87" s="41"/>
      <c r="GZ87" s="41">
        <v>0</v>
      </c>
      <c r="HA87" s="41">
        <v>0</v>
      </c>
      <c r="HB87" s="42">
        <v>0</v>
      </c>
      <c r="HC87" s="42">
        <v>0</v>
      </c>
      <c r="HD87" s="41">
        <v>0</v>
      </c>
      <c r="HE87" s="41">
        <v>0</v>
      </c>
      <c r="HF87" s="41">
        <v>0</v>
      </c>
      <c r="HG87" s="41">
        <v>0</v>
      </c>
      <c r="HH87" s="41">
        <v>0</v>
      </c>
      <c r="HI87" s="41">
        <v>0</v>
      </c>
      <c r="HJ87" s="41">
        <v>0</v>
      </c>
      <c r="HK87" s="41">
        <v>0</v>
      </c>
      <c r="HL87" s="41">
        <v>0</v>
      </c>
      <c r="HM87" s="41">
        <v>0</v>
      </c>
      <c r="HN87" s="41">
        <v>0</v>
      </c>
      <c r="HO87" s="41">
        <v>0</v>
      </c>
      <c r="HP87" s="41">
        <v>0</v>
      </c>
      <c r="HQ87" s="41">
        <v>0</v>
      </c>
      <c r="HR87" s="41">
        <v>0</v>
      </c>
      <c r="HS87" s="24">
        <v>1</v>
      </c>
      <c r="HT87" s="41">
        <v>3</v>
      </c>
      <c r="HU87" s="41" t="str">
        <f t="shared" si="10"/>
        <v>PUDT</v>
      </c>
      <c r="HV87" s="41">
        <v>818</v>
      </c>
      <c r="HW87" s="41">
        <v>49</v>
      </c>
      <c r="HX87" s="41">
        <v>0</v>
      </c>
      <c r="HY87" s="41">
        <v>1.1000000000000001</v>
      </c>
      <c r="HZ87" s="42"/>
      <c r="IA87" s="41">
        <v>0</v>
      </c>
      <c r="IB87" s="41">
        <v>0</v>
      </c>
      <c r="IC87" s="42">
        <v>0</v>
      </c>
      <c r="ID87" s="42">
        <v>0</v>
      </c>
      <c r="IE87" s="41">
        <v>0</v>
      </c>
      <c r="IF87" s="43">
        <v>0</v>
      </c>
      <c r="IG87" s="41">
        <v>0</v>
      </c>
      <c r="IH87" s="41">
        <v>0</v>
      </c>
      <c r="II87" s="41">
        <v>0</v>
      </c>
      <c r="IJ87" s="41">
        <v>0</v>
      </c>
      <c r="IK87" s="41">
        <v>0</v>
      </c>
      <c r="IL87" s="41">
        <v>0</v>
      </c>
      <c r="IM87" s="41">
        <v>0</v>
      </c>
      <c r="IN87" s="41">
        <v>0</v>
      </c>
      <c r="IO87" s="41">
        <v>0</v>
      </c>
      <c r="IP87" s="41">
        <v>0</v>
      </c>
      <c r="IQ87" s="41">
        <v>0</v>
      </c>
      <c r="IR87" s="41">
        <v>0</v>
      </c>
      <c r="IS87" s="41">
        <v>0</v>
      </c>
      <c r="IT87" s="17">
        <v>1</v>
      </c>
      <c r="IU87" s="41">
        <v>4</v>
      </c>
      <c r="IV87" s="41" t="str">
        <f t="shared" si="11"/>
        <v>PUDS</v>
      </c>
      <c r="IW87" s="41">
        <v>818</v>
      </c>
      <c r="IX87" s="41">
        <v>49</v>
      </c>
      <c r="IY87" s="41">
        <v>0</v>
      </c>
      <c r="IZ87" s="41">
        <v>1.1000000000000001</v>
      </c>
      <c r="JA87" s="42"/>
      <c r="JB87" s="41">
        <v>0</v>
      </c>
      <c r="JC87" s="41">
        <v>0</v>
      </c>
      <c r="JD87" s="42">
        <v>0</v>
      </c>
      <c r="JE87" s="42">
        <v>0</v>
      </c>
      <c r="JF87" s="41">
        <v>0</v>
      </c>
      <c r="JG87" s="41">
        <v>0</v>
      </c>
      <c r="JH87" s="41">
        <v>0</v>
      </c>
      <c r="JI87" s="41">
        <v>0</v>
      </c>
      <c r="JJ87" s="41">
        <v>0</v>
      </c>
      <c r="JK87" s="41">
        <v>0</v>
      </c>
      <c r="JL87" s="41">
        <v>0</v>
      </c>
      <c r="JM87" s="41">
        <v>0</v>
      </c>
      <c r="JN87" s="41">
        <v>0</v>
      </c>
      <c r="JO87" s="41">
        <v>0</v>
      </c>
      <c r="JP87" s="41">
        <v>0</v>
      </c>
      <c r="JQ87" s="41">
        <v>0</v>
      </c>
      <c r="JR87" s="41">
        <v>0</v>
      </c>
      <c r="JS87" s="41">
        <v>0</v>
      </c>
      <c r="JT87" s="41">
        <v>0</v>
      </c>
      <c r="JU87"/>
    </row>
    <row r="88" spans="1:281" ht="15.75">
      <c r="A88" s="25">
        <v>82</v>
      </c>
      <c r="B88" s="25">
        <v>20190301</v>
      </c>
      <c r="C88" s="25"/>
      <c r="D88" s="25" t="s">
        <v>132</v>
      </c>
      <c r="E88" s="25" t="s">
        <v>132</v>
      </c>
      <c r="F88" s="25" t="s">
        <v>133</v>
      </c>
      <c r="G88" s="25"/>
      <c r="H88" s="25">
        <v>100000082</v>
      </c>
      <c r="I88" s="25" t="s">
        <v>134</v>
      </c>
      <c r="J88" s="25" t="s">
        <v>135</v>
      </c>
      <c r="K88" s="25" t="s">
        <v>132</v>
      </c>
      <c r="L88" s="25">
        <v>4</v>
      </c>
      <c r="M88" s="25">
        <v>1</v>
      </c>
      <c r="N88" s="25">
        <v>1</v>
      </c>
      <c r="O88" s="45" t="s">
        <v>144</v>
      </c>
      <c r="P88" s="25">
        <v>100</v>
      </c>
      <c r="Q88" s="25">
        <v>20180301</v>
      </c>
      <c r="R88" s="25">
        <v>20180301</v>
      </c>
      <c r="S88" s="25" t="s">
        <v>137</v>
      </c>
      <c r="T88" s="25" t="s">
        <v>145</v>
      </c>
      <c r="U88" s="25">
        <v>20190301</v>
      </c>
      <c r="V88" s="25">
        <v>10</v>
      </c>
      <c r="W88" s="25">
        <v>10</v>
      </c>
      <c r="X88" s="25" t="s">
        <v>139</v>
      </c>
      <c r="Y88" s="25">
        <v>0</v>
      </c>
      <c r="Z88" s="25" t="s">
        <v>140</v>
      </c>
      <c r="AA88" s="25">
        <v>818</v>
      </c>
      <c r="AB88" s="41">
        <v>0</v>
      </c>
      <c r="AC88" s="41">
        <v>12</v>
      </c>
      <c r="AD88" s="41">
        <v>20180201</v>
      </c>
      <c r="AE88" s="41">
        <v>0</v>
      </c>
      <c r="AF88" s="26">
        <v>25000</v>
      </c>
      <c r="AG88" s="41">
        <v>7</v>
      </c>
      <c r="AH88" s="26">
        <v>31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0</v>
      </c>
      <c r="AW88" s="26">
        <v>0</v>
      </c>
      <c r="AX88" s="26">
        <v>0</v>
      </c>
      <c r="AY88" s="46">
        <v>1</v>
      </c>
      <c r="AZ88" s="25">
        <v>2</v>
      </c>
      <c r="BA88" s="41" t="s">
        <v>203</v>
      </c>
      <c r="BB88" s="41">
        <v>100</v>
      </c>
      <c r="BC88" s="41">
        <v>20180301</v>
      </c>
      <c r="BD88" s="41">
        <v>20180301</v>
      </c>
      <c r="BE88" s="41" t="s">
        <v>198</v>
      </c>
      <c r="BF88" s="41" t="s">
        <v>149</v>
      </c>
      <c r="BG88" s="41">
        <v>20180301</v>
      </c>
      <c r="BH88" s="41">
        <v>0</v>
      </c>
      <c r="BI88" s="41">
        <v>0</v>
      </c>
      <c r="BJ88" s="41"/>
      <c r="BK88" s="41">
        <v>0</v>
      </c>
      <c r="BL88" s="41" t="s">
        <v>140</v>
      </c>
      <c r="BM88" s="41">
        <v>818</v>
      </c>
      <c r="BN88" s="41">
        <v>0</v>
      </c>
      <c r="BO88" s="41">
        <v>12</v>
      </c>
      <c r="BP88" s="41">
        <v>20180201</v>
      </c>
      <c r="BQ88" s="41">
        <v>0</v>
      </c>
      <c r="BR88" s="41">
        <v>0</v>
      </c>
      <c r="BS88" s="41">
        <v>1</v>
      </c>
      <c r="BT88" s="25">
        <v>31</v>
      </c>
      <c r="BU88" s="25">
        <v>0</v>
      </c>
      <c r="BV88" s="25">
        <v>0</v>
      </c>
      <c r="BW88" s="25">
        <v>0</v>
      </c>
      <c r="BX88" s="25">
        <v>0</v>
      </c>
      <c r="BY88" s="25">
        <v>0</v>
      </c>
      <c r="BZ88" s="25">
        <v>0</v>
      </c>
      <c r="CA88" s="25">
        <v>0</v>
      </c>
      <c r="CB88" s="25">
        <v>0</v>
      </c>
      <c r="CC88" s="25">
        <v>0</v>
      </c>
      <c r="CD88" s="25">
        <v>0</v>
      </c>
      <c r="CE88" s="25">
        <v>0</v>
      </c>
      <c r="CF88" s="25">
        <v>0</v>
      </c>
      <c r="CG88" s="25">
        <v>0</v>
      </c>
      <c r="CH88" s="25">
        <v>0</v>
      </c>
      <c r="CI88" s="25">
        <v>0</v>
      </c>
      <c r="CJ88" s="25">
        <v>0</v>
      </c>
      <c r="CK88" s="22">
        <v>1</v>
      </c>
      <c r="CL88" s="25">
        <v>3</v>
      </c>
      <c r="CM88" s="41" t="s">
        <v>150</v>
      </c>
      <c r="CN88" s="41">
        <v>100</v>
      </c>
      <c r="CO88" s="41">
        <v>20180301</v>
      </c>
      <c r="CP88" s="41">
        <v>20180301</v>
      </c>
      <c r="CQ88" s="41" t="s">
        <v>198</v>
      </c>
      <c r="CR88" s="41" t="s">
        <v>200</v>
      </c>
      <c r="CS88" s="41">
        <v>20180301</v>
      </c>
      <c r="CT88" s="41">
        <v>0</v>
      </c>
      <c r="CU88" s="41">
        <v>0</v>
      </c>
      <c r="CV88" s="41"/>
      <c r="CW88" s="41">
        <v>0</v>
      </c>
      <c r="CX88" s="41" t="s">
        <v>140</v>
      </c>
      <c r="CY88" s="41">
        <v>818</v>
      </c>
      <c r="CZ88" s="41">
        <v>0</v>
      </c>
      <c r="DA88" s="41">
        <v>12</v>
      </c>
      <c r="DB88" s="41">
        <v>20180201</v>
      </c>
      <c r="DC88" s="41">
        <v>0</v>
      </c>
      <c r="DD88" s="41">
        <v>0</v>
      </c>
      <c r="DE88" s="41">
        <v>1</v>
      </c>
      <c r="DF88" s="25">
        <v>31</v>
      </c>
      <c r="DG88" s="25">
        <v>0</v>
      </c>
      <c r="DH88" s="25">
        <v>0</v>
      </c>
      <c r="DI88" s="25">
        <v>0</v>
      </c>
      <c r="DJ88" s="25">
        <v>0</v>
      </c>
      <c r="DK88" s="25">
        <v>0</v>
      </c>
      <c r="DL88" s="25">
        <v>0</v>
      </c>
      <c r="DM88" s="25">
        <v>0</v>
      </c>
      <c r="DN88" s="25">
        <v>0</v>
      </c>
      <c r="DO88" s="25">
        <v>0</v>
      </c>
      <c r="DP88" s="25">
        <v>0</v>
      </c>
      <c r="DQ88" s="25">
        <v>0</v>
      </c>
      <c r="DR88" s="25">
        <v>0</v>
      </c>
      <c r="DS88" s="25">
        <v>0</v>
      </c>
      <c r="DT88" s="25">
        <v>0</v>
      </c>
      <c r="DU88" s="25">
        <v>0</v>
      </c>
      <c r="DV88" s="25">
        <v>0</v>
      </c>
      <c r="DW88" s="23">
        <v>1</v>
      </c>
      <c r="DX88" s="25">
        <v>4</v>
      </c>
      <c r="DY88" s="41" t="s">
        <v>151</v>
      </c>
      <c r="DZ88" s="41">
        <v>100</v>
      </c>
      <c r="EA88" s="41">
        <v>20180301</v>
      </c>
      <c r="EB88" s="41">
        <v>20180301</v>
      </c>
      <c r="EC88" s="41" t="s">
        <v>198</v>
      </c>
      <c r="ED88" s="41" t="s">
        <v>201</v>
      </c>
      <c r="EE88" s="41">
        <v>20180301</v>
      </c>
      <c r="EF88" s="41">
        <v>0</v>
      </c>
      <c r="EG88" s="41">
        <v>0</v>
      </c>
      <c r="EH88" s="41"/>
      <c r="EI88" s="41">
        <v>0</v>
      </c>
      <c r="EJ88" s="41" t="s">
        <v>140</v>
      </c>
      <c r="EK88" s="41">
        <v>818</v>
      </c>
      <c r="EL88" s="41">
        <v>0</v>
      </c>
      <c r="EM88" s="41">
        <v>12</v>
      </c>
      <c r="EN88" s="41">
        <v>20180201</v>
      </c>
      <c r="EO88" s="41">
        <v>0</v>
      </c>
      <c r="EP88" s="41">
        <v>0</v>
      </c>
      <c r="EQ88" s="41">
        <v>1</v>
      </c>
      <c r="ER88" s="25">
        <v>31</v>
      </c>
      <c r="ES88" s="25">
        <v>0</v>
      </c>
      <c r="ET88" s="25">
        <v>0</v>
      </c>
      <c r="EU88" s="25">
        <v>0</v>
      </c>
      <c r="EV88" s="25">
        <v>0</v>
      </c>
      <c r="EW88" s="25">
        <v>0</v>
      </c>
      <c r="EX88" s="25">
        <v>0</v>
      </c>
      <c r="EY88" s="25">
        <v>0</v>
      </c>
      <c r="EZ88" s="25">
        <v>0</v>
      </c>
      <c r="FA88" s="25">
        <v>0</v>
      </c>
      <c r="FB88" s="25">
        <v>0</v>
      </c>
      <c r="FC88" s="25">
        <v>0</v>
      </c>
      <c r="FD88" s="25">
        <v>0</v>
      </c>
      <c r="FE88" s="25">
        <v>0</v>
      </c>
      <c r="FF88" s="25">
        <v>0</v>
      </c>
      <c r="FG88" s="25">
        <v>0</v>
      </c>
      <c r="FH88" s="25">
        <v>0</v>
      </c>
      <c r="FI88" s="25">
        <v>1</v>
      </c>
      <c r="FJ88" s="25">
        <v>1</v>
      </c>
      <c r="FK88" s="25">
        <v>1</v>
      </c>
      <c r="FL88" s="25">
        <v>31</v>
      </c>
      <c r="FM88" s="25" t="s">
        <v>137</v>
      </c>
      <c r="FN88" s="25">
        <v>19880101</v>
      </c>
      <c r="FP88" s="28">
        <v>4</v>
      </c>
      <c r="FQ88" s="47">
        <v>1</v>
      </c>
      <c r="FR88" s="41">
        <v>1</v>
      </c>
      <c r="FS88" s="41" t="str">
        <f t="shared" si="6"/>
        <v>MFUC</v>
      </c>
      <c r="FT88" s="41">
        <f t="shared" si="7"/>
        <v>818</v>
      </c>
      <c r="FU88" s="41">
        <f t="shared" si="8"/>
        <v>31</v>
      </c>
      <c r="FV88" s="41">
        <v>27500</v>
      </c>
      <c r="FW88" s="41">
        <v>7.7</v>
      </c>
      <c r="FX88" s="41"/>
      <c r="FY88" s="29">
        <v>0</v>
      </c>
      <c r="FZ88" s="29">
        <v>0</v>
      </c>
      <c r="GA88" s="30">
        <v>0</v>
      </c>
      <c r="GB88" s="30">
        <v>0</v>
      </c>
      <c r="GC88" s="29">
        <v>0</v>
      </c>
      <c r="GD88" s="41">
        <v>0</v>
      </c>
      <c r="GE88" s="29">
        <v>0</v>
      </c>
      <c r="GF88" s="29">
        <v>0</v>
      </c>
      <c r="GG88" s="29">
        <v>0</v>
      </c>
      <c r="GH88" s="29">
        <v>0</v>
      </c>
      <c r="GI88" s="29">
        <v>0</v>
      </c>
      <c r="GJ88" s="29">
        <v>0</v>
      </c>
      <c r="GK88" s="29">
        <v>0</v>
      </c>
      <c r="GL88" s="29">
        <v>0</v>
      </c>
      <c r="GM88" s="29">
        <v>0</v>
      </c>
      <c r="GN88" s="29">
        <v>0</v>
      </c>
      <c r="GO88" s="29">
        <v>0</v>
      </c>
      <c r="GP88" s="29">
        <v>0</v>
      </c>
      <c r="GQ88" s="29">
        <v>0</v>
      </c>
      <c r="GR88" s="18">
        <v>1</v>
      </c>
      <c r="GS88" s="41">
        <v>2</v>
      </c>
      <c r="GT88" s="41" t="str">
        <f t="shared" si="9"/>
        <v>PURO</v>
      </c>
      <c r="GU88" s="41">
        <v>818</v>
      </c>
      <c r="GV88" s="41">
        <v>46</v>
      </c>
      <c r="GW88" s="41">
        <v>0</v>
      </c>
      <c r="GX88" s="41">
        <v>1.1000000000000001</v>
      </c>
      <c r="GY88" s="41"/>
      <c r="GZ88" s="41">
        <v>0</v>
      </c>
      <c r="HA88" s="41">
        <v>0</v>
      </c>
      <c r="HB88" s="42">
        <v>0</v>
      </c>
      <c r="HC88" s="42">
        <v>0</v>
      </c>
      <c r="HD88" s="41">
        <v>0</v>
      </c>
      <c r="HE88" s="41">
        <v>0</v>
      </c>
      <c r="HF88" s="41">
        <v>0</v>
      </c>
      <c r="HG88" s="41">
        <v>0</v>
      </c>
      <c r="HH88" s="41">
        <v>0</v>
      </c>
      <c r="HI88" s="41">
        <v>0</v>
      </c>
      <c r="HJ88" s="41">
        <v>0</v>
      </c>
      <c r="HK88" s="41">
        <v>0</v>
      </c>
      <c r="HL88" s="41">
        <v>0</v>
      </c>
      <c r="HM88" s="41">
        <v>0</v>
      </c>
      <c r="HN88" s="41">
        <v>0</v>
      </c>
      <c r="HO88" s="41">
        <v>0</v>
      </c>
      <c r="HP88" s="41">
        <v>0</v>
      </c>
      <c r="HQ88" s="41">
        <v>0</v>
      </c>
      <c r="HR88" s="41">
        <v>0</v>
      </c>
      <c r="HS88" s="24">
        <v>1</v>
      </c>
      <c r="HT88" s="41">
        <v>3</v>
      </c>
      <c r="HU88" s="41" t="str">
        <f t="shared" si="10"/>
        <v>PUDT</v>
      </c>
      <c r="HV88" s="41">
        <v>818</v>
      </c>
      <c r="HW88" s="41">
        <v>46</v>
      </c>
      <c r="HX88" s="41">
        <v>0</v>
      </c>
      <c r="HY88" s="41">
        <v>1.1000000000000001</v>
      </c>
      <c r="HZ88" s="42"/>
      <c r="IA88" s="41">
        <v>0</v>
      </c>
      <c r="IB88" s="41">
        <v>0</v>
      </c>
      <c r="IC88" s="42">
        <v>0</v>
      </c>
      <c r="ID88" s="42">
        <v>0</v>
      </c>
      <c r="IE88" s="41">
        <v>0</v>
      </c>
      <c r="IF88" s="43">
        <v>0</v>
      </c>
      <c r="IG88" s="41">
        <v>0</v>
      </c>
      <c r="IH88" s="41">
        <v>0</v>
      </c>
      <c r="II88" s="41">
        <v>0</v>
      </c>
      <c r="IJ88" s="41">
        <v>0</v>
      </c>
      <c r="IK88" s="41">
        <v>0</v>
      </c>
      <c r="IL88" s="41">
        <v>0</v>
      </c>
      <c r="IM88" s="41">
        <v>0</v>
      </c>
      <c r="IN88" s="41">
        <v>0</v>
      </c>
      <c r="IO88" s="41">
        <v>0</v>
      </c>
      <c r="IP88" s="41">
        <v>0</v>
      </c>
      <c r="IQ88" s="41">
        <v>0</v>
      </c>
      <c r="IR88" s="41">
        <v>0</v>
      </c>
      <c r="IS88" s="41">
        <v>0</v>
      </c>
      <c r="IT88" s="17">
        <v>1</v>
      </c>
      <c r="IU88" s="41">
        <v>4</v>
      </c>
      <c r="IV88" s="41" t="str">
        <f t="shared" si="11"/>
        <v>PUDS</v>
      </c>
      <c r="IW88" s="41">
        <v>818</v>
      </c>
      <c r="IX88" s="41">
        <v>46</v>
      </c>
      <c r="IY88" s="41">
        <v>0</v>
      </c>
      <c r="IZ88" s="41">
        <v>1.1000000000000001</v>
      </c>
      <c r="JA88" s="42"/>
      <c r="JB88" s="41">
        <v>0</v>
      </c>
      <c r="JC88" s="41">
        <v>0</v>
      </c>
      <c r="JD88" s="42">
        <v>0</v>
      </c>
      <c r="JE88" s="42">
        <v>0</v>
      </c>
      <c r="JF88" s="41">
        <v>0</v>
      </c>
      <c r="JG88" s="41">
        <v>0</v>
      </c>
      <c r="JH88" s="41">
        <v>0</v>
      </c>
      <c r="JI88" s="41">
        <v>0</v>
      </c>
      <c r="JJ88" s="41">
        <v>0</v>
      </c>
      <c r="JK88" s="41">
        <v>0</v>
      </c>
      <c r="JL88" s="41">
        <v>0</v>
      </c>
      <c r="JM88" s="41">
        <v>0</v>
      </c>
      <c r="JN88" s="41">
        <v>0</v>
      </c>
      <c r="JO88" s="41">
        <v>0</v>
      </c>
      <c r="JP88" s="41">
        <v>0</v>
      </c>
      <c r="JQ88" s="41">
        <v>0</v>
      </c>
      <c r="JR88" s="41">
        <v>0</v>
      </c>
      <c r="JS88" s="41">
        <v>0</v>
      </c>
      <c r="JT88" s="41">
        <v>0</v>
      </c>
      <c r="JU88"/>
    </row>
    <row r="89" spans="1:281" ht="15.75">
      <c r="A89" s="25">
        <v>83</v>
      </c>
      <c r="B89" s="25">
        <v>20190301</v>
      </c>
      <c r="C89" s="25"/>
      <c r="D89" s="25" t="s">
        <v>132</v>
      </c>
      <c r="E89" s="25" t="s">
        <v>132</v>
      </c>
      <c r="F89" s="25" t="s">
        <v>133</v>
      </c>
      <c r="G89" s="25"/>
      <c r="H89" s="25">
        <v>100000083</v>
      </c>
      <c r="I89" s="25" t="s">
        <v>134</v>
      </c>
      <c r="J89" s="25" t="s">
        <v>135</v>
      </c>
      <c r="K89" s="25" t="s">
        <v>132</v>
      </c>
      <c r="L89" s="25">
        <v>4</v>
      </c>
      <c r="M89" s="25">
        <v>1</v>
      </c>
      <c r="N89" s="25">
        <v>1</v>
      </c>
      <c r="O89" s="45" t="s">
        <v>144</v>
      </c>
      <c r="P89" s="25">
        <v>100</v>
      </c>
      <c r="Q89" s="25">
        <v>20180301</v>
      </c>
      <c r="R89" s="25">
        <v>20180301</v>
      </c>
      <c r="S89" s="25" t="s">
        <v>137</v>
      </c>
      <c r="T89" s="25" t="s">
        <v>145</v>
      </c>
      <c r="U89" s="25">
        <v>20190301</v>
      </c>
      <c r="V89" s="25">
        <v>10</v>
      </c>
      <c r="W89" s="25">
        <v>10</v>
      </c>
      <c r="X89" s="25" t="s">
        <v>139</v>
      </c>
      <c r="Y89" s="25">
        <v>0</v>
      </c>
      <c r="Z89" s="25" t="s">
        <v>140</v>
      </c>
      <c r="AA89" s="25">
        <v>818</v>
      </c>
      <c r="AB89" s="41">
        <v>0</v>
      </c>
      <c r="AC89" s="41">
        <v>12</v>
      </c>
      <c r="AD89" s="41">
        <v>20180201</v>
      </c>
      <c r="AE89" s="41">
        <v>0</v>
      </c>
      <c r="AF89" s="26">
        <v>30000</v>
      </c>
      <c r="AG89" s="41">
        <v>8</v>
      </c>
      <c r="AH89" s="26">
        <v>30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>
        <v>0</v>
      </c>
      <c r="AX89" s="26">
        <v>0</v>
      </c>
      <c r="AY89" s="46">
        <v>1</v>
      </c>
      <c r="AZ89" s="25">
        <v>2</v>
      </c>
      <c r="BA89" s="41" t="s">
        <v>203</v>
      </c>
      <c r="BB89" s="41">
        <v>100</v>
      </c>
      <c r="BC89" s="41">
        <v>20180301</v>
      </c>
      <c r="BD89" s="41">
        <v>20180301</v>
      </c>
      <c r="BE89" s="41" t="s">
        <v>198</v>
      </c>
      <c r="BF89" s="41" t="s">
        <v>149</v>
      </c>
      <c r="BG89" s="41">
        <v>20180301</v>
      </c>
      <c r="BH89" s="41">
        <v>0</v>
      </c>
      <c r="BI89" s="41">
        <v>0</v>
      </c>
      <c r="BJ89" s="41"/>
      <c r="BK89" s="41">
        <v>0</v>
      </c>
      <c r="BL89" s="41" t="s">
        <v>140</v>
      </c>
      <c r="BM89" s="41">
        <v>818</v>
      </c>
      <c r="BN89" s="41">
        <v>0</v>
      </c>
      <c r="BO89" s="41">
        <v>12</v>
      </c>
      <c r="BP89" s="41">
        <v>20180201</v>
      </c>
      <c r="BQ89" s="41">
        <v>0</v>
      </c>
      <c r="BR89" s="41">
        <v>0</v>
      </c>
      <c r="BS89" s="41">
        <v>1</v>
      </c>
      <c r="BT89" s="25">
        <v>30</v>
      </c>
      <c r="BU89" s="25">
        <v>0</v>
      </c>
      <c r="BV89" s="25">
        <v>0</v>
      </c>
      <c r="BW89" s="25">
        <v>0</v>
      </c>
      <c r="BX89" s="25">
        <v>0</v>
      </c>
      <c r="BY89" s="25">
        <v>0</v>
      </c>
      <c r="BZ89" s="25">
        <v>0</v>
      </c>
      <c r="CA89" s="25">
        <v>0</v>
      </c>
      <c r="CB89" s="25">
        <v>0</v>
      </c>
      <c r="CC89" s="25">
        <v>0</v>
      </c>
      <c r="CD89" s="25">
        <v>0</v>
      </c>
      <c r="CE89" s="25">
        <v>0</v>
      </c>
      <c r="CF89" s="25">
        <v>0</v>
      </c>
      <c r="CG89" s="25">
        <v>0</v>
      </c>
      <c r="CH89" s="25">
        <v>0</v>
      </c>
      <c r="CI89" s="25">
        <v>0</v>
      </c>
      <c r="CJ89" s="25">
        <v>0</v>
      </c>
      <c r="CK89" s="22">
        <v>1</v>
      </c>
      <c r="CL89" s="25">
        <v>3</v>
      </c>
      <c r="CM89" s="41" t="s">
        <v>150</v>
      </c>
      <c r="CN89" s="41">
        <v>100</v>
      </c>
      <c r="CO89" s="41">
        <v>20180301</v>
      </c>
      <c r="CP89" s="41">
        <v>20180301</v>
      </c>
      <c r="CQ89" s="41" t="s">
        <v>198</v>
      </c>
      <c r="CR89" s="41" t="s">
        <v>200</v>
      </c>
      <c r="CS89" s="41">
        <v>20180301</v>
      </c>
      <c r="CT89" s="41">
        <v>0</v>
      </c>
      <c r="CU89" s="41">
        <v>0</v>
      </c>
      <c r="CV89" s="41"/>
      <c r="CW89" s="41">
        <v>0</v>
      </c>
      <c r="CX89" s="41" t="s">
        <v>140</v>
      </c>
      <c r="CY89" s="41">
        <v>818</v>
      </c>
      <c r="CZ89" s="41">
        <v>0</v>
      </c>
      <c r="DA89" s="41">
        <v>12</v>
      </c>
      <c r="DB89" s="41">
        <v>20180201</v>
      </c>
      <c r="DC89" s="41">
        <v>0</v>
      </c>
      <c r="DD89" s="41">
        <v>0</v>
      </c>
      <c r="DE89" s="41">
        <v>1</v>
      </c>
      <c r="DF89" s="25">
        <v>30</v>
      </c>
      <c r="DG89" s="25">
        <v>0</v>
      </c>
      <c r="DH89" s="25">
        <v>0</v>
      </c>
      <c r="DI89" s="25">
        <v>0</v>
      </c>
      <c r="DJ89" s="25">
        <v>0</v>
      </c>
      <c r="DK89" s="25">
        <v>0</v>
      </c>
      <c r="DL89" s="25">
        <v>0</v>
      </c>
      <c r="DM89" s="25">
        <v>0</v>
      </c>
      <c r="DN89" s="25">
        <v>0</v>
      </c>
      <c r="DO89" s="25">
        <v>0</v>
      </c>
      <c r="DP89" s="25">
        <v>0</v>
      </c>
      <c r="DQ89" s="25">
        <v>0</v>
      </c>
      <c r="DR89" s="25">
        <v>0</v>
      </c>
      <c r="DS89" s="25">
        <v>0</v>
      </c>
      <c r="DT89" s="25">
        <v>0</v>
      </c>
      <c r="DU89" s="25">
        <v>0</v>
      </c>
      <c r="DV89" s="25">
        <v>0</v>
      </c>
      <c r="DW89" s="23">
        <v>1</v>
      </c>
      <c r="DX89" s="25">
        <v>4</v>
      </c>
      <c r="DY89" s="41" t="s">
        <v>151</v>
      </c>
      <c r="DZ89" s="41">
        <v>100</v>
      </c>
      <c r="EA89" s="41">
        <v>20180301</v>
      </c>
      <c r="EB89" s="41">
        <v>20180301</v>
      </c>
      <c r="EC89" s="41" t="s">
        <v>198</v>
      </c>
      <c r="ED89" s="41" t="s">
        <v>201</v>
      </c>
      <c r="EE89" s="41">
        <v>20180301</v>
      </c>
      <c r="EF89" s="41">
        <v>0</v>
      </c>
      <c r="EG89" s="41">
        <v>0</v>
      </c>
      <c r="EH89" s="41"/>
      <c r="EI89" s="41">
        <v>0</v>
      </c>
      <c r="EJ89" s="41" t="s">
        <v>140</v>
      </c>
      <c r="EK89" s="41">
        <v>818</v>
      </c>
      <c r="EL89" s="41">
        <v>0</v>
      </c>
      <c r="EM89" s="41">
        <v>12</v>
      </c>
      <c r="EN89" s="41">
        <v>20180201</v>
      </c>
      <c r="EO89" s="41">
        <v>0</v>
      </c>
      <c r="EP89" s="41">
        <v>0</v>
      </c>
      <c r="EQ89" s="41">
        <v>1</v>
      </c>
      <c r="ER89" s="25">
        <v>30</v>
      </c>
      <c r="ES89" s="25">
        <v>0</v>
      </c>
      <c r="ET89" s="25">
        <v>0</v>
      </c>
      <c r="EU89" s="25">
        <v>0</v>
      </c>
      <c r="EV89" s="25">
        <v>0</v>
      </c>
      <c r="EW89" s="25">
        <v>0</v>
      </c>
      <c r="EX89" s="25">
        <v>0</v>
      </c>
      <c r="EY89" s="25">
        <v>0</v>
      </c>
      <c r="EZ89" s="25">
        <v>0</v>
      </c>
      <c r="FA89" s="25">
        <v>0</v>
      </c>
      <c r="FB89" s="25">
        <v>0</v>
      </c>
      <c r="FC89" s="25">
        <v>0</v>
      </c>
      <c r="FD89" s="25">
        <v>0</v>
      </c>
      <c r="FE89" s="25">
        <v>0</v>
      </c>
      <c r="FF89" s="25">
        <v>0</v>
      </c>
      <c r="FG89" s="25">
        <v>0</v>
      </c>
      <c r="FH89" s="25">
        <v>0</v>
      </c>
      <c r="FI89" s="25">
        <v>1</v>
      </c>
      <c r="FJ89" s="25">
        <v>1</v>
      </c>
      <c r="FK89" s="25">
        <v>1</v>
      </c>
      <c r="FL89" s="25">
        <v>30</v>
      </c>
      <c r="FM89" s="25" t="s">
        <v>137</v>
      </c>
      <c r="FN89" s="25">
        <v>19890101</v>
      </c>
      <c r="FP89" s="28">
        <v>4</v>
      </c>
      <c r="FQ89" s="47">
        <v>1</v>
      </c>
      <c r="FR89" s="41">
        <v>1</v>
      </c>
      <c r="FS89" s="41" t="str">
        <f t="shared" si="6"/>
        <v>MFUC</v>
      </c>
      <c r="FT89" s="41">
        <f t="shared" si="7"/>
        <v>818</v>
      </c>
      <c r="FU89" s="41">
        <f t="shared" si="8"/>
        <v>30</v>
      </c>
      <c r="FV89" s="41">
        <v>33000</v>
      </c>
      <c r="FW89" s="41">
        <v>8.8000000000000007</v>
      </c>
      <c r="FX89" s="41"/>
      <c r="FY89" s="29">
        <v>0</v>
      </c>
      <c r="FZ89" s="29">
        <v>0</v>
      </c>
      <c r="GA89" s="30">
        <v>0</v>
      </c>
      <c r="GB89" s="30">
        <v>0</v>
      </c>
      <c r="GC89" s="29">
        <v>0</v>
      </c>
      <c r="GD89" s="41">
        <v>0</v>
      </c>
      <c r="GE89" s="29">
        <v>0</v>
      </c>
      <c r="GF89" s="29">
        <v>0</v>
      </c>
      <c r="GG89" s="29">
        <v>0</v>
      </c>
      <c r="GH89" s="29">
        <v>0</v>
      </c>
      <c r="GI89" s="29">
        <v>0</v>
      </c>
      <c r="GJ89" s="29">
        <v>0</v>
      </c>
      <c r="GK89" s="29">
        <v>0</v>
      </c>
      <c r="GL89" s="29">
        <v>0</v>
      </c>
      <c r="GM89" s="29">
        <v>0</v>
      </c>
      <c r="GN89" s="29">
        <v>0</v>
      </c>
      <c r="GO89" s="29">
        <v>0</v>
      </c>
      <c r="GP89" s="29">
        <v>0</v>
      </c>
      <c r="GQ89" s="29">
        <v>0</v>
      </c>
      <c r="GR89" s="18">
        <v>1</v>
      </c>
      <c r="GS89" s="41">
        <v>2</v>
      </c>
      <c r="GT89" s="41" t="str">
        <f t="shared" si="9"/>
        <v>PURO</v>
      </c>
      <c r="GU89" s="41">
        <v>818</v>
      </c>
      <c r="GV89" s="41">
        <v>46</v>
      </c>
      <c r="GW89" s="41">
        <v>0</v>
      </c>
      <c r="GX89" s="41">
        <v>1.1000000000000001</v>
      </c>
      <c r="GY89" s="41"/>
      <c r="GZ89" s="41">
        <v>0</v>
      </c>
      <c r="HA89" s="41">
        <v>0</v>
      </c>
      <c r="HB89" s="42">
        <v>0</v>
      </c>
      <c r="HC89" s="42">
        <v>0</v>
      </c>
      <c r="HD89" s="41">
        <v>0</v>
      </c>
      <c r="HE89" s="41">
        <v>0</v>
      </c>
      <c r="HF89" s="41">
        <v>0</v>
      </c>
      <c r="HG89" s="41">
        <v>0</v>
      </c>
      <c r="HH89" s="41">
        <v>0</v>
      </c>
      <c r="HI89" s="41">
        <v>0</v>
      </c>
      <c r="HJ89" s="41">
        <v>0</v>
      </c>
      <c r="HK89" s="41">
        <v>0</v>
      </c>
      <c r="HL89" s="41">
        <v>0</v>
      </c>
      <c r="HM89" s="41">
        <v>0</v>
      </c>
      <c r="HN89" s="41">
        <v>0</v>
      </c>
      <c r="HO89" s="41">
        <v>0</v>
      </c>
      <c r="HP89" s="41">
        <v>0</v>
      </c>
      <c r="HQ89" s="41">
        <v>0</v>
      </c>
      <c r="HR89" s="41">
        <v>0</v>
      </c>
      <c r="HS89" s="24">
        <v>1</v>
      </c>
      <c r="HT89" s="41">
        <v>3</v>
      </c>
      <c r="HU89" s="41" t="str">
        <f t="shared" si="10"/>
        <v>PUDT</v>
      </c>
      <c r="HV89" s="41">
        <v>818</v>
      </c>
      <c r="HW89" s="41">
        <v>46</v>
      </c>
      <c r="HX89" s="41">
        <v>0</v>
      </c>
      <c r="HY89" s="41">
        <v>1.1000000000000001</v>
      </c>
      <c r="HZ89" s="42"/>
      <c r="IA89" s="41">
        <v>0</v>
      </c>
      <c r="IB89" s="41">
        <v>0</v>
      </c>
      <c r="IC89" s="42">
        <v>0</v>
      </c>
      <c r="ID89" s="42">
        <v>0</v>
      </c>
      <c r="IE89" s="41">
        <v>0</v>
      </c>
      <c r="IF89" s="43">
        <v>0</v>
      </c>
      <c r="IG89" s="41">
        <v>0</v>
      </c>
      <c r="IH89" s="41">
        <v>0</v>
      </c>
      <c r="II89" s="41">
        <v>0</v>
      </c>
      <c r="IJ89" s="41">
        <v>0</v>
      </c>
      <c r="IK89" s="41">
        <v>0</v>
      </c>
      <c r="IL89" s="41">
        <v>0</v>
      </c>
      <c r="IM89" s="41">
        <v>0</v>
      </c>
      <c r="IN89" s="41">
        <v>0</v>
      </c>
      <c r="IO89" s="41">
        <v>0</v>
      </c>
      <c r="IP89" s="41">
        <v>0</v>
      </c>
      <c r="IQ89" s="41">
        <v>0</v>
      </c>
      <c r="IR89" s="41">
        <v>0</v>
      </c>
      <c r="IS89" s="41">
        <v>0</v>
      </c>
      <c r="IT89" s="17">
        <v>1</v>
      </c>
      <c r="IU89" s="41">
        <v>4</v>
      </c>
      <c r="IV89" s="41" t="str">
        <f t="shared" si="11"/>
        <v>PUDS</v>
      </c>
      <c r="IW89" s="41">
        <v>818</v>
      </c>
      <c r="IX89" s="41">
        <v>46</v>
      </c>
      <c r="IY89" s="41">
        <v>0</v>
      </c>
      <c r="IZ89" s="41">
        <v>1.1000000000000001</v>
      </c>
      <c r="JA89" s="42"/>
      <c r="JB89" s="41">
        <v>0</v>
      </c>
      <c r="JC89" s="41">
        <v>0</v>
      </c>
      <c r="JD89" s="42">
        <v>0</v>
      </c>
      <c r="JE89" s="42">
        <v>0</v>
      </c>
      <c r="JF89" s="41">
        <v>0</v>
      </c>
      <c r="JG89" s="41">
        <v>0</v>
      </c>
      <c r="JH89" s="41">
        <v>0</v>
      </c>
      <c r="JI89" s="41">
        <v>0</v>
      </c>
      <c r="JJ89" s="41">
        <v>0</v>
      </c>
      <c r="JK89" s="41">
        <v>0</v>
      </c>
      <c r="JL89" s="41">
        <v>0</v>
      </c>
      <c r="JM89" s="41">
        <v>0</v>
      </c>
      <c r="JN89" s="41">
        <v>0</v>
      </c>
      <c r="JO89" s="41">
        <v>0</v>
      </c>
      <c r="JP89" s="41">
        <v>0</v>
      </c>
      <c r="JQ89" s="41">
        <v>0</v>
      </c>
      <c r="JR89" s="41">
        <v>0</v>
      </c>
      <c r="JS89" s="41">
        <v>0</v>
      </c>
      <c r="JT89" s="41">
        <v>0</v>
      </c>
      <c r="JU89"/>
    </row>
    <row r="90" spans="1:281" ht="15.75">
      <c r="A90" s="25">
        <v>84</v>
      </c>
      <c r="B90" s="25">
        <v>20190301</v>
      </c>
      <c r="C90" s="25"/>
      <c r="D90" s="25" t="s">
        <v>132</v>
      </c>
      <c r="E90" s="25" t="s">
        <v>132</v>
      </c>
      <c r="F90" s="25" t="s">
        <v>133</v>
      </c>
      <c r="G90" s="25"/>
      <c r="H90" s="25">
        <v>100000084</v>
      </c>
      <c r="I90" s="25" t="s">
        <v>134</v>
      </c>
      <c r="J90" s="25" t="s">
        <v>135</v>
      </c>
      <c r="K90" s="25" t="s">
        <v>132</v>
      </c>
      <c r="L90" s="25">
        <v>4</v>
      </c>
      <c r="M90" s="25">
        <v>1</v>
      </c>
      <c r="N90" s="25">
        <v>1</v>
      </c>
      <c r="O90" s="45" t="s">
        <v>144</v>
      </c>
      <c r="P90" s="25">
        <v>100</v>
      </c>
      <c r="Q90" s="25">
        <v>20180301</v>
      </c>
      <c r="R90" s="25">
        <v>20180301</v>
      </c>
      <c r="S90" s="25" t="s">
        <v>137</v>
      </c>
      <c r="T90" s="25" t="s">
        <v>147</v>
      </c>
      <c r="U90" s="25">
        <v>20190301</v>
      </c>
      <c r="V90" s="25">
        <v>10</v>
      </c>
      <c r="W90" s="25">
        <v>10</v>
      </c>
      <c r="X90" s="25" t="s">
        <v>139</v>
      </c>
      <c r="Y90" s="25">
        <v>0</v>
      </c>
      <c r="Z90" s="25" t="s">
        <v>140</v>
      </c>
      <c r="AA90" s="25">
        <v>818</v>
      </c>
      <c r="AB90" s="41">
        <v>0</v>
      </c>
      <c r="AC90" s="41">
        <v>12</v>
      </c>
      <c r="AD90" s="41">
        <v>20180201</v>
      </c>
      <c r="AE90" s="41">
        <v>0</v>
      </c>
      <c r="AF90" s="26">
        <v>35000</v>
      </c>
      <c r="AG90" s="41">
        <v>10</v>
      </c>
      <c r="AH90" s="26">
        <v>29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0</v>
      </c>
      <c r="AW90" s="26">
        <v>0</v>
      </c>
      <c r="AX90" s="26">
        <v>0</v>
      </c>
      <c r="AY90" s="46">
        <v>1</v>
      </c>
      <c r="AZ90" s="25">
        <v>2</v>
      </c>
      <c r="BA90" s="41" t="s">
        <v>203</v>
      </c>
      <c r="BB90" s="41">
        <v>100</v>
      </c>
      <c r="BC90" s="41">
        <v>20180301</v>
      </c>
      <c r="BD90" s="41">
        <v>20180301</v>
      </c>
      <c r="BE90" s="41" t="s">
        <v>198</v>
      </c>
      <c r="BF90" s="41" t="s">
        <v>149</v>
      </c>
      <c r="BG90" s="41">
        <v>20180301</v>
      </c>
      <c r="BH90" s="41">
        <v>0</v>
      </c>
      <c r="BI90" s="41">
        <v>0</v>
      </c>
      <c r="BJ90" s="41"/>
      <c r="BK90" s="41">
        <v>0</v>
      </c>
      <c r="BL90" s="41" t="s">
        <v>140</v>
      </c>
      <c r="BM90" s="41">
        <v>818</v>
      </c>
      <c r="BN90" s="41">
        <v>0</v>
      </c>
      <c r="BO90" s="41">
        <v>12</v>
      </c>
      <c r="BP90" s="41">
        <v>20180201</v>
      </c>
      <c r="BQ90" s="41">
        <v>0</v>
      </c>
      <c r="BR90" s="41">
        <v>0</v>
      </c>
      <c r="BS90" s="41">
        <v>1</v>
      </c>
      <c r="BT90" s="25">
        <v>29</v>
      </c>
      <c r="BU90" s="25">
        <v>0</v>
      </c>
      <c r="BV90" s="25">
        <v>0</v>
      </c>
      <c r="BW90" s="25">
        <v>0</v>
      </c>
      <c r="BX90" s="25">
        <v>0</v>
      </c>
      <c r="BY90" s="25">
        <v>0</v>
      </c>
      <c r="BZ90" s="25">
        <v>0</v>
      </c>
      <c r="CA90" s="25">
        <v>0</v>
      </c>
      <c r="CB90" s="25">
        <v>0</v>
      </c>
      <c r="CC90" s="25">
        <v>0</v>
      </c>
      <c r="CD90" s="25">
        <v>0</v>
      </c>
      <c r="CE90" s="25">
        <v>0</v>
      </c>
      <c r="CF90" s="25">
        <v>0</v>
      </c>
      <c r="CG90" s="25">
        <v>0</v>
      </c>
      <c r="CH90" s="25">
        <v>0</v>
      </c>
      <c r="CI90" s="25">
        <v>0</v>
      </c>
      <c r="CJ90" s="25">
        <v>0</v>
      </c>
      <c r="CK90" s="22">
        <v>1</v>
      </c>
      <c r="CL90" s="25">
        <v>3</v>
      </c>
      <c r="CM90" s="41" t="s">
        <v>150</v>
      </c>
      <c r="CN90" s="41">
        <v>100</v>
      </c>
      <c r="CO90" s="41">
        <v>20180301</v>
      </c>
      <c r="CP90" s="41">
        <v>20180301</v>
      </c>
      <c r="CQ90" s="41" t="s">
        <v>198</v>
      </c>
      <c r="CR90" s="41" t="s">
        <v>200</v>
      </c>
      <c r="CS90" s="41">
        <v>20180301</v>
      </c>
      <c r="CT90" s="41">
        <v>0</v>
      </c>
      <c r="CU90" s="41">
        <v>0</v>
      </c>
      <c r="CV90" s="41"/>
      <c r="CW90" s="41">
        <v>0</v>
      </c>
      <c r="CX90" s="41" t="s">
        <v>140</v>
      </c>
      <c r="CY90" s="41">
        <v>818</v>
      </c>
      <c r="CZ90" s="41">
        <v>0</v>
      </c>
      <c r="DA90" s="41">
        <v>12</v>
      </c>
      <c r="DB90" s="41">
        <v>20180201</v>
      </c>
      <c r="DC90" s="41">
        <v>0</v>
      </c>
      <c r="DD90" s="41">
        <v>0</v>
      </c>
      <c r="DE90" s="41">
        <v>1</v>
      </c>
      <c r="DF90" s="25">
        <v>29</v>
      </c>
      <c r="DG90" s="25">
        <v>0</v>
      </c>
      <c r="DH90" s="25">
        <v>0</v>
      </c>
      <c r="DI90" s="25">
        <v>0</v>
      </c>
      <c r="DJ90" s="25">
        <v>0</v>
      </c>
      <c r="DK90" s="25">
        <v>0</v>
      </c>
      <c r="DL90" s="25">
        <v>0</v>
      </c>
      <c r="DM90" s="25">
        <v>0</v>
      </c>
      <c r="DN90" s="25">
        <v>0</v>
      </c>
      <c r="DO90" s="25">
        <v>0</v>
      </c>
      <c r="DP90" s="25">
        <v>0</v>
      </c>
      <c r="DQ90" s="25">
        <v>0</v>
      </c>
      <c r="DR90" s="25">
        <v>0</v>
      </c>
      <c r="DS90" s="25">
        <v>0</v>
      </c>
      <c r="DT90" s="25">
        <v>0</v>
      </c>
      <c r="DU90" s="25">
        <v>0</v>
      </c>
      <c r="DV90" s="25">
        <v>0</v>
      </c>
      <c r="DW90" s="23">
        <v>1</v>
      </c>
      <c r="DX90" s="25">
        <v>4</v>
      </c>
      <c r="DY90" s="41" t="s">
        <v>151</v>
      </c>
      <c r="DZ90" s="41">
        <v>100</v>
      </c>
      <c r="EA90" s="41">
        <v>20180301</v>
      </c>
      <c r="EB90" s="41">
        <v>20180301</v>
      </c>
      <c r="EC90" s="41" t="s">
        <v>198</v>
      </c>
      <c r="ED90" s="41" t="s">
        <v>201</v>
      </c>
      <c r="EE90" s="41">
        <v>20180301</v>
      </c>
      <c r="EF90" s="41">
        <v>0</v>
      </c>
      <c r="EG90" s="41">
        <v>0</v>
      </c>
      <c r="EH90" s="41"/>
      <c r="EI90" s="41">
        <v>0</v>
      </c>
      <c r="EJ90" s="41" t="s">
        <v>140</v>
      </c>
      <c r="EK90" s="41">
        <v>818</v>
      </c>
      <c r="EL90" s="41">
        <v>0</v>
      </c>
      <c r="EM90" s="41">
        <v>12</v>
      </c>
      <c r="EN90" s="41">
        <v>20180201</v>
      </c>
      <c r="EO90" s="41">
        <v>0</v>
      </c>
      <c r="EP90" s="41">
        <v>0</v>
      </c>
      <c r="EQ90" s="41">
        <v>1</v>
      </c>
      <c r="ER90" s="25">
        <v>29</v>
      </c>
      <c r="ES90" s="25">
        <v>0</v>
      </c>
      <c r="ET90" s="25">
        <v>0</v>
      </c>
      <c r="EU90" s="25">
        <v>0</v>
      </c>
      <c r="EV90" s="25">
        <v>0</v>
      </c>
      <c r="EW90" s="25">
        <v>0</v>
      </c>
      <c r="EX90" s="25">
        <v>0</v>
      </c>
      <c r="EY90" s="25">
        <v>0</v>
      </c>
      <c r="EZ90" s="25">
        <v>0</v>
      </c>
      <c r="FA90" s="25">
        <v>0</v>
      </c>
      <c r="FB90" s="25">
        <v>0</v>
      </c>
      <c r="FC90" s="25">
        <v>0</v>
      </c>
      <c r="FD90" s="25">
        <v>0</v>
      </c>
      <c r="FE90" s="25">
        <v>0</v>
      </c>
      <c r="FF90" s="25">
        <v>0</v>
      </c>
      <c r="FG90" s="25">
        <v>0</v>
      </c>
      <c r="FH90" s="25">
        <v>0</v>
      </c>
      <c r="FI90" s="25">
        <v>1</v>
      </c>
      <c r="FJ90" s="25">
        <v>1</v>
      </c>
      <c r="FK90" s="25">
        <v>1</v>
      </c>
      <c r="FL90" s="25">
        <v>29</v>
      </c>
      <c r="FM90" s="25" t="s">
        <v>137</v>
      </c>
      <c r="FN90" s="25">
        <v>19900101</v>
      </c>
      <c r="FP90" s="28">
        <v>4</v>
      </c>
      <c r="FQ90" s="47">
        <v>1</v>
      </c>
      <c r="FR90" s="41">
        <v>1</v>
      </c>
      <c r="FS90" s="41" t="str">
        <f t="shared" si="6"/>
        <v>MFUC</v>
      </c>
      <c r="FT90" s="41">
        <f t="shared" si="7"/>
        <v>818</v>
      </c>
      <c r="FU90" s="41">
        <f t="shared" si="8"/>
        <v>29</v>
      </c>
      <c r="FV90" s="41">
        <v>38500</v>
      </c>
      <c r="FW90" s="41">
        <v>11</v>
      </c>
      <c r="FX90" s="41"/>
      <c r="FY90" s="29">
        <v>0</v>
      </c>
      <c r="FZ90" s="29">
        <v>0</v>
      </c>
      <c r="GA90" s="30">
        <v>0</v>
      </c>
      <c r="GB90" s="30">
        <v>0</v>
      </c>
      <c r="GC90" s="29">
        <v>0</v>
      </c>
      <c r="GD90" s="41">
        <v>0</v>
      </c>
      <c r="GE90" s="29">
        <v>0</v>
      </c>
      <c r="GF90" s="29">
        <v>0</v>
      </c>
      <c r="GG90" s="29">
        <v>0</v>
      </c>
      <c r="GH90" s="29">
        <v>0</v>
      </c>
      <c r="GI90" s="29">
        <v>0</v>
      </c>
      <c r="GJ90" s="29">
        <v>0</v>
      </c>
      <c r="GK90" s="29">
        <v>0</v>
      </c>
      <c r="GL90" s="29">
        <v>0</v>
      </c>
      <c r="GM90" s="29">
        <v>0</v>
      </c>
      <c r="GN90" s="29">
        <v>0</v>
      </c>
      <c r="GO90" s="29">
        <v>0</v>
      </c>
      <c r="GP90" s="29">
        <v>0</v>
      </c>
      <c r="GQ90" s="29">
        <v>0</v>
      </c>
      <c r="GR90" s="18">
        <v>1</v>
      </c>
      <c r="GS90" s="41">
        <v>2</v>
      </c>
      <c r="GT90" s="41" t="str">
        <f t="shared" si="9"/>
        <v>PURO</v>
      </c>
      <c r="GU90" s="41">
        <v>818</v>
      </c>
      <c r="GV90" s="41">
        <v>23</v>
      </c>
      <c r="GW90" s="41">
        <v>0</v>
      </c>
      <c r="GX90" s="41">
        <v>1.1000000000000001</v>
      </c>
      <c r="GY90" s="41"/>
      <c r="GZ90" s="41">
        <v>0</v>
      </c>
      <c r="HA90" s="41">
        <v>0</v>
      </c>
      <c r="HB90" s="42">
        <v>0</v>
      </c>
      <c r="HC90" s="42">
        <v>0</v>
      </c>
      <c r="HD90" s="41">
        <v>0</v>
      </c>
      <c r="HE90" s="41">
        <v>0</v>
      </c>
      <c r="HF90" s="41">
        <v>0</v>
      </c>
      <c r="HG90" s="41">
        <v>0</v>
      </c>
      <c r="HH90" s="41">
        <v>0</v>
      </c>
      <c r="HI90" s="41">
        <v>0</v>
      </c>
      <c r="HJ90" s="41">
        <v>0</v>
      </c>
      <c r="HK90" s="41">
        <v>0</v>
      </c>
      <c r="HL90" s="41">
        <v>0</v>
      </c>
      <c r="HM90" s="41">
        <v>0</v>
      </c>
      <c r="HN90" s="41">
        <v>0</v>
      </c>
      <c r="HO90" s="41">
        <v>0</v>
      </c>
      <c r="HP90" s="41">
        <v>0</v>
      </c>
      <c r="HQ90" s="41">
        <v>0</v>
      </c>
      <c r="HR90" s="41">
        <v>0</v>
      </c>
      <c r="HS90" s="24">
        <v>1</v>
      </c>
      <c r="HT90" s="41">
        <v>3</v>
      </c>
      <c r="HU90" s="41" t="str">
        <f t="shared" si="10"/>
        <v>PUDT</v>
      </c>
      <c r="HV90" s="41">
        <v>818</v>
      </c>
      <c r="HW90" s="41">
        <v>23</v>
      </c>
      <c r="HX90" s="41">
        <v>0</v>
      </c>
      <c r="HY90" s="41">
        <v>1.1000000000000001</v>
      </c>
      <c r="HZ90" s="42"/>
      <c r="IA90" s="41">
        <v>0</v>
      </c>
      <c r="IB90" s="41">
        <v>0</v>
      </c>
      <c r="IC90" s="42">
        <v>0</v>
      </c>
      <c r="ID90" s="42">
        <v>0</v>
      </c>
      <c r="IE90" s="41">
        <v>0</v>
      </c>
      <c r="IF90" s="43">
        <v>0</v>
      </c>
      <c r="IG90" s="41">
        <v>0</v>
      </c>
      <c r="IH90" s="41">
        <v>0</v>
      </c>
      <c r="II90" s="41">
        <v>0</v>
      </c>
      <c r="IJ90" s="41">
        <v>0</v>
      </c>
      <c r="IK90" s="41">
        <v>0</v>
      </c>
      <c r="IL90" s="41">
        <v>0</v>
      </c>
      <c r="IM90" s="41">
        <v>0</v>
      </c>
      <c r="IN90" s="41">
        <v>0</v>
      </c>
      <c r="IO90" s="41">
        <v>0</v>
      </c>
      <c r="IP90" s="41">
        <v>0</v>
      </c>
      <c r="IQ90" s="41">
        <v>0</v>
      </c>
      <c r="IR90" s="41">
        <v>0</v>
      </c>
      <c r="IS90" s="41">
        <v>0</v>
      </c>
      <c r="IT90" s="17">
        <v>1</v>
      </c>
      <c r="IU90" s="41">
        <v>4</v>
      </c>
      <c r="IV90" s="41" t="str">
        <f t="shared" si="11"/>
        <v>PUDS</v>
      </c>
      <c r="IW90" s="41">
        <v>818</v>
      </c>
      <c r="IX90" s="41">
        <v>23</v>
      </c>
      <c r="IY90" s="41">
        <v>0</v>
      </c>
      <c r="IZ90" s="41">
        <v>1.1000000000000001</v>
      </c>
      <c r="JA90" s="42"/>
      <c r="JB90" s="41">
        <v>0</v>
      </c>
      <c r="JC90" s="41">
        <v>0</v>
      </c>
      <c r="JD90" s="42">
        <v>0</v>
      </c>
      <c r="JE90" s="42">
        <v>0</v>
      </c>
      <c r="JF90" s="41">
        <v>0</v>
      </c>
      <c r="JG90" s="41">
        <v>0</v>
      </c>
      <c r="JH90" s="41">
        <v>0</v>
      </c>
      <c r="JI90" s="41">
        <v>0</v>
      </c>
      <c r="JJ90" s="41">
        <v>0</v>
      </c>
      <c r="JK90" s="41">
        <v>0</v>
      </c>
      <c r="JL90" s="41">
        <v>0</v>
      </c>
      <c r="JM90" s="41">
        <v>0</v>
      </c>
      <c r="JN90" s="41">
        <v>0</v>
      </c>
      <c r="JO90" s="41">
        <v>0</v>
      </c>
      <c r="JP90" s="41">
        <v>0</v>
      </c>
      <c r="JQ90" s="41">
        <v>0</v>
      </c>
      <c r="JR90" s="41">
        <v>0</v>
      </c>
      <c r="JS90" s="41">
        <v>0</v>
      </c>
      <c r="JT90" s="41">
        <v>0</v>
      </c>
      <c r="JU90"/>
    </row>
    <row r="91" spans="1:281" ht="15.75">
      <c r="A91" s="25">
        <v>85</v>
      </c>
      <c r="B91" s="25">
        <v>20190301</v>
      </c>
      <c r="C91" s="25"/>
      <c r="D91" s="25" t="s">
        <v>132</v>
      </c>
      <c r="E91" s="25" t="s">
        <v>132</v>
      </c>
      <c r="F91" s="25" t="s">
        <v>133</v>
      </c>
      <c r="G91" s="25"/>
      <c r="H91" s="25">
        <v>100000085</v>
      </c>
      <c r="I91" s="25" t="s">
        <v>134</v>
      </c>
      <c r="J91" s="25" t="s">
        <v>135</v>
      </c>
      <c r="K91" s="25" t="s">
        <v>132</v>
      </c>
      <c r="L91" s="25">
        <v>4</v>
      </c>
      <c r="M91" s="25">
        <v>1</v>
      </c>
      <c r="N91" s="25">
        <v>1</v>
      </c>
      <c r="O91" s="45" t="s">
        <v>144</v>
      </c>
      <c r="P91" s="25">
        <v>100</v>
      </c>
      <c r="Q91" s="25">
        <v>20180301</v>
      </c>
      <c r="R91" s="25">
        <v>20180301</v>
      </c>
      <c r="S91" s="25" t="s">
        <v>137</v>
      </c>
      <c r="T91" s="25" t="s">
        <v>147</v>
      </c>
      <c r="U91" s="25">
        <v>20190301</v>
      </c>
      <c r="V91" s="25">
        <v>6</v>
      </c>
      <c r="W91" s="25">
        <v>6</v>
      </c>
      <c r="X91" s="25" t="s">
        <v>139</v>
      </c>
      <c r="Y91" s="25">
        <v>0</v>
      </c>
      <c r="Z91" s="25" t="s">
        <v>140</v>
      </c>
      <c r="AA91" s="25">
        <v>818</v>
      </c>
      <c r="AB91" s="41">
        <v>0</v>
      </c>
      <c r="AC91" s="41">
        <v>12</v>
      </c>
      <c r="AD91" s="41">
        <v>20180201</v>
      </c>
      <c r="AE91" s="41">
        <v>0</v>
      </c>
      <c r="AF91" s="26">
        <v>40000</v>
      </c>
      <c r="AG91" s="41">
        <v>11</v>
      </c>
      <c r="AH91" s="26">
        <v>28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46">
        <v>1</v>
      </c>
      <c r="AZ91" s="25">
        <v>2</v>
      </c>
      <c r="BA91" s="41" t="s">
        <v>203</v>
      </c>
      <c r="BB91" s="41">
        <v>100</v>
      </c>
      <c r="BC91" s="41">
        <v>20180301</v>
      </c>
      <c r="BD91" s="41">
        <v>20180301</v>
      </c>
      <c r="BE91" s="41" t="s">
        <v>198</v>
      </c>
      <c r="BF91" s="41" t="s">
        <v>149</v>
      </c>
      <c r="BG91" s="41">
        <v>20180301</v>
      </c>
      <c r="BH91" s="41">
        <v>0</v>
      </c>
      <c r="BI91" s="41">
        <v>0</v>
      </c>
      <c r="BJ91" s="41"/>
      <c r="BK91" s="41">
        <v>0</v>
      </c>
      <c r="BL91" s="41" t="s">
        <v>140</v>
      </c>
      <c r="BM91" s="41">
        <v>818</v>
      </c>
      <c r="BN91" s="41">
        <v>0</v>
      </c>
      <c r="BO91" s="41">
        <v>12</v>
      </c>
      <c r="BP91" s="41">
        <v>20180201</v>
      </c>
      <c r="BQ91" s="41">
        <v>0</v>
      </c>
      <c r="BR91" s="41">
        <v>0</v>
      </c>
      <c r="BS91" s="41">
        <v>1</v>
      </c>
      <c r="BT91" s="25">
        <v>28</v>
      </c>
      <c r="BU91" s="25">
        <v>0</v>
      </c>
      <c r="BV91" s="25">
        <v>0</v>
      </c>
      <c r="BW91" s="25">
        <v>0</v>
      </c>
      <c r="BX91" s="25">
        <v>0</v>
      </c>
      <c r="BY91" s="25">
        <v>0</v>
      </c>
      <c r="BZ91" s="25">
        <v>0</v>
      </c>
      <c r="CA91" s="25">
        <v>0</v>
      </c>
      <c r="CB91" s="25">
        <v>0</v>
      </c>
      <c r="CC91" s="25">
        <v>0</v>
      </c>
      <c r="CD91" s="25">
        <v>0</v>
      </c>
      <c r="CE91" s="25">
        <v>0</v>
      </c>
      <c r="CF91" s="25">
        <v>0</v>
      </c>
      <c r="CG91" s="25">
        <v>0</v>
      </c>
      <c r="CH91" s="25">
        <v>0</v>
      </c>
      <c r="CI91" s="25">
        <v>0</v>
      </c>
      <c r="CJ91" s="25">
        <v>0</v>
      </c>
      <c r="CK91" s="22">
        <v>1</v>
      </c>
      <c r="CL91" s="25">
        <v>3</v>
      </c>
      <c r="CM91" s="41" t="s">
        <v>150</v>
      </c>
      <c r="CN91" s="41">
        <v>100</v>
      </c>
      <c r="CO91" s="41">
        <v>20180301</v>
      </c>
      <c r="CP91" s="41">
        <v>20180301</v>
      </c>
      <c r="CQ91" s="41" t="s">
        <v>198</v>
      </c>
      <c r="CR91" s="41" t="s">
        <v>200</v>
      </c>
      <c r="CS91" s="41">
        <v>20180301</v>
      </c>
      <c r="CT91" s="41">
        <v>0</v>
      </c>
      <c r="CU91" s="41">
        <v>0</v>
      </c>
      <c r="CV91" s="41"/>
      <c r="CW91" s="41">
        <v>0</v>
      </c>
      <c r="CX91" s="41" t="s">
        <v>140</v>
      </c>
      <c r="CY91" s="41">
        <v>818</v>
      </c>
      <c r="CZ91" s="41">
        <v>0</v>
      </c>
      <c r="DA91" s="41">
        <v>12</v>
      </c>
      <c r="DB91" s="41">
        <v>20180201</v>
      </c>
      <c r="DC91" s="41">
        <v>0</v>
      </c>
      <c r="DD91" s="41">
        <v>0</v>
      </c>
      <c r="DE91" s="41">
        <v>1</v>
      </c>
      <c r="DF91" s="25">
        <v>28</v>
      </c>
      <c r="DG91" s="25">
        <v>0</v>
      </c>
      <c r="DH91" s="25">
        <v>0</v>
      </c>
      <c r="DI91" s="25">
        <v>0</v>
      </c>
      <c r="DJ91" s="25">
        <v>0</v>
      </c>
      <c r="DK91" s="25">
        <v>0</v>
      </c>
      <c r="DL91" s="25">
        <v>0</v>
      </c>
      <c r="DM91" s="25">
        <v>0</v>
      </c>
      <c r="DN91" s="25">
        <v>0</v>
      </c>
      <c r="DO91" s="25">
        <v>0</v>
      </c>
      <c r="DP91" s="25">
        <v>0</v>
      </c>
      <c r="DQ91" s="25">
        <v>0</v>
      </c>
      <c r="DR91" s="25">
        <v>0</v>
      </c>
      <c r="DS91" s="25">
        <v>0</v>
      </c>
      <c r="DT91" s="25">
        <v>0</v>
      </c>
      <c r="DU91" s="25">
        <v>0</v>
      </c>
      <c r="DV91" s="25">
        <v>0</v>
      </c>
      <c r="DW91" s="23">
        <v>1</v>
      </c>
      <c r="DX91" s="25">
        <v>4</v>
      </c>
      <c r="DY91" s="41" t="s">
        <v>151</v>
      </c>
      <c r="DZ91" s="41">
        <v>100</v>
      </c>
      <c r="EA91" s="41">
        <v>20180301</v>
      </c>
      <c r="EB91" s="41">
        <v>20180301</v>
      </c>
      <c r="EC91" s="41" t="s">
        <v>198</v>
      </c>
      <c r="ED91" s="41" t="s">
        <v>201</v>
      </c>
      <c r="EE91" s="41">
        <v>20180301</v>
      </c>
      <c r="EF91" s="41">
        <v>0</v>
      </c>
      <c r="EG91" s="41">
        <v>0</v>
      </c>
      <c r="EH91" s="41"/>
      <c r="EI91" s="41">
        <v>0</v>
      </c>
      <c r="EJ91" s="41" t="s">
        <v>140</v>
      </c>
      <c r="EK91" s="41">
        <v>818</v>
      </c>
      <c r="EL91" s="41">
        <v>0</v>
      </c>
      <c r="EM91" s="41">
        <v>12</v>
      </c>
      <c r="EN91" s="41">
        <v>20180201</v>
      </c>
      <c r="EO91" s="41">
        <v>0</v>
      </c>
      <c r="EP91" s="41">
        <v>0</v>
      </c>
      <c r="EQ91" s="41">
        <v>1</v>
      </c>
      <c r="ER91" s="25">
        <v>28</v>
      </c>
      <c r="ES91" s="25">
        <v>0</v>
      </c>
      <c r="ET91" s="25">
        <v>0</v>
      </c>
      <c r="EU91" s="25">
        <v>0</v>
      </c>
      <c r="EV91" s="25">
        <v>0</v>
      </c>
      <c r="EW91" s="25">
        <v>0</v>
      </c>
      <c r="EX91" s="25">
        <v>0</v>
      </c>
      <c r="EY91" s="25">
        <v>0</v>
      </c>
      <c r="EZ91" s="25">
        <v>0</v>
      </c>
      <c r="FA91" s="25">
        <v>0</v>
      </c>
      <c r="FB91" s="25">
        <v>0</v>
      </c>
      <c r="FC91" s="25">
        <v>0</v>
      </c>
      <c r="FD91" s="25">
        <v>0</v>
      </c>
      <c r="FE91" s="25">
        <v>0</v>
      </c>
      <c r="FF91" s="25">
        <v>0</v>
      </c>
      <c r="FG91" s="25">
        <v>0</v>
      </c>
      <c r="FH91" s="25">
        <v>0</v>
      </c>
      <c r="FI91" s="25">
        <v>1</v>
      </c>
      <c r="FJ91" s="25">
        <v>1</v>
      </c>
      <c r="FK91" s="25">
        <v>1</v>
      </c>
      <c r="FL91" s="25">
        <v>28</v>
      </c>
      <c r="FM91" s="25" t="s">
        <v>137</v>
      </c>
      <c r="FN91" s="25">
        <v>19910101</v>
      </c>
      <c r="FP91" s="28">
        <v>4</v>
      </c>
      <c r="FQ91" s="47">
        <v>1</v>
      </c>
      <c r="FR91" s="41">
        <v>1</v>
      </c>
      <c r="FS91" s="41" t="str">
        <f t="shared" si="6"/>
        <v>MFUC</v>
      </c>
      <c r="FT91" s="41">
        <f t="shared" si="7"/>
        <v>818</v>
      </c>
      <c r="FU91" s="41">
        <f t="shared" si="8"/>
        <v>28</v>
      </c>
      <c r="FV91" s="41">
        <v>42400</v>
      </c>
      <c r="FW91" s="41">
        <v>11.66</v>
      </c>
      <c r="FX91" s="41"/>
      <c r="FY91" s="29">
        <v>0</v>
      </c>
      <c r="FZ91" s="29">
        <v>0</v>
      </c>
      <c r="GA91" s="30">
        <v>0</v>
      </c>
      <c r="GB91" s="30">
        <v>0</v>
      </c>
      <c r="GC91" s="29">
        <v>0</v>
      </c>
      <c r="GD91" s="41">
        <v>0</v>
      </c>
      <c r="GE91" s="29">
        <v>0</v>
      </c>
      <c r="GF91" s="29">
        <v>0</v>
      </c>
      <c r="GG91" s="29">
        <v>0</v>
      </c>
      <c r="GH91" s="29">
        <v>0</v>
      </c>
      <c r="GI91" s="29">
        <v>0</v>
      </c>
      <c r="GJ91" s="29">
        <v>0</v>
      </c>
      <c r="GK91" s="29">
        <v>0</v>
      </c>
      <c r="GL91" s="29">
        <v>0</v>
      </c>
      <c r="GM91" s="29">
        <v>0</v>
      </c>
      <c r="GN91" s="29">
        <v>0</v>
      </c>
      <c r="GO91" s="29">
        <v>0</v>
      </c>
      <c r="GP91" s="29">
        <v>0</v>
      </c>
      <c r="GQ91" s="29">
        <v>0</v>
      </c>
      <c r="GR91" s="18">
        <v>1</v>
      </c>
      <c r="GS91" s="41">
        <v>2</v>
      </c>
      <c r="GT91" s="41" t="str">
        <f t="shared" si="9"/>
        <v>PURO</v>
      </c>
      <c r="GU91" s="41">
        <v>818</v>
      </c>
      <c r="GV91" s="41">
        <v>24</v>
      </c>
      <c r="GW91" s="41">
        <v>0</v>
      </c>
      <c r="GX91" s="41">
        <v>1.06</v>
      </c>
      <c r="GY91" s="41"/>
      <c r="GZ91" s="41">
        <v>0</v>
      </c>
      <c r="HA91" s="41">
        <v>0</v>
      </c>
      <c r="HB91" s="42">
        <v>0</v>
      </c>
      <c r="HC91" s="42">
        <v>0</v>
      </c>
      <c r="HD91" s="41">
        <v>0</v>
      </c>
      <c r="HE91" s="41">
        <v>0</v>
      </c>
      <c r="HF91" s="41">
        <v>0</v>
      </c>
      <c r="HG91" s="41">
        <v>0</v>
      </c>
      <c r="HH91" s="41">
        <v>0</v>
      </c>
      <c r="HI91" s="41">
        <v>0</v>
      </c>
      <c r="HJ91" s="41">
        <v>0</v>
      </c>
      <c r="HK91" s="41">
        <v>0</v>
      </c>
      <c r="HL91" s="41">
        <v>0</v>
      </c>
      <c r="HM91" s="41">
        <v>0</v>
      </c>
      <c r="HN91" s="41">
        <v>0</v>
      </c>
      <c r="HO91" s="41">
        <v>0</v>
      </c>
      <c r="HP91" s="41">
        <v>0</v>
      </c>
      <c r="HQ91" s="41">
        <v>0</v>
      </c>
      <c r="HR91" s="41">
        <v>0</v>
      </c>
      <c r="HS91" s="24">
        <v>1</v>
      </c>
      <c r="HT91" s="41">
        <v>3</v>
      </c>
      <c r="HU91" s="41" t="str">
        <f t="shared" si="10"/>
        <v>PUDT</v>
      </c>
      <c r="HV91" s="41">
        <v>818</v>
      </c>
      <c r="HW91" s="41">
        <v>24</v>
      </c>
      <c r="HX91" s="41">
        <v>0</v>
      </c>
      <c r="HY91" s="41">
        <v>1.06</v>
      </c>
      <c r="HZ91" s="42"/>
      <c r="IA91" s="41">
        <v>0</v>
      </c>
      <c r="IB91" s="41">
        <v>0</v>
      </c>
      <c r="IC91" s="42">
        <v>0</v>
      </c>
      <c r="ID91" s="42">
        <v>0</v>
      </c>
      <c r="IE91" s="41">
        <v>0</v>
      </c>
      <c r="IF91" s="43">
        <v>0</v>
      </c>
      <c r="IG91" s="41">
        <v>0</v>
      </c>
      <c r="IH91" s="41">
        <v>0</v>
      </c>
      <c r="II91" s="41">
        <v>0</v>
      </c>
      <c r="IJ91" s="41">
        <v>0</v>
      </c>
      <c r="IK91" s="41">
        <v>0</v>
      </c>
      <c r="IL91" s="41">
        <v>0</v>
      </c>
      <c r="IM91" s="41">
        <v>0</v>
      </c>
      <c r="IN91" s="41">
        <v>0</v>
      </c>
      <c r="IO91" s="41">
        <v>0</v>
      </c>
      <c r="IP91" s="41">
        <v>0</v>
      </c>
      <c r="IQ91" s="41">
        <v>0</v>
      </c>
      <c r="IR91" s="41">
        <v>0</v>
      </c>
      <c r="IS91" s="41">
        <v>0</v>
      </c>
      <c r="IT91" s="17">
        <v>1</v>
      </c>
      <c r="IU91" s="41">
        <v>4</v>
      </c>
      <c r="IV91" s="41" t="str">
        <f t="shared" si="11"/>
        <v>PUDS</v>
      </c>
      <c r="IW91" s="41">
        <v>818</v>
      </c>
      <c r="IX91" s="41">
        <v>24</v>
      </c>
      <c r="IY91" s="41">
        <v>0</v>
      </c>
      <c r="IZ91" s="41">
        <v>1.06</v>
      </c>
      <c r="JA91" s="42"/>
      <c r="JB91" s="41">
        <v>0</v>
      </c>
      <c r="JC91" s="41">
        <v>0</v>
      </c>
      <c r="JD91" s="42">
        <v>0</v>
      </c>
      <c r="JE91" s="42">
        <v>0</v>
      </c>
      <c r="JF91" s="41">
        <v>0</v>
      </c>
      <c r="JG91" s="41">
        <v>0</v>
      </c>
      <c r="JH91" s="41">
        <v>0</v>
      </c>
      <c r="JI91" s="41">
        <v>0</v>
      </c>
      <c r="JJ91" s="41">
        <v>0</v>
      </c>
      <c r="JK91" s="41">
        <v>0</v>
      </c>
      <c r="JL91" s="41">
        <v>0</v>
      </c>
      <c r="JM91" s="41">
        <v>0</v>
      </c>
      <c r="JN91" s="41">
        <v>0</v>
      </c>
      <c r="JO91" s="41">
        <v>0</v>
      </c>
      <c r="JP91" s="41">
        <v>0</v>
      </c>
      <c r="JQ91" s="41">
        <v>0</v>
      </c>
      <c r="JR91" s="41">
        <v>0</v>
      </c>
      <c r="JS91" s="41">
        <v>0</v>
      </c>
      <c r="JT91" s="41">
        <v>0</v>
      </c>
      <c r="JU91"/>
    </row>
    <row r="92" spans="1:281" ht="15.75">
      <c r="A92" s="25">
        <v>86</v>
      </c>
      <c r="B92" s="25">
        <v>20190301</v>
      </c>
      <c r="C92" s="25"/>
      <c r="D92" s="25" t="s">
        <v>132</v>
      </c>
      <c r="E92" s="25" t="s">
        <v>132</v>
      </c>
      <c r="F92" s="25" t="s">
        <v>133</v>
      </c>
      <c r="G92" s="25"/>
      <c r="H92" s="25">
        <v>100000086</v>
      </c>
      <c r="I92" s="25" t="s">
        <v>134</v>
      </c>
      <c r="J92" s="25" t="s">
        <v>135</v>
      </c>
      <c r="K92" s="25" t="s">
        <v>132</v>
      </c>
      <c r="L92" s="25">
        <v>4</v>
      </c>
      <c r="M92" s="25">
        <v>1</v>
      </c>
      <c r="N92" s="25">
        <v>1</v>
      </c>
      <c r="O92" s="45" t="s">
        <v>144</v>
      </c>
      <c r="P92" s="25">
        <v>100</v>
      </c>
      <c r="Q92" s="25">
        <v>20180301</v>
      </c>
      <c r="R92" s="25">
        <v>20180301</v>
      </c>
      <c r="S92" s="25" t="s">
        <v>137</v>
      </c>
      <c r="T92" s="25" t="s">
        <v>147</v>
      </c>
      <c r="U92" s="25">
        <v>20190301</v>
      </c>
      <c r="V92" s="25">
        <v>6</v>
      </c>
      <c r="W92" s="25">
        <v>6</v>
      </c>
      <c r="X92" s="25" t="s">
        <v>139</v>
      </c>
      <c r="Y92" s="25">
        <v>0</v>
      </c>
      <c r="Z92" s="25" t="s">
        <v>140</v>
      </c>
      <c r="AA92" s="25">
        <v>818</v>
      </c>
      <c r="AB92" s="41">
        <v>0</v>
      </c>
      <c r="AC92" s="41">
        <v>12</v>
      </c>
      <c r="AD92" s="41">
        <v>20180201</v>
      </c>
      <c r="AE92" s="41">
        <v>0</v>
      </c>
      <c r="AF92" s="26">
        <v>45000</v>
      </c>
      <c r="AG92" s="41">
        <v>13</v>
      </c>
      <c r="AH92" s="26">
        <v>27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0</v>
      </c>
      <c r="AW92" s="26">
        <v>0</v>
      </c>
      <c r="AX92" s="26">
        <v>0</v>
      </c>
      <c r="AY92" s="46">
        <v>1</v>
      </c>
      <c r="AZ92" s="25">
        <v>2</v>
      </c>
      <c r="BA92" s="41" t="s">
        <v>203</v>
      </c>
      <c r="BB92" s="41">
        <v>100</v>
      </c>
      <c r="BC92" s="41">
        <v>20180301</v>
      </c>
      <c r="BD92" s="41">
        <v>20180301</v>
      </c>
      <c r="BE92" s="41" t="s">
        <v>198</v>
      </c>
      <c r="BF92" s="41" t="s">
        <v>149</v>
      </c>
      <c r="BG92" s="41">
        <v>20180301</v>
      </c>
      <c r="BH92" s="41">
        <v>0</v>
      </c>
      <c r="BI92" s="41">
        <v>0</v>
      </c>
      <c r="BJ92" s="41"/>
      <c r="BK92" s="41">
        <v>0</v>
      </c>
      <c r="BL92" s="41" t="s">
        <v>140</v>
      </c>
      <c r="BM92" s="41">
        <v>818</v>
      </c>
      <c r="BN92" s="41">
        <v>0</v>
      </c>
      <c r="BO92" s="41">
        <v>12</v>
      </c>
      <c r="BP92" s="41">
        <v>20180201</v>
      </c>
      <c r="BQ92" s="41">
        <v>0</v>
      </c>
      <c r="BR92" s="41">
        <v>0</v>
      </c>
      <c r="BS92" s="41">
        <v>1</v>
      </c>
      <c r="BT92" s="25">
        <v>27</v>
      </c>
      <c r="BU92" s="25">
        <v>0</v>
      </c>
      <c r="BV92" s="25">
        <v>0</v>
      </c>
      <c r="BW92" s="25">
        <v>0</v>
      </c>
      <c r="BX92" s="25">
        <v>0</v>
      </c>
      <c r="BY92" s="25">
        <v>0</v>
      </c>
      <c r="BZ92" s="25">
        <v>0</v>
      </c>
      <c r="CA92" s="25">
        <v>0</v>
      </c>
      <c r="CB92" s="25">
        <v>0</v>
      </c>
      <c r="CC92" s="25">
        <v>0</v>
      </c>
      <c r="CD92" s="25">
        <v>0</v>
      </c>
      <c r="CE92" s="25">
        <v>0</v>
      </c>
      <c r="CF92" s="25">
        <v>0</v>
      </c>
      <c r="CG92" s="25">
        <v>0</v>
      </c>
      <c r="CH92" s="25">
        <v>0</v>
      </c>
      <c r="CI92" s="25">
        <v>0</v>
      </c>
      <c r="CJ92" s="25">
        <v>0</v>
      </c>
      <c r="CK92" s="22">
        <v>1</v>
      </c>
      <c r="CL92" s="25">
        <v>3</v>
      </c>
      <c r="CM92" s="41" t="s">
        <v>150</v>
      </c>
      <c r="CN92" s="41">
        <v>100</v>
      </c>
      <c r="CO92" s="41">
        <v>20180301</v>
      </c>
      <c r="CP92" s="41">
        <v>20180301</v>
      </c>
      <c r="CQ92" s="41" t="s">
        <v>198</v>
      </c>
      <c r="CR92" s="41" t="s">
        <v>200</v>
      </c>
      <c r="CS92" s="41">
        <v>20180301</v>
      </c>
      <c r="CT92" s="41">
        <v>0</v>
      </c>
      <c r="CU92" s="41">
        <v>0</v>
      </c>
      <c r="CV92" s="41"/>
      <c r="CW92" s="41">
        <v>0</v>
      </c>
      <c r="CX92" s="41" t="s">
        <v>140</v>
      </c>
      <c r="CY92" s="41">
        <v>818</v>
      </c>
      <c r="CZ92" s="41">
        <v>0</v>
      </c>
      <c r="DA92" s="41">
        <v>12</v>
      </c>
      <c r="DB92" s="41">
        <v>20180201</v>
      </c>
      <c r="DC92" s="41">
        <v>0</v>
      </c>
      <c r="DD92" s="41">
        <v>0</v>
      </c>
      <c r="DE92" s="41">
        <v>1</v>
      </c>
      <c r="DF92" s="25">
        <v>27</v>
      </c>
      <c r="DG92" s="25">
        <v>0</v>
      </c>
      <c r="DH92" s="25">
        <v>0</v>
      </c>
      <c r="DI92" s="25">
        <v>0</v>
      </c>
      <c r="DJ92" s="25">
        <v>0</v>
      </c>
      <c r="DK92" s="25">
        <v>0</v>
      </c>
      <c r="DL92" s="25">
        <v>0</v>
      </c>
      <c r="DM92" s="25">
        <v>0</v>
      </c>
      <c r="DN92" s="25">
        <v>0</v>
      </c>
      <c r="DO92" s="25">
        <v>0</v>
      </c>
      <c r="DP92" s="25">
        <v>0</v>
      </c>
      <c r="DQ92" s="25">
        <v>0</v>
      </c>
      <c r="DR92" s="25">
        <v>0</v>
      </c>
      <c r="DS92" s="25">
        <v>0</v>
      </c>
      <c r="DT92" s="25">
        <v>0</v>
      </c>
      <c r="DU92" s="25">
        <v>0</v>
      </c>
      <c r="DV92" s="25">
        <v>0</v>
      </c>
      <c r="DW92" s="23">
        <v>1</v>
      </c>
      <c r="DX92" s="25">
        <v>4</v>
      </c>
      <c r="DY92" s="41" t="s">
        <v>151</v>
      </c>
      <c r="DZ92" s="41">
        <v>100</v>
      </c>
      <c r="EA92" s="41">
        <v>20180301</v>
      </c>
      <c r="EB92" s="41">
        <v>20180301</v>
      </c>
      <c r="EC92" s="41" t="s">
        <v>198</v>
      </c>
      <c r="ED92" s="41" t="s">
        <v>201</v>
      </c>
      <c r="EE92" s="41">
        <v>20180301</v>
      </c>
      <c r="EF92" s="41">
        <v>0</v>
      </c>
      <c r="EG92" s="41">
        <v>0</v>
      </c>
      <c r="EH92" s="41"/>
      <c r="EI92" s="41">
        <v>0</v>
      </c>
      <c r="EJ92" s="41" t="s">
        <v>140</v>
      </c>
      <c r="EK92" s="41">
        <v>818</v>
      </c>
      <c r="EL92" s="41">
        <v>0</v>
      </c>
      <c r="EM92" s="41">
        <v>12</v>
      </c>
      <c r="EN92" s="41">
        <v>20180201</v>
      </c>
      <c r="EO92" s="41">
        <v>0</v>
      </c>
      <c r="EP92" s="41">
        <v>0</v>
      </c>
      <c r="EQ92" s="41">
        <v>1</v>
      </c>
      <c r="ER92" s="25">
        <v>27</v>
      </c>
      <c r="ES92" s="25">
        <v>0</v>
      </c>
      <c r="ET92" s="25">
        <v>0</v>
      </c>
      <c r="EU92" s="25">
        <v>0</v>
      </c>
      <c r="EV92" s="25">
        <v>0</v>
      </c>
      <c r="EW92" s="25">
        <v>0</v>
      </c>
      <c r="EX92" s="25">
        <v>0</v>
      </c>
      <c r="EY92" s="25">
        <v>0</v>
      </c>
      <c r="EZ92" s="25">
        <v>0</v>
      </c>
      <c r="FA92" s="25">
        <v>0</v>
      </c>
      <c r="FB92" s="25">
        <v>0</v>
      </c>
      <c r="FC92" s="25">
        <v>0</v>
      </c>
      <c r="FD92" s="25">
        <v>0</v>
      </c>
      <c r="FE92" s="25">
        <v>0</v>
      </c>
      <c r="FF92" s="25">
        <v>0</v>
      </c>
      <c r="FG92" s="25">
        <v>0</v>
      </c>
      <c r="FH92" s="25">
        <v>0</v>
      </c>
      <c r="FI92" s="25">
        <v>1</v>
      </c>
      <c r="FJ92" s="25">
        <v>1</v>
      </c>
      <c r="FK92" s="25">
        <v>1</v>
      </c>
      <c r="FL92" s="25">
        <v>27</v>
      </c>
      <c r="FM92" s="25" t="s">
        <v>137</v>
      </c>
      <c r="FN92" s="25">
        <v>19920101</v>
      </c>
      <c r="FP92" s="28">
        <v>4</v>
      </c>
      <c r="FQ92" s="47">
        <v>1</v>
      </c>
      <c r="FR92" s="41">
        <v>1</v>
      </c>
      <c r="FS92" s="41" t="str">
        <f t="shared" si="6"/>
        <v>MFUC</v>
      </c>
      <c r="FT92" s="41">
        <f t="shared" si="7"/>
        <v>818</v>
      </c>
      <c r="FU92" s="41">
        <f t="shared" si="8"/>
        <v>27</v>
      </c>
      <c r="FV92" s="41">
        <v>47700</v>
      </c>
      <c r="FW92" s="41">
        <v>13.78</v>
      </c>
      <c r="FX92" s="41"/>
      <c r="FY92" s="29">
        <v>0</v>
      </c>
      <c r="FZ92" s="29">
        <v>0</v>
      </c>
      <c r="GA92" s="30">
        <v>0</v>
      </c>
      <c r="GB92" s="30">
        <v>0</v>
      </c>
      <c r="GC92" s="29">
        <v>0</v>
      </c>
      <c r="GD92" s="41">
        <v>0</v>
      </c>
      <c r="GE92" s="29">
        <v>0</v>
      </c>
      <c r="GF92" s="29">
        <v>0</v>
      </c>
      <c r="GG92" s="29">
        <v>0</v>
      </c>
      <c r="GH92" s="29">
        <v>0</v>
      </c>
      <c r="GI92" s="29">
        <v>0</v>
      </c>
      <c r="GJ92" s="29">
        <v>0</v>
      </c>
      <c r="GK92" s="29">
        <v>0</v>
      </c>
      <c r="GL92" s="29">
        <v>0</v>
      </c>
      <c r="GM92" s="29">
        <v>0</v>
      </c>
      <c r="GN92" s="29">
        <v>0</v>
      </c>
      <c r="GO92" s="29">
        <v>0</v>
      </c>
      <c r="GP92" s="29">
        <v>0</v>
      </c>
      <c r="GQ92" s="29">
        <v>0</v>
      </c>
      <c r="GR92" s="18">
        <v>1</v>
      </c>
      <c r="GS92" s="41">
        <v>2</v>
      </c>
      <c r="GT92" s="41" t="str">
        <f t="shared" si="9"/>
        <v>PURO</v>
      </c>
      <c r="GU92" s="41">
        <v>818</v>
      </c>
      <c r="GV92" s="41">
        <v>25</v>
      </c>
      <c r="GW92" s="41">
        <v>0</v>
      </c>
      <c r="GX92" s="41">
        <v>1.06</v>
      </c>
      <c r="GY92" s="41"/>
      <c r="GZ92" s="41">
        <v>0</v>
      </c>
      <c r="HA92" s="41">
        <v>0</v>
      </c>
      <c r="HB92" s="42">
        <v>0</v>
      </c>
      <c r="HC92" s="42">
        <v>0</v>
      </c>
      <c r="HD92" s="41">
        <v>0</v>
      </c>
      <c r="HE92" s="41">
        <v>0</v>
      </c>
      <c r="HF92" s="41">
        <v>0</v>
      </c>
      <c r="HG92" s="41">
        <v>0</v>
      </c>
      <c r="HH92" s="41">
        <v>0</v>
      </c>
      <c r="HI92" s="41">
        <v>0</v>
      </c>
      <c r="HJ92" s="41">
        <v>0</v>
      </c>
      <c r="HK92" s="41">
        <v>0</v>
      </c>
      <c r="HL92" s="41">
        <v>0</v>
      </c>
      <c r="HM92" s="41">
        <v>0</v>
      </c>
      <c r="HN92" s="41">
        <v>0</v>
      </c>
      <c r="HO92" s="41">
        <v>0</v>
      </c>
      <c r="HP92" s="41">
        <v>0</v>
      </c>
      <c r="HQ92" s="41">
        <v>0</v>
      </c>
      <c r="HR92" s="41">
        <v>0</v>
      </c>
      <c r="HS92" s="24">
        <v>1</v>
      </c>
      <c r="HT92" s="41">
        <v>3</v>
      </c>
      <c r="HU92" s="41" t="str">
        <f t="shared" si="10"/>
        <v>PUDT</v>
      </c>
      <c r="HV92" s="41">
        <v>818</v>
      </c>
      <c r="HW92" s="41">
        <v>25</v>
      </c>
      <c r="HX92" s="41">
        <v>0</v>
      </c>
      <c r="HY92" s="41">
        <v>1.06</v>
      </c>
      <c r="HZ92" s="42"/>
      <c r="IA92" s="41">
        <v>0</v>
      </c>
      <c r="IB92" s="41">
        <v>0</v>
      </c>
      <c r="IC92" s="42">
        <v>0</v>
      </c>
      <c r="ID92" s="42">
        <v>0</v>
      </c>
      <c r="IE92" s="41">
        <v>0</v>
      </c>
      <c r="IF92" s="43">
        <v>0</v>
      </c>
      <c r="IG92" s="41">
        <v>0</v>
      </c>
      <c r="IH92" s="41">
        <v>0</v>
      </c>
      <c r="II92" s="41">
        <v>0</v>
      </c>
      <c r="IJ92" s="41">
        <v>0</v>
      </c>
      <c r="IK92" s="41">
        <v>0</v>
      </c>
      <c r="IL92" s="41">
        <v>0</v>
      </c>
      <c r="IM92" s="41">
        <v>0</v>
      </c>
      <c r="IN92" s="41">
        <v>0</v>
      </c>
      <c r="IO92" s="41">
        <v>0</v>
      </c>
      <c r="IP92" s="41">
        <v>0</v>
      </c>
      <c r="IQ92" s="41">
        <v>0</v>
      </c>
      <c r="IR92" s="41">
        <v>0</v>
      </c>
      <c r="IS92" s="41">
        <v>0</v>
      </c>
      <c r="IT92" s="17">
        <v>1</v>
      </c>
      <c r="IU92" s="41">
        <v>4</v>
      </c>
      <c r="IV92" s="41" t="str">
        <f t="shared" si="11"/>
        <v>PUDS</v>
      </c>
      <c r="IW92" s="41">
        <v>818</v>
      </c>
      <c r="IX92" s="41">
        <v>25</v>
      </c>
      <c r="IY92" s="41">
        <v>0</v>
      </c>
      <c r="IZ92" s="41">
        <v>1.06</v>
      </c>
      <c r="JA92" s="42"/>
      <c r="JB92" s="41">
        <v>0</v>
      </c>
      <c r="JC92" s="41">
        <v>0</v>
      </c>
      <c r="JD92" s="42">
        <v>0</v>
      </c>
      <c r="JE92" s="42">
        <v>0</v>
      </c>
      <c r="JF92" s="41">
        <v>0</v>
      </c>
      <c r="JG92" s="41">
        <v>0</v>
      </c>
      <c r="JH92" s="41">
        <v>0</v>
      </c>
      <c r="JI92" s="41">
        <v>0</v>
      </c>
      <c r="JJ92" s="41">
        <v>0</v>
      </c>
      <c r="JK92" s="41">
        <v>0</v>
      </c>
      <c r="JL92" s="41">
        <v>0</v>
      </c>
      <c r="JM92" s="41">
        <v>0</v>
      </c>
      <c r="JN92" s="41">
        <v>0</v>
      </c>
      <c r="JO92" s="41">
        <v>0</v>
      </c>
      <c r="JP92" s="41">
        <v>0</v>
      </c>
      <c r="JQ92" s="41">
        <v>0</v>
      </c>
      <c r="JR92" s="41">
        <v>0</v>
      </c>
      <c r="JS92" s="41">
        <v>0</v>
      </c>
      <c r="JT92" s="41">
        <v>0</v>
      </c>
      <c r="JU92"/>
    </row>
    <row r="93" spans="1:281" ht="15.75">
      <c r="A93" s="25">
        <v>87</v>
      </c>
      <c r="B93" s="25">
        <v>20190301</v>
      </c>
      <c r="C93" s="25"/>
      <c r="D93" s="25" t="s">
        <v>132</v>
      </c>
      <c r="E93" s="25" t="s">
        <v>132</v>
      </c>
      <c r="F93" s="25" t="s">
        <v>133</v>
      </c>
      <c r="G93" s="25"/>
      <c r="H93" s="25">
        <v>100000087</v>
      </c>
      <c r="I93" s="25" t="s">
        <v>134</v>
      </c>
      <c r="J93" s="25" t="s">
        <v>135</v>
      </c>
      <c r="K93" s="25" t="s">
        <v>132</v>
      </c>
      <c r="L93" s="25">
        <v>4</v>
      </c>
      <c r="M93" s="25">
        <v>1</v>
      </c>
      <c r="N93" s="25">
        <v>1</v>
      </c>
      <c r="O93" s="45" t="s">
        <v>144</v>
      </c>
      <c r="P93" s="25">
        <v>100</v>
      </c>
      <c r="Q93" s="25">
        <v>20180301</v>
      </c>
      <c r="R93" s="25">
        <v>20180301</v>
      </c>
      <c r="S93" s="25" t="s">
        <v>137</v>
      </c>
      <c r="T93" s="25" t="s">
        <v>147</v>
      </c>
      <c r="U93" s="25">
        <v>20190301</v>
      </c>
      <c r="V93" s="25">
        <v>6</v>
      </c>
      <c r="W93" s="25">
        <v>6</v>
      </c>
      <c r="X93" s="25" t="s">
        <v>139</v>
      </c>
      <c r="Y93" s="25">
        <v>0</v>
      </c>
      <c r="Z93" s="25" t="s">
        <v>140</v>
      </c>
      <c r="AA93" s="25">
        <v>818</v>
      </c>
      <c r="AB93" s="41">
        <v>0</v>
      </c>
      <c r="AC93" s="41">
        <v>12</v>
      </c>
      <c r="AD93" s="41">
        <v>20180201</v>
      </c>
      <c r="AE93" s="41">
        <v>0</v>
      </c>
      <c r="AF93" s="26">
        <v>50000</v>
      </c>
      <c r="AG93" s="41">
        <v>14</v>
      </c>
      <c r="AH93" s="26">
        <v>26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0</v>
      </c>
      <c r="AW93" s="26">
        <v>0</v>
      </c>
      <c r="AX93" s="26">
        <v>0</v>
      </c>
      <c r="AY93" s="46">
        <v>1</v>
      </c>
      <c r="AZ93" s="25">
        <v>2</v>
      </c>
      <c r="BA93" s="41" t="s">
        <v>203</v>
      </c>
      <c r="BB93" s="41">
        <v>100</v>
      </c>
      <c r="BC93" s="41">
        <v>20180301</v>
      </c>
      <c r="BD93" s="41">
        <v>20180301</v>
      </c>
      <c r="BE93" s="41" t="s">
        <v>198</v>
      </c>
      <c r="BF93" s="41" t="s">
        <v>149</v>
      </c>
      <c r="BG93" s="41">
        <v>20180301</v>
      </c>
      <c r="BH93" s="41">
        <v>0</v>
      </c>
      <c r="BI93" s="41">
        <v>0</v>
      </c>
      <c r="BJ93" s="41"/>
      <c r="BK93" s="41">
        <v>0</v>
      </c>
      <c r="BL93" s="41" t="s">
        <v>140</v>
      </c>
      <c r="BM93" s="41">
        <v>818</v>
      </c>
      <c r="BN93" s="41">
        <v>0</v>
      </c>
      <c r="BO93" s="41">
        <v>12</v>
      </c>
      <c r="BP93" s="41">
        <v>20180201</v>
      </c>
      <c r="BQ93" s="41">
        <v>0</v>
      </c>
      <c r="BR93" s="41">
        <v>0</v>
      </c>
      <c r="BS93" s="41">
        <v>1</v>
      </c>
      <c r="BT93" s="25">
        <v>26</v>
      </c>
      <c r="BU93" s="25">
        <v>0</v>
      </c>
      <c r="BV93" s="25">
        <v>0</v>
      </c>
      <c r="BW93" s="25">
        <v>0</v>
      </c>
      <c r="BX93" s="25">
        <v>0</v>
      </c>
      <c r="BY93" s="25">
        <v>0</v>
      </c>
      <c r="BZ93" s="25">
        <v>0</v>
      </c>
      <c r="CA93" s="25">
        <v>0</v>
      </c>
      <c r="CB93" s="25">
        <v>0</v>
      </c>
      <c r="CC93" s="25">
        <v>0</v>
      </c>
      <c r="CD93" s="25">
        <v>0</v>
      </c>
      <c r="CE93" s="25">
        <v>0</v>
      </c>
      <c r="CF93" s="25">
        <v>0</v>
      </c>
      <c r="CG93" s="25">
        <v>0</v>
      </c>
      <c r="CH93" s="25">
        <v>0</v>
      </c>
      <c r="CI93" s="25">
        <v>0</v>
      </c>
      <c r="CJ93" s="25">
        <v>0</v>
      </c>
      <c r="CK93" s="22">
        <v>1</v>
      </c>
      <c r="CL93" s="25">
        <v>3</v>
      </c>
      <c r="CM93" s="41" t="s">
        <v>150</v>
      </c>
      <c r="CN93" s="41">
        <v>100</v>
      </c>
      <c r="CO93" s="41">
        <v>20180301</v>
      </c>
      <c r="CP93" s="41">
        <v>20180301</v>
      </c>
      <c r="CQ93" s="41" t="s">
        <v>198</v>
      </c>
      <c r="CR93" s="41" t="s">
        <v>200</v>
      </c>
      <c r="CS93" s="41">
        <v>20180301</v>
      </c>
      <c r="CT93" s="41">
        <v>0</v>
      </c>
      <c r="CU93" s="41">
        <v>0</v>
      </c>
      <c r="CV93" s="41"/>
      <c r="CW93" s="41">
        <v>0</v>
      </c>
      <c r="CX93" s="41" t="s">
        <v>140</v>
      </c>
      <c r="CY93" s="41">
        <v>818</v>
      </c>
      <c r="CZ93" s="41">
        <v>0</v>
      </c>
      <c r="DA93" s="41">
        <v>12</v>
      </c>
      <c r="DB93" s="41">
        <v>20180201</v>
      </c>
      <c r="DC93" s="41">
        <v>0</v>
      </c>
      <c r="DD93" s="41">
        <v>0</v>
      </c>
      <c r="DE93" s="41">
        <v>1</v>
      </c>
      <c r="DF93" s="25">
        <v>26</v>
      </c>
      <c r="DG93" s="25">
        <v>0</v>
      </c>
      <c r="DH93" s="25">
        <v>0</v>
      </c>
      <c r="DI93" s="25">
        <v>0</v>
      </c>
      <c r="DJ93" s="25">
        <v>0</v>
      </c>
      <c r="DK93" s="25">
        <v>0</v>
      </c>
      <c r="DL93" s="25">
        <v>0</v>
      </c>
      <c r="DM93" s="25">
        <v>0</v>
      </c>
      <c r="DN93" s="25">
        <v>0</v>
      </c>
      <c r="DO93" s="25">
        <v>0</v>
      </c>
      <c r="DP93" s="25">
        <v>0</v>
      </c>
      <c r="DQ93" s="25">
        <v>0</v>
      </c>
      <c r="DR93" s="25">
        <v>0</v>
      </c>
      <c r="DS93" s="25">
        <v>0</v>
      </c>
      <c r="DT93" s="25">
        <v>0</v>
      </c>
      <c r="DU93" s="25">
        <v>0</v>
      </c>
      <c r="DV93" s="25">
        <v>0</v>
      </c>
      <c r="DW93" s="23">
        <v>1</v>
      </c>
      <c r="DX93" s="25">
        <v>4</v>
      </c>
      <c r="DY93" s="41" t="s">
        <v>151</v>
      </c>
      <c r="DZ93" s="41">
        <v>100</v>
      </c>
      <c r="EA93" s="41">
        <v>20180301</v>
      </c>
      <c r="EB93" s="41">
        <v>20180301</v>
      </c>
      <c r="EC93" s="41" t="s">
        <v>198</v>
      </c>
      <c r="ED93" s="41" t="s">
        <v>201</v>
      </c>
      <c r="EE93" s="41">
        <v>20180301</v>
      </c>
      <c r="EF93" s="41">
        <v>0</v>
      </c>
      <c r="EG93" s="41">
        <v>0</v>
      </c>
      <c r="EH93" s="41"/>
      <c r="EI93" s="41">
        <v>0</v>
      </c>
      <c r="EJ93" s="41" t="s">
        <v>140</v>
      </c>
      <c r="EK93" s="41">
        <v>818</v>
      </c>
      <c r="EL93" s="41">
        <v>0</v>
      </c>
      <c r="EM93" s="41">
        <v>12</v>
      </c>
      <c r="EN93" s="41">
        <v>20180201</v>
      </c>
      <c r="EO93" s="41">
        <v>0</v>
      </c>
      <c r="EP93" s="41">
        <v>0</v>
      </c>
      <c r="EQ93" s="41">
        <v>1</v>
      </c>
      <c r="ER93" s="25">
        <v>26</v>
      </c>
      <c r="ES93" s="25">
        <v>0</v>
      </c>
      <c r="ET93" s="25">
        <v>0</v>
      </c>
      <c r="EU93" s="25">
        <v>0</v>
      </c>
      <c r="EV93" s="25">
        <v>0</v>
      </c>
      <c r="EW93" s="25">
        <v>0</v>
      </c>
      <c r="EX93" s="25">
        <v>0</v>
      </c>
      <c r="EY93" s="25">
        <v>0</v>
      </c>
      <c r="EZ93" s="25">
        <v>0</v>
      </c>
      <c r="FA93" s="25">
        <v>0</v>
      </c>
      <c r="FB93" s="25">
        <v>0</v>
      </c>
      <c r="FC93" s="25">
        <v>0</v>
      </c>
      <c r="FD93" s="25">
        <v>0</v>
      </c>
      <c r="FE93" s="25">
        <v>0</v>
      </c>
      <c r="FF93" s="25">
        <v>0</v>
      </c>
      <c r="FG93" s="25">
        <v>0</v>
      </c>
      <c r="FH93" s="25">
        <v>0</v>
      </c>
      <c r="FI93" s="25">
        <v>1</v>
      </c>
      <c r="FJ93" s="25">
        <v>1</v>
      </c>
      <c r="FK93" s="25">
        <v>1</v>
      </c>
      <c r="FL93" s="25">
        <v>26</v>
      </c>
      <c r="FM93" s="25" t="s">
        <v>137</v>
      </c>
      <c r="FN93" s="25">
        <v>19930101</v>
      </c>
      <c r="FP93" s="28">
        <v>4</v>
      </c>
      <c r="FQ93" s="47">
        <v>1</v>
      </c>
      <c r="FR93" s="41">
        <v>1</v>
      </c>
      <c r="FS93" s="41" t="str">
        <f t="shared" si="6"/>
        <v>MFUC</v>
      </c>
      <c r="FT93" s="41">
        <f t="shared" si="7"/>
        <v>818</v>
      </c>
      <c r="FU93" s="41">
        <f t="shared" si="8"/>
        <v>26</v>
      </c>
      <c r="FV93" s="41">
        <v>53000</v>
      </c>
      <c r="FW93" s="41">
        <v>14.84</v>
      </c>
      <c r="FX93" s="41"/>
      <c r="FY93" s="29">
        <v>0</v>
      </c>
      <c r="FZ93" s="29">
        <v>0</v>
      </c>
      <c r="GA93" s="30">
        <v>0</v>
      </c>
      <c r="GB93" s="30">
        <v>0</v>
      </c>
      <c r="GC93" s="29">
        <v>0</v>
      </c>
      <c r="GD93" s="41">
        <v>0</v>
      </c>
      <c r="GE93" s="29">
        <v>0</v>
      </c>
      <c r="GF93" s="29">
        <v>0</v>
      </c>
      <c r="GG93" s="29">
        <v>0</v>
      </c>
      <c r="GH93" s="29">
        <v>0</v>
      </c>
      <c r="GI93" s="29">
        <v>0</v>
      </c>
      <c r="GJ93" s="29">
        <v>0</v>
      </c>
      <c r="GK93" s="29">
        <v>0</v>
      </c>
      <c r="GL93" s="29">
        <v>0</v>
      </c>
      <c r="GM93" s="29">
        <v>0</v>
      </c>
      <c r="GN93" s="29">
        <v>0</v>
      </c>
      <c r="GO93" s="29">
        <v>0</v>
      </c>
      <c r="GP93" s="29">
        <v>0</v>
      </c>
      <c r="GQ93" s="29">
        <v>0</v>
      </c>
      <c r="GR93" s="18">
        <v>1</v>
      </c>
      <c r="GS93" s="41">
        <v>2</v>
      </c>
      <c r="GT93" s="41" t="str">
        <f t="shared" si="9"/>
        <v>PURO</v>
      </c>
      <c r="GU93" s="41">
        <v>818</v>
      </c>
      <c r="GV93" s="41">
        <v>26</v>
      </c>
      <c r="GW93" s="41">
        <v>0</v>
      </c>
      <c r="GX93" s="41">
        <v>1.06</v>
      </c>
      <c r="GY93" s="41"/>
      <c r="GZ93" s="41">
        <v>0</v>
      </c>
      <c r="HA93" s="41">
        <v>0</v>
      </c>
      <c r="HB93" s="42">
        <v>0</v>
      </c>
      <c r="HC93" s="42">
        <v>0</v>
      </c>
      <c r="HD93" s="41">
        <v>0</v>
      </c>
      <c r="HE93" s="41">
        <v>0</v>
      </c>
      <c r="HF93" s="41">
        <v>0</v>
      </c>
      <c r="HG93" s="41">
        <v>0</v>
      </c>
      <c r="HH93" s="41">
        <v>0</v>
      </c>
      <c r="HI93" s="41">
        <v>0</v>
      </c>
      <c r="HJ93" s="41">
        <v>0</v>
      </c>
      <c r="HK93" s="41">
        <v>0</v>
      </c>
      <c r="HL93" s="41">
        <v>0</v>
      </c>
      <c r="HM93" s="41">
        <v>0</v>
      </c>
      <c r="HN93" s="41">
        <v>0</v>
      </c>
      <c r="HO93" s="41">
        <v>0</v>
      </c>
      <c r="HP93" s="41">
        <v>0</v>
      </c>
      <c r="HQ93" s="41">
        <v>0</v>
      </c>
      <c r="HR93" s="41">
        <v>0</v>
      </c>
      <c r="HS93" s="24">
        <v>1</v>
      </c>
      <c r="HT93" s="41">
        <v>3</v>
      </c>
      <c r="HU93" s="41" t="str">
        <f t="shared" si="10"/>
        <v>PUDT</v>
      </c>
      <c r="HV93" s="41">
        <v>818</v>
      </c>
      <c r="HW93" s="41">
        <v>26</v>
      </c>
      <c r="HX93" s="41">
        <v>0</v>
      </c>
      <c r="HY93" s="41">
        <v>1.06</v>
      </c>
      <c r="HZ93" s="42"/>
      <c r="IA93" s="41">
        <v>0</v>
      </c>
      <c r="IB93" s="41">
        <v>0</v>
      </c>
      <c r="IC93" s="42">
        <v>0</v>
      </c>
      <c r="ID93" s="42">
        <v>0</v>
      </c>
      <c r="IE93" s="41">
        <v>0</v>
      </c>
      <c r="IF93" s="43">
        <v>0</v>
      </c>
      <c r="IG93" s="41">
        <v>0</v>
      </c>
      <c r="IH93" s="41">
        <v>0</v>
      </c>
      <c r="II93" s="41">
        <v>0</v>
      </c>
      <c r="IJ93" s="41">
        <v>0</v>
      </c>
      <c r="IK93" s="41">
        <v>0</v>
      </c>
      <c r="IL93" s="41">
        <v>0</v>
      </c>
      <c r="IM93" s="41">
        <v>0</v>
      </c>
      <c r="IN93" s="41">
        <v>0</v>
      </c>
      <c r="IO93" s="41">
        <v>0</v>
      </c>
      <c r="IP93" s="41">
        <v>0</v>
      </c>
      <c r="IQ93" s="41">
        <v>0</v>
      </c>
      <c r="IR93" s="41">
        <v>0</v>
      </c>
      <c r="IS93" s="41">
        <v>0</v>
      </c>
      <c r="IT93" s="17">
        <v>1</v>
      </c>
      <c r="IU93" s="41">
        <v>4</v>
      </c>
      <c r="IV93" s="41" t="str">
        <f t="shared" si="11"/>
        <v>PUDS</v>
      </c>
      <c r="IW93" s="41">
        <v>818</v>
      </c>
      <c r="IX93" s="41">
        <v>26</v>
      </c>
      <c r="IY93" s="41">
        <v>0</v>
      </c>
      <c r="IZ93" s="41">
        <v>1.06</v>
      </c>
      <c r="JA93" s="42"/>
      <c r="JB93" s="41">
        <v>0</v>
      </c>
      <c r="JC93" s="41">
        <v>0</v>
      </c>
      <c r="JD93" s="42">
        <v>0</v>
      </c>
      <c r="JE93" s="42">
        <v>0</v>
      </c>
      <c r="JF93" s="41">
        <v>0</v>
      </c>
      <c r="JG93" s="41">
        <v>0</v>
      </c>
      <c r="JH93" s="41">
        <v>0</v>
      </c>
      <c r="JI93" s="41">
        <v>0</v>
      </c>
      <c r="JJ93" s="41">
        <v>0</v>
      </c>
      <c r="JK93" s="41">
        <v>0</v>
      </c>
      <c r="JL93" s="41">
        <v>0</v>
      </c>
      <c r="JM93" s="41">
        <v>0</v>
      </c>
      <c r="JN93" s="41">
        <v>0</v>
      </c>
      <c r="JO93" s="41">
        <v>0</v>
      </c>
      <c r="JP93" s="41">
        <v>0</v>
      </c>
      <c r="JQ93" s="41">
        <v>0</v>
      </c>
      <c r="JR93" s="41">
        <v>0</v>
      </c>
      <c r="JS93" s="41">
        <v>0</v>
      </c>
      <c r="JT93" s="41">
        <v>0</v>
      </c>
      <c r="JU93"/>
    </row>
    <row r="94" spans="1:281" ht="15.75">
      <c r="A94" s="25">
        <v>88</v>
      </c>
      <c r="B94" s="25">
        <v>20190301</v>
      </c>
      <c r="C94" s="25"/>
      <c r="D94" s="25" t="s">
        <v>132</v>
      </c>
      <c r="E94" s="25" t="s">
        <v>132</v>
      </c>
      <c r="F94" s="25" t="s">
        <v>133</v>
      </c>
      <c r="G94" s="25"/>
      <c r="H94" s="25">
        <v>100000088</v>
      </c>
      <c r="I94" s="25" t="s">
        <v>134</v>
      </c>
      <c r="J94" s="25" t="s">
        <v>135</v>
      </c>
      <c r="K94" s="25" t="s">
        <v>132</v>
      </c>
      <c r="L94" s="25">
        <v>4</v>
      </c>
      <c r="M94" s="25">
        <v>1</v>
      </c>
      <c r="N94" s="25">
        <v>1</v>
      </c>
      <c r="O94" s="45" t="s">
        <v>144</v>
      </c>
      <c r="P94" s="25">
        <v>100</v>
      </c>
      <c r="Q94" s="25">
        <v>20180301</v>
      </c>
      <c r="R94" s="25">
        <v>20180301</v>
      </c>
      <c r="S94" s="25" t="s">
        <v>137</v>
      </c>
      <c r="T94" s="25" t="s">
        <v>147</v>
      </c>
      <c r="U94" s="25">
        <v>20190301</v>
      </c>
      <c r="V94" s="25">
        <v>6</v>
      </c>
      <c r="W94" s="25">
        <v>6</v>
      </c>
      <c r="X94" s="25" t="s">
        <v>139</v>
      </c>
      <c r="Y94" s="25">
        <v>0</v>
      </c>
      <c r="Z94" s="25" t="s">
        <v>140</v>
      </c>
      <c r="AA94" s="25">
        <v>818</v>
      </c>
      <c r="AB94" s="41">
        <v>0</v>
      </c>
      <c r="AC94" s="41">
        <v>12</v>
      </c>
      <c r="AD94" s="41">
        <v>20180201</v>
      </c>
      <c r="AE94" s="41">
        <v>0</v>
      </c>
      <c r="AF94" s="26">
        <v>55000</v>
      </c>
      <c r="AG94" s="41">
        <v>15</v>
      </c>
      <c r="AH94" s="26">
        <v>25</v>
      </c>
      <c r="AI94" s="26">
        <v>0</v>
      </c>
      <c r="AJ94" s="26">
        <v>0</v>
      </c>
      <c r="AK94" s="26">
        <v>0</v>
      </c>
      <c r="AL94" s="26">
        <v>0</v>
      </c>
      <c r="AM94" s="26">
        <v>0</v>
      </c>
      <c r="AN94" s="26">
        <v>0</v>
      </c>
      <c r="AO94" s="26">
        <v>0</v>
      </c>
      <c r="AP94" s="26">
        <v>0</v>
      </c>
      <c r="AQ94" s="26">
        <v>0</v>
      </c>
      <c r="AR94" s="26">
        <v>0</v>
      </c>
      <c r="AS94" s="26">
        <v>0</v>
      </c>
      <c r="AT94" s="26">
        <v>0</v>
      </c>
      <c r="AU94" s="26">
        <v>0</v>
      </c>
      <c r="AV94" s="26">
        <v>0</v>
      </c>
      <c r="AW94" s="26">
        <v>0</v>
      </c>
      <c r="AX94" s="26">
        <v>0</v>
      </c>
      <c r="AY94" s="46">
        <v>1</v>
      </c>
      <c r="AZ94" s="25">
        <v>2</v>
      </c>
      <c r="BA94" s="41" t="s">
        <v>203</v>
      </c>
      <c r="BB94" s="41">
        <v>100</v>
      </c>
      <c r="BC94" s="41">
        <v>20180301</v>
      </c>
      <c r="BD94" s="41">
        <v>20180301</v>
      </c>
      <c r="BE94" s="41" t="s">
        <v>198</v>
      </c>
      <c r="BF94" s="41" t="s">
        <v>149</v>
      </c>
      <c r="BG94" s="41">
        <v>20180301</v>
      </c>
      <c r="BH94" s="41">
        <v>0</v>
      </c>
      <c r="BI94" s="41">
        <v>0</v>
      </c>
      <c r="BJ94" s="41"/>
      <c r="BK94" s="41">
        <v>0</v>
      </c>
      <c r="BL94" s="41" t="s">
        <v>140</v>
      </c>
      <c r="BM94" s="41">
        <v>818</v>
      </c>
      <c r="BN94" s="41">
        <v>0</v>
      </c>
      <c r="BO94" s="41">
        <v>12</v>
      </c>
      <c r="BP94" s="41">
        <v>20180201</v>
      </c>
      <c r="BQ94" s="41">
        <v>0</v>
      </c>
      <c r="BR94" s="41">
        <v>0</v>
      </c>
      <c r="BS94" s="41">
        <v>1</v>
      </c>
      <c r="BT94" s="25">
        <v>25</v>
      </c>
      <c r="BU94" s="25">
        <v>0</v>
      </c>
      <c r="BV94" s="25">
        <v>0</v>
      </c>
      <c r="BW94" s="25">
        <v>0</v>
      </c>
      <c r="BX94" s="25">
        <v>0</v>
      </c>
      <c r="BY94" s="25">
        <v>0</v>
      </c>
      <c r="BZ94" s="25">
        <v>0</v>
      </c>
      <c r="CA94" s="25">
        <v>0</v>
      </c>
      <c r="CB94" s="25">
        <v>0</v>
      </c>
      <c r="CC94" s="25">
        <v>0</v>
      </c>
      <c r="CD94" s="25">
        <v>0</v>
      </c>
      <c r="CE94" s="25">
        <v>0</v>
      </c>
      <c r="CF94" s="25">
        <v>0</v>
      </c>
      <c r="CG94" s="25">
        <v>0</v>
      </c>
      <c r="CH94" s="25">
        <v>0</v>
      </c>
      <c r="CI94" s="25">
        <v>0</v>
      </c>
      <c r="CJ94" s="25">
        <v>0</v>
      </c>
      <c r="CK94" s="22">
        <v>1</v>
      </c>
      <c r="CL94" s="25">
        <v>3</v>
      </c>
      <c r="CM94" s="41" t="s">
        <v>150</v>
      </c>
      <c r="CN94" s="41">
        <v>100</v>
      </c>
      <c r="CO94" s="41">
        <v>20180301</v>
      </c>
      <c r="CP94" s="41">
        <v>20180301</v>
      </c>
      <c r="CQ94" s="41" t="s">
        <v>198</v>
      </c>
      <c r="CR94" s="41" t="s">
        <v>200</v>
      </c>
      <c r="CS94" s="41">
        <v>20180301</v>
      </c>
      <c r="CT94" s="41">
        <v>0</v>
      </c>
      <c r="CU94" s="41">
        <v>0</v>
      </c>
      <c r="CV94" s="41"/>
      <c r="CW94" s="41">
        <v>0</v>
      </c>
      <c r="CX94" s="41" t="s">
        <v>140</v>
      </c>
      <c r="CY94" s="41">
        <v>818</v>
      </c>
      <c r="CZ94" s="41">
        <v>0</v>
      </c>
      <c r="DA94" s="41">
        <v>12</v>
      </c>
      <c r="DB94" s="41">
        <v>20180201</v>
      </c>
      <c r="DC94" s="41">
        <v>0</v>
      </c>
      <c r="DD94" s="41">
        <v>0</v>
      </c>
      <c r="DE94" s="41">
        <v>1</v>
      </c>
      <c r="DF94" s="25">
        <v>25</v>
      </c>
      <c r="DG94" s="25">
        <v>0</v>
      </c>
      <c r="DH94" s="25">
        <v>0</v>
      </c>
      <c r="DI94" s="25">
        <v>0</v>
      </c>
      <c r="DJ94" s="25">
        <v>0</v>
      </c>
      <c r="DK94" s="25">
        <v>0</v>
      </c>
      <c r="DL94" s="25">
        <v>0</v>
      </c>
      <c r="DM94" s="25">
        <v>0</v>
      </c>
      <c r="DN94" s="25">
        <v>0</v>
      </c>
      <c r="DO94" s="25">
        <v>0</v>
      </c>
      <c r="DP94" s="25">
        <v>0</v>
      </c>
      <c r="DQ94" s="25">
        <v>0</v>
      </c>
      <c r="DR94" s="25">
        <v>0</v>
      </c>
      <c r="DS94" s="25">
        <v>0</v>
      </c>
      <c r="DT94" s="25">
        <v>0</v>
      </c>
      <c r="DU94" s="25">
        <v>0</v>
      </c>
      <c r="DV94" s="25">
        <v>0</v>
      </c>
      <c r="DW94" s="23">
        <v>1</v>
      </c>
      <c r="DX94" s="25">
        <v>4</v>
      </c>
      <c r="DY94" s="41" t="s">
        <v>151</v>
      </c>
      <c r="DZ94" s="41">
        <v>100</v>
      </c>
      <c r="EA94" s="41">
        <v>20180301</v>
      </c>
      <c r="EB94" s="41">
        <v>20180301</v>
      </c>
      <c r="EC94" s="41" t="s">
        <v>198</v>
      </c>
      <c r="ED94" s="41" t="s">
        <v>201</v>
      </c>
      <c r="EE94" s="41">
        <v>20180301</v>
      </c>
      <c r="EF94" s="41">
        <v>0</v>
      </c>
      <c r="EG94" s="41">
        <v>0</v>
      </c>
      <c r="EH94" s="41"/>
      <c r="EI94" s="41">
        <v>0</v>
      </c>
      <c r="EJ94" s="41" t="s">
        <v>140</v>
      </c>
      <c r="EK94" s="41">
        <v>818</v>
      </c>
      <c r="EL94" s="41">
        <v>0</v>
      </c>
      <c r="EM94" s="41">
        <v>12</v>
      </c>
      <c r="EN94" s="41">
        <v>20180201</v>
      </c>
      <c r="EO94" s="41">
        <v>0</v>
      </c>
      <c r="EP94" s="41">
        <v>0</v>
      </c>
      <c r="EQ94" s="41">
        <v>1</v>
      </c>
      <c r="ER94" s="25">
        <v>25</v>
      </c>
      <c r="ES94" s="25">
        <v>0</v>
      </c>
      <c r="ET94" s="25">
        <v>0</v>
      </c>
      <c r="EU94" s="25">
        <v>0</v>
      </c>
      <c r="EV94" s="25">
        <v>0</v>
      </c>
      <c r="EW94" s="25">
        <v>0</v>
      </c>
      <c r="EX94" s="25">
        <v>0</v>
      </c>
      <c r="EY94" s="25">
        <v>0</v>
      </c>
      <c r="EZ94" s="25">
        <v>0</v>
      </c>
      <c r="FA94" s="25">
        <v>0</v>
      </c>
      <c r="FB94" s="25">
        <v>0</v>
      </c>
      <c r="FC94" s="25">
        <v>0</v>
      </c>
      <c r="FD94" s="25">
        <v>0</v>
      </c>
      <c r="FE94" s="25">
        <v>0</v>
      </c>
      <c r="FF94" s="25">
        <v>0</v>
      </c>
      <c r="FG94" s="25">
        <v>0</v>
      </c>
      <c r="FH94" s="25">
        <v>0</v>
      </c>
      <c r="FI94" s="25">
        <v>1</v>
      </c>
      <c r="FJ94" s="25">
        <v>1</v>
      </c>
      <c r="FK94" s="25">
        <v>1</v>
      </c>
      <c r="FL94" s="25">
        <v>25</v>
      </c>
      <c r="FM94" s="25" t="s">
        <v>137</v>
      </c>
      <c r="FN94" s="25">
        <v>19940101</v>
      </c>
      <c r="FP94" s="28">
        <v>4</v>
      </c>
      <c r="FQ94" s="47">
        <v>1</v>
      </c>
      <c r="FR94" s="41">
        <v>1</v>
      </c>
      <c r="FS94" s="41" t="str">
        <f t="shared" si="6"/>
        <v>MFUC</v>
      </c>
      <c r="FT94" s="41">
        <f t="shared" si="7"/>
        <v>818</v>
      </c>
      <c r="FU94" s="41">
        <f t="shared" si="8"/>
        <v>25</v>
      </c>
      <c r="FV94" s="41">
        <v>58300</v>
      </c>
      <c r="FW94" s="41">
        <v>15.9</v>
      </c>
      <c r="FX94" s="41"/>
      <c r="FY94" s="29">
        <v>0</v>
      </c>
      <c r="FZ94" s="29">
        <v>0</v>
      </c>
      <c r="GA94" s="30">
        <v>0</v>
      </c>
      <c r="GB94" s="30">
        <v>0</v>
      </c>
      <c r="GC94" s="29">
        <v>0</v>
      </c>
      <c r="GD94" s="41">
        <v>0</v>
      </c>
      <c r="GE94" s="29">
        <v>0</v>
      </c>
      <c r="GF94" s="29">
        <v>0</v>
      </c>
      <c r="GG94" s="29">
        <v>0</v>
      </c>
      <c r="GH94" s="29">
        <v>0</v>
      </c>
      <c r="GI94" s="29">
        <v>0</v>
      </c>
      <c r="GJ94" s="29">
        <v>0</v>
      </c>
      <c r="GK94" s="29">
        <v>0</v>
      </c>
      <c r="GL94" s="29">
        <v>0</v>
      </c>
      <c r="GM94" s="29">
        <v>0</v>
      </c>
      <c r="GN94" s="29">
        <v>0</v>
      </c>
      <c r="GO94" s="29">
        <v>0</v>
      </c>
      <c r="GP94" s="29">
        <v>0</v>
      </c>
      <c r="GQ94" s="29">
        <v>0</v>
      </c>
      <c r="GR94" s="18">
        <v>1</v>
      </c>
      <c r="GS94" s="41">
        <v>2</v>
      </c>
      <c r="GT94" s="41" t="str">
        <f t="shared" si="9"/>
        <v>PURO</v>
      </c>
      <c r="GU94" s="41">
        <v>818</v>
      </c>
      <c r="GV94" s="41">
        <v>27</v>
      </c>
      <c r="GW94" s="41">
        <v>0</v>
      </c>
      <c r="GX94" s="41">
        <v>1.06</v>
      </c>
      <c r="GY94" s="41"/>
      <c r="GZ94" s="41">
        <v>0</v>
      </c>
      <c r="HA94" s="41">
        <v>0</v>
      </c>
      <c r="HB94" s="42">
        <v>0</v>
      </c>
      <c r="HC94" s="42">
        <v>0</v>
      </c>
      <c r="HD94" s="41">
        <v>0</v>
      </c>
      <c r="HE94" s="41">
        <v>0</v>
      </c>
      <c r="HF94" s="41">
        <v>0</v>
      </c>
      <c r="HG94" s="41">
        <v>0</v>
      </c>
      <c r="HH94" s="41">
        <v>0</v>
      </c>
      <c r="HI94" s="41">
        <v>0</v>
      </c>
      <c r="HJ94" s="41">
        <v>0</v>
      </c>
      <c r="HK94" s="41">
        <v>0</v>
      </c>
      <c r="HL94" s="41">
        <v>0</v>
      </c>
      <c r="HM94" s="41">
        <v>0</v>
      </c>
      <c r="HN94" s="41">
        <v>0</v>
      </c>
      <c r="HO94" s="41">
        <v>0</v>
      </c>
      <c r="HP94" s="41">
        <v>0</v>
      </c>
      <c r="HQ94" s="41">
        <v>0</v>
      </c>
      <c r="HR94" s="41">
        <v>0</v>
      </c>
      <c r="HS94" s="24">
        <v>1</v>
      </c>
      <c r="HT94" s="41">
        <v>3</v>
      </c>
      <c r="HU94" s="41" t="str">
        <f t="shared" si="10"/>
        <v>PUDT</v>
      </c>
      <c r="HV94" s="41">
        <v>818</v>
      </c>
      <c r="HW94" s="41">
        <v>27</v>
      </c>
      <c r="HX94" s="41">
        <v>0</v>
      </c>
      <c r="HY94" s="41">
        <v>1.06</v>
      </c>
      <c r="HZ94" s="42"/>
      <c r="IA94" s="41">
        <v>0</v>
      </c>
      <c r="IB94" s="41">
        <v>0</v>
      </c>
      <c r="IC94" s="42">
        <v>0</v>
      </c>
      <c r="ID94" s="42">
        <v>0</v>
      </c>
      <c r="IE94" s="41">
        <v>0</v>
      </c>
      <c r="IF94" s="43">
        <v>0</v>
      </c>
      <c r="IG94" s="41">
        <v>0</v>
      </c>
      <c r="IH94" s="41">
        <v>0</v>
      </c>
      <c r="II94" s="41">
        <v>0</v>
      </c>
      <c r="IJ94" s="41">
        <v>0</v>
      </c>
      <c r="IK94" s="41">
        <v>0</v>
      </c>
      <c r="IL94" s="41">
        <v>0</v>
      </c>
      <c r="IM94" s="41">
        <v>0</v>
      </c>
      <c r="IN94" s="41">
        <v>0</v>
      </c>
      <c r="IO94" s="41">
        <v>0</v>
      </c>
      <c r="IP94" s="41">
        <v>0</v>
      </c>
      <c r="IQ94" s="41">
        <v>0</v>
      </c>
      <c r="IR94" s="41">
        <v>0</v>
      </c>
      <c r="IS94" s="41">
        <v>0</v>
      </c>
      <c r="IT94" s="17">
        <v>1</v>
      </c>
      <c r="IU94" s="41">
        <v>4</v>
      </c>
      <c r="IV94" s="41" t="str">
        <f t="shared" si="11"/>
        <v>PUDS</v>
      </c>
      <c r="IW94" s="41">
        <v>818</v>
      </c>
      <c r="IX94" s="41">
        <v>27</v>
      </c>
      <c r="IY94" s="41">
        <v>0</v>
      </c>
      <c r="IZ94" s="41">
        <v>1.06</v>
      </c>
      <c r="JA94" s="42"/>
      <c r="JB94" s="41">
        <v>0</v>
      </c>
      <c r="JC94" s="41">
        <v>0</v>
      </c>
      <c r="JD94" s="42">
        <v>0</v>
      </c>
      <c r="JE94" s="42">
        <v>0</v>
      </c>
      <c r="JF94" s="41">
        <v>0</v>
      </c>
      <c r="JG94" s="41">
        <v>0</v>
      </c>
      <c r="JH94" s="41">
        <v>0</v>
      </c>
      <c r="JI94" s="41">
        <v>0</v>
      </c>
      <c r="JJ94" s="41">
        <v>0</v>
      </c>
      <c r="JK94" s="41">
        <v>0</v>
      </c>
      <c r="JL94" s="41">
        <v>0</v>
      </c>
      <c r="JM94" s="41">
        <v>0</v>
      </c>
      <c r="JN94" s="41">
        <v>0</v>
      </c>
      <c r="JO94" s="41">
        <v>0</v>
      </c>
      <c r="JP94" s="41">
        <v>0</v>
      </c>
      <c r="JQ94" s="41">
        <v>0</v>
      </c>
      <c r="JR94" s="41">
        <v>0</v>
      </c>
      <c r="JS94" s="41">
        <v>0</v>
      </c>
      <c r="JT94" s="41">
        <v>0</v>
      </c>
      <c r="JU94"/>
    </row>
    <row r="95" spans="1:281" ht="15.75">
      <c r="A95" s="25">
        <v>89</v>
      </c>
      <c r="B95" s="25">
        <v>20190301</v>
      </c>
      <c r="C95" s="25"/>
      <c r="D95" s="25" t="s">
        <v>132</v>
      </c>
      <c r="E95" s="25" t="s">
        <v>132</v>
      </c>
      <c r="F95" s="25" t="s">
        <v>133</v>
      </c>
      <c r="G95" s="25"/>
      <c r="H95" s="25">
        <v>100000089</v>
      </c>
      <c r="I95" s="25" t="s">
        <v>134</v>
      </c>
      <c r="J95" s="25" t="s">
        <v>135</v>
      </c>
      <c r="K95" s="25" t="s">
        <v>132</v>
      </c>
      <c r="L95" s="25">
        <v>4</v>
      </c>
      <c r="M95" s="25">
        <v>1</v>
      </c>
      <c r="N95" s="25">
        <v>1</v>
      </c>
      <c r="O95" s="45" t="s">
        <v>144</v>
      </c>
      <c r="P95" s="25">
        <v>100</v>
      </c>
      <c r="Q95" s="25">
        <v>20180301</v>
      </c>
      <c r="R95" s="25">
        <v>20180301</v>
      </c>
      <c r="S95" s="25" t="s">
        <v>137</v>
      </c>
      <c r="T95" s="25" t="s">
        <v>149</v>
      </c>
      <c r="U95" s="25">
        <v>20190301</v>
      </c>
      <c r="V95" s="25">
        <v>6</v>
      </c>
      <c r="W95" s="25">
        <v>6</v>
      </c>
      <c r="X95" s="25" t="s">
        <v>139</v>
      </c>
      <c r="Y95" s="25">
        <v>0</v>
      </c>
      <c r="Z95" s="25" t="s">
        <v>140</v>
      </c>
      <c r="AA95" s="25">
        <v>818</v>
      </c>
      <c r="AB95" s="41">
        <v>0</v>
      </c>
      <c r="AC95" s="41">
        <v>12</v>
      </c>
      <c r="AD95" s="41">
        <v>20180201</v>
      </c>
      <c r="AE95" s="41">
        <v>0</v>
      </c>
      <c r="AF95" s="26">
        <v>60000</v>
      </c>
      <c r="AG95" s="41">
        <v>17</v>
      </c>
      <c r="AH95" s="26">
        <v>24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>
        <v>0</v>
      </c>
      <c r="AW95" s="26">
        <v>0</v>
      </c>
      <c r="AX95" s="26">
        <v>0</v>
      </c>
      <c r="AY95" s="46">
        <v>1</v>
      </c>
      <c r="AZ95" s="25">
        <v>2</v>
      </c>
      <c r="BA95" s="41" t="s">
        <v>203</v>
      </c>
      <c r="BB95" s="41">
        <v>100</v>
      </c>
      <c r="BC95" s="41">
        <v>20180301</v>
      </c>
      <c r="BD95" s="41">
        <v>20180301</v>
      </c>
      <c r="BE95" s="41" t="s">
        <v>198</v>
      </c>
      <c r="BF95" s="41" t="s">
        <v>149</v>
      </c>
      <c r="BG95" s="41">
        <v>20180301</v>
      </c>
      <c r="BH95" s="41">
        <v>0</v>
      </c>
      <c r="BI95" s="41">
        <v>0</v>
      </c>
      <c r="BJ95" s="41"/>
      <c r="BK95" s="41">
        <v>0</v>
      </c>
      <c r="BL95" s="41" t="s">
        <v>140</v>
      </c>
      <c r="BM95" s="41">
        <v>818</v>
      </c>
      <c r="BN95" s="41">
        <v>0</v>
      </c>
      <c r="BO95" s="41">
        <v>12</v>
      </c>
      <c r="BP95" s="41">
        <v>20180201</v>
      </c>
      <c r="BQ95" s="41">
        <v>0</v>
      </c>
      <c r="BR95" s="41">
        <v>0</v>
      </c>
      <c r="BS95" s="41">
        <v>1</v>
      </c>
      <c r="BT95" s="25">
        <v>24</v>
      </c>
      <c r="BU95" s="25">
        <v>0</v>
      </c>
      <c r="BV95" s="25">
        <v>0</v>
      </c>
      <c r="BW95" s="25">
        <v>0</v>
      </c>
      <c r="BX95" s="25">
        <v>0</v>
      </c>
      <c r="BY95" s="25">
        <v>0</v>
      </c>
      <c r="BZ95" s="25">
        <v>0</v>
      </c>
      <c r="CA95" s="25">
        <v>0</v>
      </c>
      <c r="CB95" s="25">
        <v>0</v>
      </c>
      <c r="CC95" s="25">
        <v>0</v>
      </c>
      <c r="CD95" s="25">
        <v>0</v>
      </c>
      <c r="CE95" s="25">
        <v>0</v>
      </c>
      <c r="CF95" s="25">
        <v>0</v>
      </c>
      <c r="CG95" s="25">
        <v>0</v>
      </c>
      <c r="CH95" s="25">
        <v>0</v>
      </c>
      <c r="CI95" s="25">
        <v>0</v>
      </c>
      <c r="CJ95" s="25">
        <v>0</v>
      </c>
      <c r="CK95" s="22">
        <v>1</v>
      </c>
      <c r="CL95" s="25">
        <v>3</v>
      </c>
      <c r="CM95" s="41" t="s">
        <v>150</v>
      </c>
      <c r="CN95" s="41">
        <v>100</v>
      </c>
      <c r="CO95" s="41">
        <v>20180301</v>
      </c>
      <c r="CP95" s="41">
        <v>20180301</v>
      </c>
      <c r="CQ95" s="41" t="s">
        <v>198</v>
      </c>
      <c r="CR95" s="41" t="s">
        <v>200</v>
      </c>
      <c r="CS95" s="41">
        <v>20180301</v>
      </c>
      <c r="CT95" s="41">
        <v>0</v>
      </c>
      <c r="CU95" s="41">
        <v>0</v>
      </c>
      <c r="CV95" s="41"/>
      <c r="CW95" s="41">
        <v>0</v>
      </c>
      <c r="CX95" s="41" t="s">
        <v>140</v>
      </c>
      <c r="CY95" s="41">
        <v>818</v>
      </c>
      <c r="CZ95" s="41">
        <v>0</v>
      </c>
      <c r="DA95" s="41">
        <v>12</v>
      </c>
      <c r="DB95" s="41">
        <v>20180201</v>
      </c>
      <c r="DC95" s="41">
        <v>0</v>
      </c>
      <c r="DD95" s="41">
        <v>0</v>
      </c>
      <c r="DE95" s="41">
        <v>1</v>
      </c>
      <c r="DF95" s="25">
        <v>24</v>
      </c>
      <c r="DG95" s="25">
        <v>0</v>
      </c>
      <c r="DH95" s="25">
        <v>0</v>
      </c>
      <c r="DI95" s="25">
        <v>0</v>
      </c>
      <c r="DJ95" s="25">
        <v>0</v>
      </c>
      <c r="DK95" s="25">
        <v>0</v>
      </c>
      <c r="DL95" s="25">
        <v>0</v>
      </c>
      <c r="DM95" s="25">
        <v>0</v>
      </c>
      <c r="DN95" s="25">
        <v>0</v>
      </c>
      <c r="DO95" s="25">
        <v>0</v>
      </c>
      <c r="DP95" s="25">
        <v>0</v>
      </c>
      <c r="DQ95" s="25">
        <v>0</v>
      </c>
      <c r="DR95" s="25">
        <v>0</v>
      </c>
      <c r="DS95" s="25">
        <v>0</v>
      </c>
      <c r="DT95" s="25">
        <v>0</v>
      </c>
      <c r="DU95" s="25">
        <v>0</v>
      </c>
      <c r="DV95" s="25">
        <v>0</v>
      </c>
      <c r="DW95" s="23">
        <v>1</v>
      </c>
      <c r="DX95" s="25">
        <v>4</v>
      </c>
      <c r="DY95" s="41" t="s">
        <v>151</v>
      </c>
      <c r="DZ95" s="41">
        <v>100</v>
      </c>
      <c r="EA95" s="41">
        <v>20180301</v>
      </c>
      <c r="EB95" s="41">
        <v>20180301</v>
      </c>
      <c r="EC95" s="41" t="s">
        <v>198</v>
      </c>
      <c r="ED95" s="41" t="s">
        <v>201</v>
      </c>
      <c r="EE95" s="41">
        <v>20180301</v>
      </c>
      <c r="EF95" s="41">
        <v>0</v>
      </c>
      <c r="EG95" s="41">
        <v>0</v>
      </c>
      <c r="EH95" s="41"/>
      <c r="EI95" s="41">
        <v>0</v>
      </c>
      <c r="EJ95" s="41" t="s">
        <v>140</v>
      </c>
      <c r="EK95" s="41">
        <v>818</v>
      </c>
      <c r="EL95" s="41">
        <v>0</v>
      </c>
      <c r="EM95" s="41">
        <v>12</v>
      </c>
      <c r="EN95" s="41">
        <v>20180201</v>
      </c>
      <c r="EO95" s="41">
        <v>0</v>
      </c>
      <c r="EP95" s="41">
        <v>0</v>
      </c>
      <c r="EQ95" s="41">
        <v>1</v>
      </c>
      <c r="ER95" s="25">
        <v>24</v>
      </c>
      <c r="ES95" s="25">
        <v>0</v>
      </c>
      <c r="ET95" s="25">
        <v>0</v>
      </c>
      <c r="EU95" s="25">
        <v>0</v>
      </c>
      <c r="EV95" s="25">
        <v>0</v>
      </c>
      <c r="EW95" s="25">
        <v>0</v>
      </c>
      <c r="EX95" s="25">
        <v>0</v>
      </c>
      <c r="EY95" s="25">
        <v>0</v>
      </c>
      <c r="EZ95" s="25">
        <v>0</v>
      </c>
      <c r="FA95" s="25">
        <v>0</v>
      </c>
      <c r="FB95" s="25">
        <v>0</v>
      </c>
      <c r="FC95" s="25">
        <v>0</v>
      </c>
      <c r="FD95" s="25">
        <v>0</v>
      </c>
      <c r="FE95" s="25">
        <v>0</v>
      </c>
      <c r="FF95" s="25">
        <v>0</v>
      </c>
      <c r="FG95" s="25">
        <v>0</v>
      </c>
      <c r="FH95" s="25">
        <v>0</v>
      </c>
      <c r="FI95" s="25">
        <v>1</v>
      </c>
      <c r="FJ95" s="25">
        <v>1</v>
      </c>
      <c r="FK95" s="25">
        <v>1</v>
      </c>
      <c r="FL95" s="25">
        <v>24</v>
      </c>
      <c r="FM95" s="25" t="s">
        <v>137</v>
      </c>
      <c r="FN95" s="25">
        <v>19950101</v>
      </c>
      <c r="FP95" s="28">
        <v>4</v>
      </c>
      <c r="FQ95" s="47">
        <v>1</v>
      </c>
      <c r="FR95" s="41">
        <v>1</v>
      </c>
      <c r="FS95" s="41" t="str">
        <f t="shared" si="6"/>
        <v>MFUC</v>
      </c>
      <c r="FT95" s="41">
        <f t="shared" si="7"/>
        <v>818</v>
      </c>
      <c r="FU95" s="41">
        <f t="shared" si="8"/>
        <v>24</v>
      </c>
      <c r="FV95" s="41">
        <v>63600</v>
      </c>
      <c r="FW95" s="41">
        <v>18.02</v>
      </c>
      <c r="FX95" s="41"/>
      <c r="FY95" s="29">
        <v>0</v>
      </c>
      <c r="FZ95" s="29">
        <v>0</v>
      </c>
      <c r="GA95" s="30">
        <v>0</v>
      </c>
      <c r="GB95" s="30">
        <v>0</v>
      </c>
      <c r="GC95" s="29">
        <v>0</v>
      </c>
      <c r="GD95" s="41">
        <v>0</v>
      </c>
      <c r="GE95" s="29">
        <v>0</v>
      </c>
      <c r="GF95" s="29">
        <v>0</v>
      </c>
      <c r="GG95" s="29">
        <v>0</v>
      </c>
      <c r="GH95" s="29">
        <v>0</v>
      </c>
      <c r="GI95" s="29">
        <v>0</v>
      </c>
      <c r="GJ95" s="29">
        <v>0</v>
      </c>
      <c r="GK95" s="29">
        <v>0</v>
      </c>
      <c r="GL95" s="29">
        <v>0</v>
      </c>
      <c r="GM95" s="29">
        <v>0</v>
      </c>
      <c r="GN95" s="29">
        <v>0</v>
      </c>
      <c r="GO95" s="29">
        <v>0</v>
      </c>
      <c r="GP95" s="29">
        <v>0</v>
      </c>
      <c r="GQ95" s="29">
        <v>0</v>
      </c>
      <c r="GR95" s="18">
        <v>1</v>
      </c>
      <c r="GS95" s="41">
        <v>2</v>
      </c>
      <c r="GT95" s="41" t="str">
        <f t="shared" si="9"/>
        <v>PURO</v>
      </c>
      <c r="GU95" s="41">
        <v>818</v>
      </c>
      <c r="GV95" s="41">
        <v>26</v>
      </c>
      <c r="GW95" s="41">
        <v>0</v>
      </c>
      <c r="GX95" s="41">
        <v>1.06</v>
      </c>
      <c r="GY95" s="41"/>
      <c r="GZ95" s="41">
        <v>0</v>
      </c>
      <c r="HA95" s="41">
        <v>0</v>
      </c>
      <c r="HB95" s="42">
        <v>0</v>
      </c>
      <c r="HC95" s="42">
        <v>0</v>
      </c>
      <c r="HD95" s="41">
        <v>0</v>
      </c>
      <c r="HE95" s="41">
        <v>0</v>
      </c>
      <c r="HF95" s="41">
        <v>0</v>
      </c>
      <c r="HG95" s="41">
        <v>0</v>
      </c>
      <c r="HH95" s="41">
        <v>0</v>
      </c>
      <c r="HI95" s="41">
        <v>0</v>
      </c>
      <c r="HJ95" s="41">
        <v>0</v>
      </c>
      <c r="HK95" s="41">
        <v>0</v>
      </c>
      <c r="HL95" s="41">
        <v>0</v>
      </c>
      <c r="HM95" s="41">
        <v>0</v>
      </c>
      <c r="HN95" s="41">
        <v>0</v>
      </c>
      <c r="HO95" s="41">
        <v>0</v>
      </c>
      <c r="HP95" s="41">
        <v>0</v>
      </c>
      <c r="HQ95" s="41">
        <v>0</v>
      </c>
      <c r="HR95" s="41">
        <v>0</v>
      </c>
      <c r="HS95" s="24">
        <v>1</v>
      </c>
      <c r="HT95" s="41">
        <v>3</v>
      </c>
      <c r="HU95" s="41" t="str">
        <f t="shared" si="10"/>
        <v>PUDT</v>
      </c>
      <c r="HV95" s="41">
        <v>818</v>
      </c>
      <c r="HW95" s="41">
        <v>26</v>
      </c>
      <c r="HX95" s="41">
        <v>0</v>
      </c>
      <c r="HY95" s="41">
        <v>1.06</v>
      </c>
      <c r="HZ95" s="42"/>
      <c r="IA95" s="41">
        <v>0</v>
      </c>
      <c r="IB95" s="41">
        <v>0</v>
      </c>
      <c r="IC95" s="42">
        <v>0</v>
      </c>
      <c r="ID95" s="42">
        <v>0</v>
      </c>
      <c r="IE95" s="41">
        <v>0</v>
      </c>
      <c r="IF95" s="43">
        <v>0</v>
      </c>
      <c r="IG95" s="41">
        <v>0</v>
      </c>
      <c r="IH95" s="41">
        <v>0</v>
      </c>
      <c r="II95" s="41">
        <v>0</v>
      </c>
      <c r="IJ95" s="41">
        <v>0</v>
      </c>
      <c r="IK95" s="41">
        <v>0</v>
      </c>
      <c r="IL95" s="41">
        <v>0</v>
      </c>
      <c r="IM95" s="41">
        <v>0</v>
      </c>
      <c r="IN95" s="41">
        <v>0</v>
      </c>
      <c r="IO95" s="41">
        <v>0</v>
      </c>
      <c r="IP95" s="41">
        <v>0</v>
      </c>
      <c r="IQ95" s="41">
        <v>0</v>
      </c>
      <c r="IR95" s="41">
        <v>0</v>
      </c>
      <c r="IS95" s="41">
        <v>0</v>
      </c>
      <c r="IT95" s="17">
        <v>1</v>
      </c>
      <c r="IU95" s="41">
        <v>4</v>
      </c>
      <c r="IV95" s="41" t="str">
        <f t="shared" si="11"/>
        <v>PUDS</v>
      </c>
      <c r="IW95" s="41">
        <v>818</v>
      </c>
      <c r="IX95" s="41">
        <v>26</v>
      </c>
      <c r="IY95" s="41">
        <v>0</v>
      </c>
      <c r="IZ95" s="41">
        <v>1.06</v>
      </c>
      <c r="JA95" s="42"/>
      <c r="JB95" s="41">
        <v>0</v>
      </c>
      <c r="JC95" s="41">
        <v>0</v>
      </c>
      <c r="JD95" s="42">
        <v>0</v>
      </c>
      <c r="JE95" s="42">
        <v>0</v>
      </c>
      <c r="JF95" s="41">
        <v>0</v>
      </c>
      <c r="JG95" s="41">
        <v>0</v>
      </c>
      <c r="JH95" s="41">
        <v>0</v>
      </c>
      <c r="JI95" s="41">
        <v>0</v>
      </c>
      <c r="JJ95" s="41">
        <v>0</v>
      </c>
      <c r="JK95" s="41">
        <v>0</v>
      </c>
      <c r="JL95" s="41">
        <v>0</v>
      </c>
      <c r="JM95" s="41">
        <v>0</v>
      </c>
      <c r="JN95" s="41">
        <v>0</v>
      </c>
      <c r="JO95" s="41">
        <v>0</v>
      </c>
      <c r="JP95" s="41">
        <v>0</v>
      </c>
      <c r="JQ95" s="41">
        <v>0</v>
      </c>
      <c r="JR95" s="41">
        <v>0</v>
      </c>
      <c r="JS95" s="41">
        <v>0</v>
      </c>
      <c r="JT95" s="41">
        <v>0</v>
      </c>
      <c r="JU95"/>
    </row>
    <row r="96" spans="1:281" ht="15.75">
      <c r="A96" s="25">
        <v>90</v>
      </c>
      <c r="B96" s="25">
        <v>20190301</v>
      </c>
      <c r="C96" s="25"/>
      <c r="D96" s="25" t="s">
        <v>132</v>
      </c>
      <c r="E96" s="25" t="s">
        <v>132</v>
      </c>
      <c r="F96" s="25" t="s">
        <v>133</v>
      </c>
      <c r="G96" s="25"/>
      <c r="H96" s="25">
        <v>100000090</v>
      </c>
      <c r="I96" s="25" t="s">
        <v>134</v>
      </c>
      <c r="J96" s="25" t="s">
        <v>135</v>
      </c>
      <c r="K96" s="25" t="s">
        <v>132</v>
      </c>
      <c r="L96" s="25">
        <v>4</v>
      </c>
      <c r="M96" s="25">
        <v>1</v>
      </c>
      <c r="N96" s="25">
        <v>1</v>
      </c>
      <c r="O96" s="45" t="s">
        <v>144</v>
      </c>
      <c r="P96" s="25">
        <v>100</v>
      </c>
      <c r="Q96" s="25">
        <v>20180301</v>
      </c>
      <c r="R96" s="25">
        <v>20180301</v>
      </c>
      <c r="S96" s="25" t="s">
        <v>137</v>
      </c>
      <c r="T96" s="25" t="s">
        <v>149</v>
      </c>
      <c r="U96" s="25">
        <v>20190301</v>
      </c>
      <c r="V96" s="25">
        <v>6</v>
      </c>
      <c r="W96" s="25">
        <v>6</v>
      </c>
      <c r="X96" s="25" t="s">
        <v>139</v>
      </c>
      <c r="Y96" s="25">
        <v>0</v>
      </c>
      <c r="Z96" s="25" t="s">
        <v>140</v>
      </c>
      <c r="AA96" s="25">
        <v>818</v>
      </c>
      <c r="AB96" s="41">
        <v>0</v>
      </c>
      <c r="AC96" s="41">
        <v>12</v>
      </c>
      <c r="AD96" s="41">
        <v>20180201</v>
      </c>
      <c r="AE96" s="41">
        <v>0</v>
      </c>
      <c r="AF96" s="26">
        <v>65000</v>
      </c>
      <c r="AG96" s="41">
        <v>18</v>
      </c>
      <c r="AH96" s="26">
        <v>23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0</v>
      </c>
      <c r="AQ96" s="26">
        <v>0</v>
      </c>
      <c r="AR96" s="26">
        <v>0</v>
      </c>
      <c r="AS96" s="26">
        <v>0</v>
      </c>
      <c r="AT96" s="26">
        <v>0</v>
      </c>
      <c r="AU96" s="26">
        <v>0</v>
      </c>
      <c r="AV96" s="26">
        <v>0</v>
      </c>
      <c r="AW96" s="26">
        <v>0</v>
      </c>
      <c r="AX96" s="26">
        <v>0</v>
      </c>
      <c r="AY96" s="46">
        <v>1</v>
      </c>
      <c r="AZ96" s="25">
        <v>2</v>
      </c>
      <c r="BA96" s="41" t="s">
        <v>203</v>
      </c>
      <c r="BB96" s="41">
        <v>100</v>
      </c>
      <c r="BC96" s="41">
        <v>20180301</v>
      </c>
      <c r="BD96" s="41">
        <v>20180301</v>
      </c>
      <c r="BE96" s="41" t="s">
        <v>198</v>
      </c>
      <c r="BF96" s="41" t="s">
        <v>149</v>
      </c>
      <c r="BG96" s="41">
        <v>20180301</v>
      </c>
      <c r="BH96" s="41">
        <v>0</v>
      </c>
      <c r="BI96" s="41">
        <v>0</v>
      </c>
      <c r="BJ96" s="41"/>
      <c r="BK96" s="41">
        <v>0</v>
      </c>
      <c r="BL96" s="41" t="s">
        <v>140</v>
      </c>
      <c r="BM96" s="41">
        <v>818</v>
      </c>
      <c r="BN96" s="41">
        <v>0</v>
      </c>
      <c r="BO96" s="41">
        <v>12</v>
      </c>
      <c r="BP96" s="41">
        <v>20180201</v>
      </c>
      <c r="BQ96" s="41">
        <v>0</v>
      </c>
      <c r="BR96" s="41">
        <v>0</v>
      </c>
      <c r="BS96" s="41">
        <v>1</v>
      </c>
      <c r="BT96" s="25">
        <v>23</v>
      </c>
      <c r="BU96" s="25">
        <v>0</v>
      </c>
      <c r="BV96" s="25">
        <v>0</v>
      </c>
      <c r="BW96" s="25">
        <v>0</v>
      </c>
      <c r="BX96" s="25">
        <v>0</v>
      </c>
      <c r="BY96" s="25">
        <v>0</v>
      </c>
      <c r="BZ96" s="25">
        <v>0</v>
      </c>
      <c r="CA96" s="25">
        <v>0</v>
      </c>
      <c r="CB96" s="25">
        <v>0</v>
      </c>
      <c r="CC96" s="25">
        <v>0</v>
      </c>
      <c r="CD96" s="25">
        <v>0</v>
      </c>
      <c r="CE96" s="25">
        <v>0</v>
      </c>
      <c r="CF96" s="25">
        <v>0</v>
      </c>
      <c r="CG96" s="25">
        <v>0</v>
      </c>
      <c r="CH96" s="25">
        <v>0</v>
      </c>
      <c r="CI96" s="25">
        <v>0</v>
      </c>
      <c r="CJ96" s="25">
        <v>0</v>
      </c>
      <c r="CK96" s="22">
        <v>1</v>
      </c>
      <c r="CL96" s="25">
        <v>3</v>
      </c>
      <c r="CM96" s="41" t="s">
        <v>150</v>
      </c>
      <c r="CN96" s="41">
        <v>100</v>
      </c>
      <c r="CO96" s="41">
        <v>20180301</v>
      </c>
      <c r="CP96" s="41">
        <v>20180301</v>
      </c>
      <c r="CQ96" s="41" t="s">
        <v>198</v>
      </c>
      <c r="CR96" s="41" t="s">
        <v>200</v>
      </c>
      <c r="CS96" s="41">
        <v>20180301</v>
      </c>
      <c r="CT96" s="41">
        <v>0</v>
      </c>
      <c r="CU96" s="41">
        <v>0</v>
      </c>
      <c r="CV96" s="41"/>
      <c r="CW96" s="41">
        <v>0</v>
      </c>
      <c r="CX96" s="41" t="s">
        <v>140</v>
      </c>
      <c r="CY96" s="41">
        <v>818</v>
      </c>
      <c r="CZ96" s="41">
        <v>0</v>
      </c>
      <c r="DA96" s="41">
        <v>12</v>
      </c>
      <c r="DB96" s="41">
        <v>20180201</v>
      </c>
      <c r="DC96" s="41">
        <v>0</v>
      </c>
      <c r="DD96" s="41">
        <v>0</v>
      </c>
      <c r="DE96" s="41">
        <v>1</v>
      </c>
      <c r="DF96" s="25">
        <v>23</v>
      </c>
      <c r="DG96" s="25">
        <v>0</v>
      </c>
      <c r="DH96" s="25">
        <v>0</v>
      </c>
      <c r="DI96" s="25">
        <v>0</v>
      </c>
      <c r="DJ96" s="25">
        <v>0</v>
      </c>
      <c r="DK96" s="25">
        <v>0</v>
      </c>
      <c r="DL96" s="25">
        <v>0</v>
      </c>
      <c r="DM96" s="25">
        <v>0</v>
      </c>
      <c r="DN96" s="25">
        <v>0</v>
      </c>
      <c r="DO96" s="25">
        <v>0</v>
      </c>
      <c r="DP96" s="25">
        <v>0</v>
      </c>
      <c r="DQ96" s="25">
        <v>0</v>
      </c>
      <c r="DR96" s="25">
        <v>0</v>
      </c>
      <c r="DS96" s="25">
        <v>0</v>
      </c>
      <c r="DT96" s="25">
        <v>0</v>
      </c>
      <c r="DU96" s="25">
        <v>0</v>
      </c>
      <c r="DV96" s="25">
        <v>0</v>
      </c>
      <c r="DW96" s="23">
        <v>1</v>
      </c>
      <c r="DX96" s="25">
        <v>4</v>
      </c>
      <c r="DY96" s="41" t="s">
        <v>151</v>
      </c>
      <c r="DZ96" s="41">
        <v>100</v>
      </c>
      <c r="EA96" s="41">
        <v>20180301</v>
      </c>
      <c r="EB96" s="41">
        <v>20180301</v>
      </c>
      <c r="EC96" s="41" t="s">
        <v>198</v>
      </c>
      <c r="ED96" s="41" t="s">
        <v>201</v>
      </c>
      <c r="EE96" s="41">
        <v>20180301</v>
      </c>
      <c r="EF96" s="41">
        <v>0</v>
      </c>
      <c r="EG96" s="41">
        <v>0</v>
      </c>
      <c r="EH96" s="41"/>
      <c r="EI96" s="41">
        <v>0</v>
      </c>
      <c r="EJ96" s="41" t="s">
        <v>140</v>
      </c>
      <c r="EK96" s="41">
        <v>818</v>
      </c>
      <c r="EL96" s="41">
        <v>0</v>
      </c>
      <c r="EM96" s="41">
        <v>12</v>
      </c>
      <c r="EN96" s="41">
        <v>20180201</v>
      </c>
      <c r="EO96" s="41">
        <v>0</v>
      </c>
      <c r="EP96" s="41">
        <v>0</v>
      </c>
      <c r="EQ96" s="41">
        <v>1</v>
      </c>
      <c r="ER96" s="25">
        <v>23</v>
      </c>
      <c r="ES96" s="25">
        <v>0</v>
      </c>
      <c r="ET96" s="25">
        <v>0</v>
      </c>
      <c r="EU96" s="25">
        <v>0</v>
      </c>
      <c r="EV96" s="25">
        <v>0</v>
      </c>
      <c r="EW96" s="25">
        <v>0</v>
      </c>
      <c r="EX96" s="25">
        <v>0</v>
      </c>
      <c r="EY96" s="25">
        <v>0</v>
      </c>
      <c r="EZ96" s="25">
        <v>0</v>
      </c>
      <c r="FA96" s="25">
        <v>0</v>
      </c>
      <c r="FB96" s="25">
        <v>0</v>
      </c>
      <c r="FC96" s="25">
        <v>0</v>
      </c>
      <c r="FD96" s="25">
        <v>0</v>
      </c>
      <c r="FE96" s="25">
        <v>0</v>
      </c>
      <c r="FF96" s="25">
        <v>0</v>
      </c>
      <c r="FG96" s="25">
        <v>0</v>
      </c>
      <c r="FH96" s="25">
        <v>0</v>
      </c>
      <c r="FI96" s="25">
        <v>1</v>
      </c>
      <c r="FJ96" s="25">
        <v>1</v>
      </c>
      <c r="FK96" s="25">
        <v>1</v>
      </c>
      <c r="FL96" s="25">
        <v>23</v>
      </c>
      <c r="FM96" s="25" t="s">
        <v>137</v>
      </c>
      <c r="FN96" s="25">
        <v>19960101</v>
      </c>
      <c r="FP96" s="28">
        <v>4</v>
      </c>
      <c r="FQ96" s="47">
        <v>1</v>
      </c>
      <c r="FR96" s="41">
        <v>1</v>
      </c>
      <c r="FS96" s="41" t="str">
        <f t="shared" si="6"/>
        <v>MFUC</v>
      </c>
      <c r="FT96" s="41">
        <f t="shared" si="7"/>
        <v>818</v>
      </c>
      <c r="FU96" s="41">
        <f t="shared" si="8"/>
        <v>23</v>
      </c>
      <c r="FV96" s="41">
        <v>68900</v>
      </c>
      <c r="FW96" s="41">
        <v>19.079999999999998</v>
      </c>
      <c r="FX96" s="41"/>
      <c r="FY96" s="29">
        <v>0</v>
      </c>
      <c r="FZ96" s="29">
        <v>0</v>
      </c>
      <c r="GA96" s="30">
        <v>0</v>
      </c>
      <c r="GB96" s="30">
        <v>0</v>
      </c>
      <c r="GC96" s="29">
        <v>0</v>
      </c>
      <c r="GD96" s="41">
        <v>0</v>
      </c>
      <c r="GE96" s="29">
        <v>0</v>
      </c>
      <c r="GF96" s="29">
        <v>0</v>
      </c>
      <c r="GG96" s="29">
        <v>0</v>
      </c>
      <c r="GH96" s="29">
        <v>0</v>
      </c>
      <c r="GI96" s="29">
        <v>0</v>
      </c>
      <c r="GJ96" s="29">
        <v>0</v>
      </c>
      <c r="GK96" s="29">
        <v>0</v>
      </c>
      <c r="GL96" s="29">
        <v>0</v>
      </c>
      <c r="GM96" s="29">
        <v>0</v>
      </c>
      <c r="GN96" s="29">
        <v>0</v>
      </c>
      <c r="GO96" s="29">
        <v>0</v>
      </c>
      <c r="GP96" s="29">
        <v>0</v>
      </c>
      <c r="GQ96" s="29">
        <v>0</v>
      </c>
      <c r="GR96" s="18">
        <v>1</v>
      </c>
      <c r="GS96" s="41">
        <v>2</v>
      </c>
      <c r="GT96" s="41" t="str">
        <f t="shared" si="9"/>
        <v>PURO</v>
      </c>
      <c r="GU96" s="41">
        <v>818</v>
      </c>
      <c r="GV96" s="41">
        <v>27</v>
      </c>
      <c r="GW96" s="41">
        <v>0</v>
      </c>
      <c r="GX96" s="41">
        <v>1.06</v>
      </c>
      <c r="GY96" s="41"/>
      <c r="GZ96" s="41">
        <v>0</v>
      </c>
      <c r="HA96" s="41">
        <v>0</v>
      </c>
      <c r="HB96" s="42">
        <v>0</v>
      </c>
      <c r="HC96" s="42">
        <v>0</v>
      </c>
      <c r="HD96" s="41">
        <v>0</v>
      </c>
      <c r="HE96" s="41">
        <v>0</v>
      </c>
      <c r="HF96" s="41">
        <v>0</v>
      </c>
      <c r="HG96" s="41">
        <v>0</v>
      </c>
      <c r="HH96" s="41">
        <v>0</v>
      </c>
      <c r="HI96" s="41">
        <v>0</v>
      </c>
      <c r="HJ96" s="41">
        <v>0</v>
      </c>
      <c r="HK96" s="41">
        <v>0</v>
      </c>
      <c r="HL96" s="41">
        <v>0</v>
      </c>
      <c r="HM96" s="41">
        <v>0</v>
      </c>
      <c r="HN96" s="41">
        <v>0</v>
      </c>
      <c r="HO96" s="41">
        <v>0</v>
      </c>
      <c r="HP96" s="41">
        <v>0</v>
      </c>
      <c r="HQ96" s="41">
        <v>0</v>
      </c>
      <c r="HR96" s="41">
        <v>0</v>
      </c>
      <c r="HS96" s="24">
        <v>1</v>
      </c>
      <c r="HT96" s="41">
        <v>3</v>
      </c>
      <c r="HU96" s="41" t="str">
        <f t="shared" si="10"/>
        <v>PUDT</v>
      </c>
      <c r="HV96" s="41">
        <v>818</v>
      </c>
      <c r="HW96" s="41">
        <v>27</v>
      </c>
      <c r="HX96" s="41">
        <v>0</v>
      </c>
      <c r="HY96" s="41">
        <v>1.06</v>
      </c>
      <c r="HZ96" s="42"/>
      <c r="IA96" s="41">
        <v>0</v>
      </c>
      <c r="IB96" s="41">
        <v>0</v>
      </c>
      <c r="IC96" s="42">
        <v>0</v>
      </c>
      <c r="ID96" s="42">
        <v>0</v>
      </c>
      <c r="IE96" s="41">
        <v>0</v>
      </c>
      <c r="IF96" s="43">
        <v>0</v>
      </c>
      <c r="IG96" s="41">
        <v>0</v>
      </c>
      <c r="IH96" s="41">
        <v>0</v>
      </c>
      <c r="II96" s="41">
        <v>0</v>
      </c>
      <c r="IJ96" s="41">
        <v>0</v>
      </c>
      <c r="IK96" s="41">
        <v>0</v>
      </c>
      <c r="IL96" s="41">
        <v>0</v>
      </c>
      <c r="IM96" s="41">
        <v>0</v>
      </c>
      <c r="IN96" s="41">
        <v>0</v>
      </c>
      <c r="IO96" s="41">
        <v>0</v>
      </c>
      <c r="IP96" s="41">
        <v>0</v>
      </c>
      <c r="IQ96" s="41">
        <v>0</v>
      </c>
      <c r="IR96" s="41">
        <v>0</v>
      </c>
      <c r="IS96" s="41">
        <v>0</v>
      </c>
      <c r="IT96" s="17">
        <v>1</v>
      </c>
      <c r="IU96" s="41">
        <v>4</v>
      </c>
      <c r="IV96" s="41" t="str">
        <f t="shared" si="11"/>
        <v>PUDS</v>
      </c>
      <c r="IW96" s="41">
        <v>818</v>
      </c>
      <c r="IX96" s="41">
        <v>27</v>
      </c>
      <c r="IY96" s="41">
        <v>0</v>
      </c>
      <c r="IZ96" s="41">
        <v>1.06</v>
      </c>
      <c r="JA96" s="42"/>
      <c r="JB96" s="41">
        <v>0</v>
      </c>
      <c r="JC96" s="41">
        <v>0</v>
      </c>
      <c r="JD96" s="42">
        <v>0</v>
      </c>
      <c r="JE96" s="42">
        <v>0</v>
      </c>
      <c r="JF96" s="41">
        <v>0</v>
      </c>
      <c r="JG96" s="41">
        <v>0</v>
      </c>
      <c r="JH96" s="41">
        <v>0</v>
      </c>
      <c r="JI96" s="41">
        <v>0</v>
      </c>
      <c r="JJ96" s="41">
        <v>0</v>
      </c>
      <c r="JK96" s="41">
        <v>0</v>
      </c>
      <c r="JL96" s="41">
        <v>0</v>
      </c>
      <c r="JM96" s="41">
        <v>0</v>
      </c>
      <c r="JN96" s="41">
        <v>0</v>
      </c>
      <c r="JO96" s="41">
        <v>0</v>
      </c>
      <c r="JP96" s="41">
        <v>0</v>
      </c>
      <c r="JQ96" s="41">
        <v>0</v>
      </c>
      <c r="JR96" s="41">
        <v>0</v>
      </c>
      <c r="JS96" s="41">
        <v>0</v>
      </c>
      <c r="JT96" s="41">
        <v>0</v>
      </c>
      <c r="JU96"/>
    </row>
    <row r="97" spans="1:281" ht="15.75">
      <c r="A97" s="25">
        <v>91</v>
      </c>
      <c r="B97" s="25">
        <v>20190301</v>
      </c>
      <c r="C97" s="25"/>
      <c r="D97" s="25" t="s">
        <v>132</v>
      </c>
      <c r="E97" s="25" t="s">
        <v>132</v>
      </c>
      <c r="F97" s="25" t="s">
        <v>133</v>
      </c>
      <c r="G97" s="25"/>
      <c r="H97" s="25">
        <v>100000091</v>
      </c>
      <c r="I97" s="25" t="s">
        <v>134</v>
      </c>
      <c r="J97" s="25" t="s">
        <v>135</v>
      </c>
      <c r="K97" s="25" t="s">
        <v>132</v>
      </c>
      <c r="L97" s="25">
        <v>4</v>
      </c>
      <c r="M97" s="25">
        <v>1</v>
      </c>
      <c r="N97" s="25">
        <v>1</v>
      </c>
      <c r="O97" s="45" t="s">
        <v>144</v>
      </c>
      <c r="P97" s="25">
        <v>100</v>
      </c>
      <c r="Q97" s="25">
        <v>20180301</v>
      </c>
      <c r="R97" s="25">
        <v>20180301</v>
      </c>
      <c r="S97" s="25" t="s">
        <v>137</v>
      </c>
      <c r="T97" s="25" t="s">
        <v>149</v>
      </c>
      <c r="U97" s="25">
        <v>20190301</v>
      </c>
      <c r="V97" s="25">
        <v>6</v>
      </c>
      <c r="W97" s="25">
        <v>6</v>
      </c>
      <c r="X97" s="25" t="s">
        <v>139</v>
      </c>
      <c r="Y97" s="25">
        <v>0</v>
      </c>
      <c r="Z97" s="25" t="s">
        <v>140</v>
      </c>
      <c r="AA97" s="25">
        <v>818</v>
      </c>
      <c r="AB97" s="41">
        <v>0</v>
      </c>
      <c r="AC97" s="41">
        <v>12</v>
      </c>
      <c r="AD97" s="41">
        <v>20180201</v>
      </c>
      <c r="AE97" s="41">
        <v>0</v>
      </c>
      <c r="AF97" s="26">
        <v>70000</v>
      </c>
      <c r="AG97" s="41">
        <v>20</v>
      </c>
      <c r="AH97" s="26">
        <v>22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0</v>
      </c>
      <c r="AY97" s="46">
        <v>1</v>
      </c>
      <c r="AZ97" s="25">
        <v>2</v>
      </c>
      <c r="BA97" s="41" t="s">
        <v>203</v>
      </c>
      <c r="BB97" s="41">
        <v>100</v>
      </c>
      <c r="BC97" s="41">
        <v>20180301</v>
      </c>
      <c r="BD97" s="41">
        <v>20180301</v>
      </c>
      <c r="BE97" s="41" t="s">
        <v>198</v>
      </c>
      <c r="BF97" s="41" t="s">
        <v>149</v>
      </c>
      <c r="BG97" s="41">
        <v>20180301</v>
      </c>
      <c r="BH97" s="41">
        <v>0</v>
      </c>
      <c r="BI97" s="41">
        <v>0</v>
      </c>
      <c r="BJ97" s="41"/>
      <c r="BK97" s="41">
        <v>0</v>
      </c>
      <c r="BL97" s="41" t="s">
        <v>140</v>
      </c>
      <c r="BM97" s="41">
        <v>818</v>
      </c>
      <c r="BN97" s="41">
        <v>0</v>
      </c>
      <c r="BO97" s="41">
        <v>12</v>
      </c>
      <c r="BP97" s="41">
        <v>20180201</v>
      </c>
      <c r="BQ97" s="41">
        <v>0</v>
      </c>
      <c r="BR97" s="41">
        <v>0</v>
      </c>
      <c r="BS97" s="41">
        <v>1</v>
      </c>
      <c r="BT97" s="25">
        <v>22</v>
      </c>
      <c r="BU97" s="25">
        <v>0</v>
      </c>
      <c r="BV97" s="25">
        <v>0</v>
      </c>
      <c r="BW97" s="25">
        <v>0</v>
      </c>
      <c r="BX97" s="25">
        <v>0</v>
      </c>
      <c r="BY97" s="25">
        <v>0</v>
      </c>
      <c r="BZ97" s="25">
        <v>0</v>
      </c>
      <c r="CA97" s="25">
        <v>0</v>
      </c>
      <c r="CB97" s="25">
        <v>0</v>
      </c>
      <c r="CC97" s="25">
        <v>0</v>
      </c>
      <c r="CD97" s="25">
        <v>0</v>
      </c>
      <c r="CE97" s="25">
        <v>0</v>
      </c>
      <c r="CF97" s="25">
        <v>0</v>
      </c>
      <c r="CG97" s="25">
        <v>0</v>
      </c>
      <c r="CH97" s="25">
        <v>0</v>
      </c>
      <c r="CI97" s="25">
        <v>0</v>
      </c>
      <c r="CJ97" s="25">
        <v>0</v>
      </c>
      <c r="CK97" s="22">
        <v>1</v>
      </c>
      <c r="CL97" s="25">
        <v>3</v>
      </c>
      <c r="CM97" s="41" t="s">
        <v>150</v>
      </c>
      <c r="CN97" s="41">
        <v>100</v>
      </c>
      <c r="CO97" s="41">
        <v>20180301</v>
      </c>
      <c r="CP97" s="41">
        <v>20180301</v>
      </c>
      <c r="CQ97" s="41" t="s">
        <v>198</v>
      </c>
      <c r="CR97" s="41" t="s">
        <v>200</v>
      </c>
      <c r="CS97" s="41">
        <v>20180301</v>
      </c>
      <c r="CT97" s="41">
        <v>0</v>
      </c>
      <c r="CU97" s="41">
        <v>0</v>
      </c>
      <c r="CV97" s="41"/>
      <c r="CW97" s="41">
        <v>0</v>
      </c>
      <c r="CX97" s="41" t="s">
        <v>140</v>
      </c>
      <c r="CY97" s="41">
        <v>818</v>
      </c>
      <c r="CZ97" s="41">
        <v>0</v>
      </c>
      <c r="DA97" s="41">
        <v>12</v>
      </c>
      <c r="DB97" s="41">
        <v>20180201</v>
      </c>
      <c r="DC97" s="41">
        <v>0</v>
      </c>
      <c r="DD97" s="41">
        <v>0</v>
      </c>
      <c r="DE97" s="41">
        <v>1</v>
      </c>
      <c r="DF97" s="25">
        <v>22</v>
      </c>
      <c r="DG97" s="25">
        <v>0</v>
      </c>
      <c r="DH97" s="25">
        <v>0</v>
      </c>
      <c r="DI97" s="25">
        <v>0</v>
      </c>
      <c r="DJ97" s="25">
        <v>0</v>
      </c>
      <c r="DK97" s="25">
        <v>0</v>
      </c>
      <c r="DL97" s="25">
        <v>0</v>
      </c>
      <c r="DM97" s="25">
        <v>0</v>
      </c>
      <c r="DN97" s="25">
        <v>0</v>
      </c>
      <c r="DO97" s="25">
        <v>0</v>
      </c>
      <c r="DP97" s="25">
        <v>0</v>
      </c>
      <c r="DQ97" s="25">
        <v>0</v>
      </c>
      <c r="DR97" s="25">
        <v>0</v>
      </c>
      <c r="DS97" s="25">
        <v>0</v>
      </c>
      <c r="DT97" s="25">
        <v>0</v>
      </c>
      <c r="DU97" s="25">
        <v>0</v>
      </c>
      <c r="DV97" s="25">
        <v>0</v>
      </c>
      <c r="DW97" s="23">
        <v>1</v>
      </c>
      <c r="DX97" s="25">
        <v>4</v>
      </c>
      <c r="DY97" s="41" t="s">
        <v>151</v>
      </c>
      <c r="DZ97" s="41">
        <v>100</v>
      </c>
      <c r="EA97" s="41">
        <v>20180301</v>
      </c>
      <c r="EB97" s="41">
        <v>20180301</v>
      </c>
      <c r="EC97" s="41" t="s">
        <v>198</v>
      </c>
      <c r="ED97" s="41" t="s">
        <v>201</v>
      </c>
      <c r="EE97" s="41">
        <v>20180301</v>
      </c>
      <c r="EF97" s="41">
        <v>0</v>
      </c>
      <c r="EG97" s="41">
        <v>0</v>
      </c>
      <c r="EH97" s="41"/>
      <c r="EI97" s="41">
        <v>0</v>
      </c>
      <c r="EJ97" s="41" t="s">
        <v>140</v>
      </c>
      <c r="EK97" s="41">
        <v>818</v>
      </c>
      <c r="EL97" s="41">
        <v>0</v>
      </c>
      <c r="EM97" s="41">
        <v>12</v>
      </c>
      <c r="EN97" s="41">
        <v>20180201</v>
      </c>
      <c r="EO97" s="41">
        <v>0</v>
      </c>
      <c r="EP97" s="41">
        <v>0</v>
      </c>
      <c r="EQ97" s="41">
        <v>1</v>
      </c>
      <c r="ER97" s="25">
        <v>22</v>
      </c>
      <c r="ES97" s="25">
        <v>0</v>
      </c>
      <c r="ET97" s="25">
        <v>0</v>
      </c>
      <c r="EU97" s="25">
        <v>0</v>
      </c>
      <c r="EV97" s="25">
        <v>0</v>
      </c>
      <c r="EW97" s="25">
        <v>0</v>
      </c>
      <c r="EX97" s="25">
        <v>0</v>
      </c>
      <c r="EY97" s="25">
        <v>0</v>
      </c>
      <c r="EZ97" s="25">
        <v>0</v>
      </c>
      <c r="FA97" s="25">
        <v>0</v>
      </c>
      <c r="FB97" s="25">
        <v>0</v>
      </c>
      <c r="FC97" s="25">
        <v>0</v>
      </c>
      <c r="FD97" s="25">
        <v>0</v>
      </c>
      <c r="FE97" s="25">
        <v>0</v>
      </c>
      <c r="FF97" s="25">
        <v>0</v>
      </c>
      <c r="FG97" s="25">
        <v>0</v>
      </c>
      <c r="FH97" s="25">
        <v>0</v>
      </c>
      <c r="FI97" s="25">
        <v>1</v>
      </c>
      <c r="FJ97" s="25">
        <v>1</v>
      </c>
      <c r="FK97" s="25">
        <v>1</v>
      </c>
      <c r="FL97" s="25">
        <v>22</v>
      </c>
      <c r="FM97" s="25" t="s">
        <v>137</v>
      </c>
      <c r="FN97" s="25">
        <v>19970101</v>
      </c>
      <c r="FP97" s="28">
        <v>4</v>
      </c>
      <c r="FQ97" s="47">
        <v>1</v>
      </c>
      <c r="FR97" s="41">
        <v>1</v>
      </c>
      <c r="FS97" s="41" t="str">
        <f t="shared" si="6"/>
        <v>MFUC</v>
      </c>
      <c r="FT97" s="41">
        <f t="shared" si="7"/>
        <v>818</v>
      </c>
      <c r="FU97" s="41">
        <f t="shared" si="8"/>
        <v>22</v>
      </c>
      <c r="FV97" s="41">
        <v>74200</v>
      </c>
      <c r="FW97" s="41">
        <v>21.2</v>
      </c>
      <c r="FX97" s="41"/>
      <c r="FY97" s="29">
        <v>0</v>
      </c>
      <c r="FZ97" s="29">
        <v>0</v>
      </c>
      <c r="GA97" s="30">
        <v>0</v>
      </c>
      <c r="GB97" s="30">
        <v>0</v>
      </c>
      <c r="GC97" s="29">
        <v>0</v>
      </c>
      <c r="GD97" s="41">
        <v>0</v>
      </c>
      <c r="GE97" s="29">
        <v>0</v>
      </c>
      <c r="GF97" s="29">
        <v>0</v>
      </c>
      <c r="GG97" s="29">
        <v>0</v>
      </c>
      <c r="GH97" s="29">
        <v>0</v>
      </c>
      <c r="GI97" s="29">
        <v>0</v>
      </c>
      <c r="GJ97" s="29">
        <v>0</v>
      </c>
      <c r="GK97" s="29">
        <v>0</v>
      </c>
      <c r="GL97" s="29">
        <v>0</v>
      </c>
      <c r="GM97" s="29">
        <v>0</v>
      </c>
      <c r="GN97" s="29">
        <v>0</v>
      </c>
      <c r="GO97" s="29">
        <v>0</v>
      </c>
      <c r="GP97" s="29">
        <v>0</v>
      </c>
      <c r="GQ97" s="29">
        <v>0</v>
      </c>
      <c r="GR97" s="18">
        <v>1</v>
      </c>
      <c r="GS97" s="41">
        <v>2</v>
      </c>
      <c r="GT97" s="41" t="str">
        <f t="shared" si="9"/>
        <v>PURO</v>
      </c>
      <c r="GU97" s="41">
        <v>818</v>
      </c>
      <c r="GV97" s="41">
        <v>28</v>
      </c>
      <c r="GW97" s="41">
        <v>0</v>
      </c>
      <c r="GX97" s="41">
        <v>1.06</v>
      </c>
      <c r="GY97" s="41"/>
      <c r="GZ97" s="41">
        <v>0</v>
      </c>
      <c r="HA97" s="41">
        <v>0</v>
      </c>
      <c r="HB97" s="42">
        <v>0</v>
      </c>
      <c r="HC97" s="42">
        <v>0</v>
      </c>
      <c r="HD97" s="41">
        <v>0</v>
      </c>
      <c r="HE97" s="41">
        <v>0</v>
      </c>
      <c r="HF97" s="41">
        <v>0</v>
      </c>
      <c r="HG97" s="41">
        <v>0</v>
      </c>
      <c r="HH97" s="41">
        <v>0</v>
      </c>
      <c r="HI97" s="41">
        <v>0</v>
      </c>
      <c r="HJ97" s="41">
        <v>0</v>
      </c>
      <c r="HK97" s="41">
        <v>0</v>
      </c>
      <c r="HL97" s="41">
        <v>0</v>
      </c>
      <c r="HM97" s="41">
        <v>0</v>
      </c>
      <c r="HN97" s="41">
        <v>0</v>
      </c>
      <c r="HO97" s="41">
        <v>0</v>
      </c>
      <c r="HP97" s="41">
        <v>0</v>
      </c>
      <c r="HQ97" s="41">
        <v>0</v>
      </c>
      <c r="HR97" s="41">
        <v>0</v>
      </c>
      <c r="HS97" s="24">
        <v>1</v>
      </c>
      <c r="HT97" s="41">
        <v>3</v>
      </c>
      <c r="HU97" s="41" t="str">
        <f t="shared" si="10"/>
        <v>PUDT</v>
      </c>
      <c r="HV97" s="41">
        <v>818</v>
      </c>
      <c r="HW97" s="41">
        <v>28</v>
      </c>
      <c r="HX97" s="41">
        <v>0</v>
      </c>
      <c r="HY97" s="41">
        <v>1.06</v>
      </c>
      <c r="HZ97" s="42"/>
      <c r="IA97" s="41">
        <v>0</v>
      </c>
      <c r="IB97" s="41">
        <v>0</v>
      </c>
      <c r="IC97" s="42">
        <v>0</v>
      </c>
      <c r="ID97" s="42">
        <v>0</v>
      </c>
      <c r="IE97" s="41">
        <v>0</v>
      </c>
      <c r="IF97" s="43">
        <v>0</v>
      </c>
      <c r="IG97" s="41">
        <v>0</v>
      </c>
      <c r="IH97" s="41">
        <v>0</v>
      </c>
      <c r="II97" s="41">
        <v>0</v>
      </c>
      <c r="IJ97" s="41">
        <v>0</v>
      </c>
      <c r="IK97" s="41">
        <v>0</v>
      </c>
      <c r="IL97" s="41">
        <v>0</v>
      </c>
      <c r="IM97" s="41">
        <v>0</v>
      </c>
      <c r="IN97" s="41">
        <v>0</v>
      </c>
      <c r="IO97" s="41">
        <v>0</v>
      </c>
      <c r="IP97" s="41">
        <v>0</v>
      </c>
      <c r="IQ97" s="41">
        <v>0</v>
      </c>
      <c r="IR97" s="41">
        <v>0</v>
      </c>
      <c r="IS97" s="41">
        <v>0</v>
      </c>
      <c r="IT97" s="17">
        <v>1</v>
      </c>
      <c r="IU97" s="41">
        <v>4</v>
      </c>
      <c r="IV97" s="41" t="str">
        <f t="shared" si="11"/>
        <v>PUDS</v>
      </c>
      <c r="IW97" s="41">
        <v>818</v>
      </c>
      <c r="IX97" s="41">
        <v>28</v>
      </c>
      <c r="IY97" s="41">
        <v>0</v>
      </c>
      <c r="IZ97" s="41">
        <v>1.06</v>
      </c>
      <c r="JA97" s="42"/>
      <c r="JB97" s="41">
        <v>0</v>
      </c>
      <c r="JC97" s="41">
        <v>0</v>
      </c>
      <c r="JD97" s="42">
        <v>0</v>
      </c>
      <c r="JE97" s="42">
        <v>0</v>
      </c>
      <c r="JF97" s="41">
        <v>0</v>
      </c>
      <c r="JG97" s="41">
        <v>0</v>
      </c>
      <c r="JH97" s="41">
        <v>0</v>
      </c>
      <c r="JI97" s="41">
        <v>0</v>
      </c>
      <c r="JJ97" s="41">
        <v>0</v>
      </c>
      <c r="JK97" s="41">
        <v>0</v>
      </c>
      <c r="JL97" s="41">
        <v>0</v>
      </c>
      <c r="JM97" s="41">
        <v>0</v>
      </c>
      <c r="JN97" s="41">
        <v>0</v>
      </c>
      <c r="JO97" s="41">
        <v>0</v>
      </c>
      <c r="JP97" s="41">
        <v>0</v>
      </c>
      <c r="JQ97" s="41">
        <v>0</v>
      </c>
      <c r="JR97" s="41">
        <v>0</v>
      </c>
      <c r="JS97" s="41">
        <v>0</v>
      </c>
      <c r="JT97" s="41">
        <v>0</v>
      </c>
      <c r="JU97"/>
    </row>
    <row r="98" spans="1:281" ht="15.75">
      <c r="A98" s="25">
        <v>92</v>
      </c>
      <c r="B98" s="25">
        <v>20190301</v>
      </c>
      <c r="C98" s="25"/>
      <c r="D98" s="25" t="s">
        <v>132</v>
      </c>
      <c r="E98" s="25" t="s">
        <v>132</v>
      </c>
      <c r="F98" s="25" t="s">
        <v>133</v>
      </c>
      <c r="G98" s="25"/>
      <c r="H98" s="25">
        <v>100000092</v>
      </c>
      <c r="I98" s="25" t="s">
        <v>134</v>
      </c>
      <c r="J98" s="25" t="s">
        <v>135</v>
      </c>
      <c r="K98" s="25" t="s">
        <v>132</v>
      </c>
      <c r="L98" s="25">
        <v>4</v>
      </c>
      <c r="M98" s="25">
        <v>1</v>
      </c>
      <c r="N98" s="25">
        <v>1</v>
      </c>
      <c r="O98" s="45" t="s">
        <v>202</v>
      </c>
      <c r="P98" s="25">
        <v>100</v>
      </c>
      <c r="Q98" s="25">
        <v>20180301</v>
      </c>
      <c r="R98" s="25">
        <v>20180301</v>
      </c>
      <c r="S98" s="25" t="s">
        <v>137</v>
      </c>
      <c r="T98" s="25" t="s">
        <v>149</v>
      </c>
      <c r="U98" s="25">
        <v>20190301</v>
      </c>
      <c r="V98" s="25">
        <v>10</v>
      </c>
      <c r="W98" s="25">
        <v>10</v>
      </c>
      <c r="X98" s="25" t="s">
        <v>139</v>
      </c>
      <c r="Y98" s="25">
        <v>0</v>
      </c>
      <c r="Z98" s="25" t="s">
        <v>140</v>
      </c>
      <c r="AA98" s="25">
        <v>818</v>
      </c>
      <c r="AB98" s="41">
        <v>0</v>
      </c>
      <c r="AC98" s="41">
        <v>12</v>
      </c>
      <c r="AD98" s="41">
        <v>20180201</v>
      </c>
      <c r="AE98" s="41">
        <v>0</v>
      </c>
      <c r="AF98" s="26">
        <v>5000</v>
      </c>
      <c r="AG98" s="41">
        <v>42</v>
      </c>
      <c r="AH98" s="26">
        <v>23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46">
        <v>1</v>
      </c>
      <c r="AZ98" s="25">
        <v>2</v>
      </c>
      <c r="BA98" s="41" t="s">
        <v>203</v>
      </c>
      <c r="BB98" s="41">
        <v>100</v>
      </c>
      <c r="BC98" s="41">
        <v>20180301</v>
      </c>
      <c r="BD98" s="41">
        <v>20180301</v>
      </c>
      <c r="BE98" s="41" t="s">
        <v>198</v>
      </c>
      <c r="BF98" s="41" t="s">
        <v>149</v>
      </c>
      <c r="BG98" s="41">
        <v>20180301</v>
      </c>
      <c r="BH98" s="41">
        <v>0</v>
      </c>
      <c r="BI98" s="41">
        <v>0</v>
      </c>
      <c r="BJ98" s="41"/>
      <c r="BK98" s="41">
        <v>0</v>
      </c>
      <c r="BL98" s="41" t="s">
        <v>140</v>
      </c>
      <c r="BM98" s="41">
        <v>818</v>
      </c>
      <c r="BN98" s="41">
        <v>0</v>
      </c>
      <c r="BO98" s="41">
        <v>12</v>
      </c>
      <c r="BP98" s="41">
        <v>20180201</v>
      </c>
      <c r="BQ98" s="41">
        <v>0</v>
      </c>
      <c r="BR98" s="41">
        <v>0</v>
      </c>
      <c r="BS98" s="41">
        <v>16</v>
      </c>
      <c r="BT98" s="25">
        <v>23</v>
      </c>
      <c r="BU98" s="25">
        <v>0</v>
      </c>
      <c r="BV98" s="25">
        <v>0</v>
      </c>
      <c r="BW98" s="25">
        <v>0</v>
      </c>
      <c r="BX98" s="25">
        <v>0</v>
      </c>
      <c r="BY98" s="25">
        <v>0</v>
      </c>
      <c r="BZ98" s="25">
        <v>0</v>
      </c>
      <c r="CA98" s="25">
        <v>0</v>
      </c>
      <c r="CB98" s="25">
        <v>0</v>
      </c>
      <c r="CC98" s="25">
        <v>0</v>
      </c>
      <c r="CD98" s="25">
        <v>0</v>
      </c>
      <c r="CE98" s="25">
        <v>0</v>
      </c>
      <c r="CF98" s="25">
        <v>0</v>
      </c>
      <c r="CG98" s="25">
        <v>0</v>
      </c>
      <c r="CH98" s="25">
        <v>0</v>
      </c>
      <c r="CI98" s="25">
        <v>0</v>
      </c>
      <c r="CJ98" s="25">
        <v>0</v>
      </c>
      <c r="CK98" s="22">
        <v>1</v>
      </c>
      <c r="CL98" s="25">
        <v>3</v>
      </c>
      <c r="CM98" s="41" t="s">
        <v>150</v>
      </c>
      <c r="CN98" s="41">
        <v>100</v>
      </c>
      <c r="CO98" s="41">
        <v>20180301</v>
      </c>
      <c r="CP98" s="41">
        <v>20180301</v>
      </c>
      <c r="CQ98" s="41" t="s">
        <v>198</v>
      </c>
      <c r="CR98" s="41" t="s">
        <v>200</v>
      </c>
      <c r="CS98" s="41">
        <v>20180301</v>
      </c>
      <c r="CT98" s="41">
        <v>0</v>
      </c>
      <c r="CU98" s="41">
        <v>0</v>
      </c>
      <c r="CV98" s="41"/>
      <c r="CW98" s="41">
        <v>0</v>
      </c>
      <c r="CX98" s="41" t="s">
        <v>140</v>
      </c>
      <c r="CY98" s="41">
        <v>818</v>
      </c>
      <c r="CZ98" s="41">
        <v>0</v>
      </c>
      <c r="DA98" s="41">
        <v>12</v>
      </c>
      <c r="DB98" s="41">
        <v>20180201</v>
      </c>
      <c r="DC98" s="41">
        <v>0</v>
      </c>
      <c r="DD98" s="41">
        <v>0</v>
      </c>
      <c r="DE98" s="41">
        <v>16</v>
      </c>
      <c r="DF98" s="25">
        <v>23</v>
      </c>
      <c r="DG98" s="25">
        <v>0</v>
      </c>
      <c r="DH98" s="25">
        <v>0</v>
      </c>
      <c r="DI98" s="25">
        <v>0</v>
      </c>
      <c r="DJ98" s="25">
        <v>0</v>
      </c>
      <c r="DK98" s="25">
        <v>0</v>
      </c>
      <c r="DL98" s="25">
        <v>0</v>
      </c>
      <c r="DM98" s="25">
        <v>0</v>
      </c>
      <c r="DN98" s="25">
        <v>0</v>
      </c>
      <c r="DO98" s="25">
        <v>0</v>
      </c>
      <c r="DP98" s="25">
        <v>0</v>
      </c>
      <c r="DQ98" s="25">
        <v>0</v>
      </c>
      <c r="DR98" s="25">
        <v>0</v>
      </c>
      <c r="DS98" s="25">
        <v>0</v>
      </c>
      <c r="DT98" s="25">
        <v>0</v>
      </c>
      <c r="DU98" s="25">
        <v>0</v>
      </c>
      <c r="DV98" s="25">
        <v>0</v>
      </c>
      <c r="DW98" s="23">
        <v>1</v>
      </c>
      <c r="DX98" s="25">
        <v>4</v>
      </c>
      <c r="DY98" s="41" t="s">
        <v>151</v>
      </c>
      <c r="DZ98" s="41">
        <v>100</v>
      </c>
      <c r="EA98" s="41">
        <v>20180301</v>
      </c>
      <c r="EB98" s="41">
        <v>20180301</v>
      </c>
      <c r="EC98" s="41" t="s">
        <v>198</v>
      </c>
      <c r="ED98" s="41" t="s">
        <v>201</v>
      </c>
      <c r="EE98" s="41">
        <v>20180301</v>
      </c>
      <c r="EF98" s="41">
        <v>0</v>
      </c>
      <c r="EG98" s="41">
        <v>0</v>
      </c>
      <c r="EH98" s="41"/>
      <c r="EI98" s="41">
        <v>0</v>
      </c>
      <c r="EJ98" s="41" t="s">
        <v>140</v>
      </c>
      <c r="EK98" s="41">
        <v>818</v>
      </c>
      <c r="EL98" s="41">
        <v>0</v>
      </c>
      <c r="EM98" s="41">
        <v>12</v>
      </c>
      <c r="EN98" s="41">
        <v>20180201</v>
      </c>
      <c r="EO98" s="41">
        <v>0</v>
      </c>
      <c r="EP98" s="41">
        <v>0</v>
      </c>
      <c r="EQ98" s="41">
        <v>9</v>
      </c>
      <c r="ER98" s="25">
        <v>23</v>
      </c>
      <c r="ES98" s="25">
        <v>0</v>
      </c>
      <c r="ET98" s="25">
        <v>0</v>
      </c>
      <c r="EU98" s="25">
        <v>0</v>
      </c>
      <c r="EV98" s="25">
        <v>0</v>
      </c>
      <c r="EW98" s="25">
        <v>0</v>
      </c>
      <c r="EX98" s="25">
        <v>0</v>
      </c>
      <c r="EY98" s="25">
        <v>0</v>
      </c>
      <c r="EZ98" s="25">
        <v>0</v>
      </c>
      <c r="FA98" s="25">
        <v>0</v>
      </c>
      <c r="FB98" s="25">
        <v>0</v>
      </c>
      <c r="FC98" s="25">
        <v>0</v>
      </c>
      <c r="FD98" s="25">
        <v>0</v>
      </c>
      <c r="FE98" s="25">
        <v>0</v>
      </c>
      <c r="FF98" s="25">
        <v>0</v>
      </c>
      <c r="FG98" s="25">
        <v>0</v>
      </c>
      <c r="FH98" s="25">
        <v>0</v>
      </c>
      <c r="FI98" s="25">
        <v>1</v>
      </c>
      <c r="FJ98" s="25">
        <v>1</v>
      </c>
      <c r="FK98" s="25">
        <v>1</v>
      </c>
      <c r="FL98" s="25">
        <v>23</v>
      </c>
      <c r="FM98" s="25" t="s">
        <v>137</v>
      </c>
      <c r="FN98" s="25">
        <v>19960101</v>
      </c>
      <c r="FP98" s="28">
        <v>4</v>
      </c>
      <c r="FQ98" s="47">
        <v>1</v>
      </c>
      <c r="FR98" s="41">
        <v>1</v>
      </c>
      <c r="FS98" s="41" t="str">
        <f t="shared" si="6"/>
        <v>MFCL</v>
      </c>
      <c r="FT98" s="41">
        <f t="shared" si="7"/>
        <v>818</v>
      </c>
      <c r="FU98" s="41">
        <f t="shared" si="8"/>
        <v>23</v>
      </c>
      <c r="FV98" s="41">
        <v>5500</v>
      </c>
      <c r="FW98" s="41">
        <v>46.2</v>
      </c>
      <c r="FX98" s="41"/>
      <c r="FY98" s="29">
        <v>0</v>
      </c>
      <c r="FZ98" s="29">
        <v>0</v>
      </c>
      <c r="GA98" s="30">
        <v>0</v>
      </c>
      <c r="GB98" s="30">
        <v>0</v>
      </c>
      <c r="GC98" s="29">
        <v>0</v>
      </c>
      <c r="GD98" s="41">
        <v>0</v>
      </c>
      <c r="GE98" s="29">
        <v>0</v>
      </c>
      <c r="GF98" s="29">
        <v>0</v>
      </c>
      <c r="GG98" s="29">
        <v>0</v>
      </c>
      <c r="GH98" s="29">
        <v>0</v>
      </c>
      <c r="GI98" s="29">
        <v>0</v>
      </c>
      <c r="GJ98" s="29">
        <v>0</v>
      </c>
      <c r="GK98" s="29">
        <v>0</v>
      </c>
      <c r="GL98" s="29">
        <v>0</v>
      </c>
      <c r="GM98" s="29">
        <v>0</v>
      </c>
      <c r="GN98" s="29">
        <v>0</v>
      </c>
      <c r="GO98" s="29">
        <v>0</v>
      </c>
      <c r="GP98" s="29">
        <v>0</v>
      </c>
      <c r="GQ98" s="29">
        <v>0</v>
      </c>
      <c r="GR98" s="18">
        <v>1</v>
      </c>
      <c r="GS98" s="41">
        <v>2</v>
      </c>
      <c r="GT98" s="41" t="str">
        <f t="shared" si="9"/>
        <v>PURO</v>
      </c>
      <c r="GU98" s="41">
        <v>818</v>
      </c>
      <c r="GV98" s="41">
        <v>29</v>
      </c>
      <c r="GW98" s="41">
        <v>0</v>
      </c>
      <c r="GX98" s="41">
        <v>17.600000000000001</v>
      </c>
      <c r="GY98" s="41"/>
      <c r="GZ98" s="41">
        <v>0</v>
      </c>
      <c r="HA98" s="41">
        <v>0</v>
      </c>
      <c r="HB98" s="42">
        <v>0</v>
      </c>
      <c r="HC98" s="42">
        <v>0</v>
      </c>
      <c r="HD98" s="41">
        <v>0</v>
      </c>
      <c r="HE98" s="41">
        <v>0</v>
      </c>
      <c r="HF98" s="41">
        <v>0</v>
      </c>
      <c r="HG98" s="41">
        <v>0</v>
      </c>
      <c r="HH98" s="41">
        <v>0</v>
      </c>
      <c r="HI98" s="41">
        <v>0</v>
      </c>
      <c r="HJ98" s="41">
        <v>0</v>
      </c>
      <c r="HK98" s="41">
        <v>0</v>
      </c>
      <c r="HL98" s="41">
        <v>0</v>
      </c>
      <c r="HM98" s="41">
        <v>0</v>
      </c>
      <c r="HN98" s="41">
        <v>0</v>
      </c>
      <c r="HO98" s="41">
        <v>0</v>
      </c>
      <c r="HP98" s="41">
        <v>0</v>
      </c>
      <c r="HQ98" s="41">
        <v>0</v>
      </c>
      <c r="HR98" s="41">
        <v>0</v>
      </c>
      <c r="HS98" s="24">
        <v>1</v>
      </c>
      <c r="HT98" s="41">
        <v>3</v>
      </c>
      <c r="HU98" s="41" t="str">
        <f t="shared" si="10"/>
        <v>PUDT</v>
      </c>
      <c r="HV98" s="41">
        <v>818</v>
      </c>
      <c r="HW98" s="41">
        <v>29</v>
      </c>
      <c r="HX98" s="41">
        <v>0</v>
      </c>
      <c r="HY98" s="41">
        <v>17.600000000000001</v>
      </c>
      <c r="HZ98" s="42"/>
      <c r="IA98" s="41">
        <v>0</v>
      </c>
      <c r="IB98" s="41">
        <v>0</v>
      </c>
      <c r="IC98" s="42">
        <v>0</v>
      </c>
      <c r="ID98" s="42">
        <v>0</v>
      </c>
      <c r="IE98" s="41">
        <v>0</v>
      </c>
      <c r="IF98" s="43">
        <v>0</v>
      </c>
      <c r="IG98" s="41">
        <v>0</v>
      </c>
      <c r="IH98" s="41">
        <v>0</v>
      </c>
      <c r="II98" s="41">
        <v>0</v>
      </c>
      <c r="IJ98" s="41">
        <v>0</v>
      </c>
      <c r="IK98" s="41">
        <v>0</v>
      </c>
      <c r="IL98" s="41">
        <v>0</v>
      </c>
      <c r="IM98" s="41">
        <v>0</v>
      </c>
      <c r="IN98" s="41">
        <v>0</v>
      </c>
      <c r="IO98" s="41">
        <v>0</v>
      </c>
      <c r="IP98" s="41">
        <v>0</v>
      </c>
      <c r="IQ98" s="41">
        <v>0</v>
      </c>
      <c r="IR98" s="41">
        <v>0</v>
      </c>
      <c r="IS98" s="41">
        <v>0</v>
      </c>
      <c r="IT98" s="17">
        <v>1</v>
      </c>
      <c r="IU98" s="41">
        <v>4</v>
      </c>
      <c r="IV98" s="41" t="str">
        <f t="shared" si="11"/>
        <v>PUDS</v>
      </c>
      <c r="IW98" s="41">
        <v>818</v>
      </c>
      <c r="IX98" s="41">
        <v>29</v>
      </c>
      <c r="IY98" s="41">
        <v>0</v>
      </c>
      <c r="IZ98" s="41">
        <v>9.9</v>
      </c>
      <c r="JA98" s="42"/>
      <c r="JB98" s="41">
        <v>0</v>
      </c>
      <c r="JC98" s="41">
        <v>0</v>
      </c>
      <c r="JD98" s="42">
        <v>0</v>
      </c>
      <c r="JE98" s="42">
        <v>0</v>
      </c>
      <c r="JF98" s="41">
        <v>0</v>
      </c>
      <c r="JG98" s="41">
        <v>0</v>
      </c>
      <c r="JH98" s="41">
        <v>0</v>
      </c>
      <c r="JI98" s="41">
        <v>0</v>
      </c>
      <c r="JJ98" s="41">
        <v>0</v>
      </c>
      <c r="JK98" s="41">
        <v>0</v>
      </c>
      <c r="JL98" s="41">
        <v>0</v>
      </c>
      <c r="JM98" s="41">
        <v>0</v>
      </c>
      <c r="JN98" s="41">
        <v>0</v>
      </c>
      <c r="JO98" s="41">
        <v>0</v>
      </c>
      <c r="JP98" s="41">
        <v>0</v>
      </c>
      <c r="JQ98" s="41">
        <v>0</v>
      </c>
      <c r="JR98" s="41">
        <v>0</v>
      </c>
      <c r="JS98" s="41">
        <v>0</v>
      </c>
      <c r="JT98" s="41">
        <v>0</v>
      </c>
      <c r="JU98"/>
    </row>
    <row r="99" spans="1:281" ht="15.75">
      <c r="A99" s="25">
        <v>93</v>
      </c>
      <c r="B99" s="25">
        <v>20190301</v>
      </c>
      <c r="C99" s="25"/>
      <c r="D99" s="25" t="s">
        <v>132</v>
      </c>
      <c r="E99" s="25" t="s">
        <v>132</v>
      </c>
      <c r="F99" s="25" t="s">
        <v>133</v>
      </c>
      <c r="G99" s="25"/>
      <c r="H99" s="25">
        <v>100000093</v>
      </c>
      <c r="I99" s="25" t="s">
        <v>134</v>
      </c>
      <c r="J99" s="25" t="s">
        <v>135</v>
      </c>
      <c r="K99" s="25" t="s">
        <v>132</v>
      </c>
      <c r="L99" s="25">
        <v>4</v>
      </c>
      <c r="M99" s="25">
        <v>1</v>
      </c>
      <c r="N99" s="25">
        <v>1</v>
      </c>
      <c r="O99" s="45" t="s">
        <v>202</v>
      </c>
      <c r="P99" s="25">
        <v>100</v>
      </c>
      <c r="Q99" s="25">
        <v>20180301</v>
      </c>
      <c r="R99" s="25">
        <v>20180301</v>
      </c>
      <c r="S99" s="25" t="s">
        <v>137</v>
      </c>
      <c r="T99" s="25" t="s">
        <v>149</v>
      </c>
      <c r="U99" s="25">
        <v>20190301</v>
      </c>
      <c r="V99" s="25">
        <v>10</v>
      </c>
      <c r="W99" s="25">
        <v>10</v>
      </c>
      <c r="X99" s="25" t="s">
        <v>139</v>
      </c>
      <c r="Y99" s="25">
        <v>0</v>
      </c>
      <c r="Z99" s="25" t="s">
        <v>140</v>
      </c>
      <c r="AA99" s="25">
        <v>818</v>
      </c>
      <c r="AB99" s="41">
        <v>0</v>
      </c>
      <c r="AC99" s="41">
        <v>12</v>
      </c>
      <c r="AD99" s="41">
        <v>20180201</v>
      </c>
      <c r="AE99" s="41">
        <v>0</v>
      </c>
      <c r="AF99" s="26">
        <v>10000</v>
      </c>
      <c r="AG99" s="41">
        <v>51</v>
      </c>
      <c r="AH99" s="26">
        <v>24</v>
      </c>
      <c r="AI99" s="26">
        <v>0</v>
      </c>
      <c r="AJ99" s="26">
        <v>0</v>
      </c>
      <c r="AK99" s="26">
        <v>0</v>
      </c>
      <c r="AL99" s="26">
        <v>0</v>
      </c>
      <c r="AM99" s="26">
        <v>0</v>
      </c>
      <c r="AN99" s="26">
        <v>0</v>
      </c>
      <c r="AO99" s="26">
        <v>0</v>
      </c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0</v>
      </c>
      <c r="AW99" s="26">
        <v>0</v>
      </c>
      <c r="AX99" s="26">
        <v>0</v>
      </c>
      <c r="AY99" s="46">
        <v>1</v>
      </c>
      <c r="AZ99" s="25">
        <v>2</v>
      </c>
      <c r="BA99" s="41" t="s">
        <v>203</v>
      </c>
      <c r="BB99" s="41">
        <v>100</v>
      </c>
      <c r="BC99" s="41">
        <v>20180301</v>
      </c>
      <c r="BD99" s="41">
        <v>20180301</v>
      </c>
      <c r="BE99" s="41" t="s">
        <v>198</v>
      </c>
      <c r="BF99" s="41" t="s">
        <v>149</v>
      </c>
      <c r="BG99" s="41">
        <v>20180301</v>
      </c>
      <c r="BH99" s="41">
        <v>0</v>
      </c>
      <c r="BI99" s="41">
        <v>0</v>
      </c>
      <c r="BJ99" s="41"/>
      <c r="BK99" s="41">
        <v>0</v>
      </c>
      <c r="BL99" s="41" t="s">
        <v>140</v>
      </c>
      <c r="BM99" s="41">
        <v>818</v>
      </c>
      <c r="BN99" s="41">
        <v>0</v>
      </c>
      <c r="BO99" s="41">
        <v>12</v>
      </c>
      <c r="BP99" s="41">
        <v>20180201</v>
      </c>
      <c r="BQ99" s="41">
        <v>0</v>
      </c>
      <c r="BR99" s="41">
        <v>0</v>
      </c>
      <c r="BS99" s="41">
        <v>18</v>
      </c>
      <c r="BT99" s="25">
        <v>24</v>
      </c>
      <c r="BU99" s="25">
        <v>0</v>
      </c>
      <c r="BV99" s="25">
        <v>0</v>
      </c>
      <c r="BW99" s="25">
        <v>0</v>
      </c>
      <c r="BX99" s="25">
        <v>0</v>
      </c>
      <c r="BY99" s="25">
        <v>0</v>
      </c>
      <c r="BZ99" s="25">
        <v>0</v>
      </c>
      <c r="CA99" s="25">
        <v>0</v>
      </c>
      <c r="CB99" s="25">
        <v>0</v>
      </c>
      <c r="CC99" s="25">
        <v>0</v>
      </c>
      <c r="CD99" s="25">
        <v>0</v>
      </c>
      <c r="CE99" s="25">
        <v>0</v>
      </c>
      <c r="CF99" s="25">
        <v>0</v>
      </c>
      <c r="CG99" s="25">
        <v>0</v>
      </c>
      <c r="CH99" s="25">
        <v>0</v>
      </c>
      <c r="CI99" s="25">
        <v>0</v>
      </c>
      <c r="CJ99" s="25">
        <v>0</v>
      </c>
      <c r="CK99" s="22">
        <v>1</v>
      </c>
      <c r="CL99" s="25">
        <v>3</v>
      </c>
      <c r="CM99" s="41" t="s">
        <v>150</v>
      </c>
      <c r="CN99" s="41">
        <v>100</v>
      </c>
      <c r="CO99" s="41">
        <v>20180301</v>
      </c>
      <c r="CP99" s="41">
        <v>20180301</v>
      </c>
      <c r="CQ99" s="41" t="s">
        <v>198</v>
      </c>
      <c r="CR99" s="41" t="s">
        <v>200</v>
      </c>
      <c r="CS99" s="41">
        <v>20180301</v>
      </c>
      <c r="CT99" s="41">
        <v>0</v>
      </c>
      <c r="CU99" s="41">
        <v>0</v>
      </c>
      <c r="CV99" s="41"/>
      <c r="CW99" s="41">
        <v>0</v>
      </c>
      <c r="CX99" s="41" t="s">
        <v>140</v>
      </c>
      <c r="CY99" s="41">
        <v>818</v>
      </c>
      <c r="CZ99" s="41">
        <v>0</v>
      </c>
      <c r="DA99" s="41">
        <v>12</v>
      </c>
      <c r="DB99" s="41">
        <v>20180201</v>
      </c>
      <c r="DC99" s="41">
        <v>0</v>
      </c>
      <c r="DD99" s="41">
        <v>0</v>
      </c>
      <c r="DE99" s="41">
        <v>18</v>
      </c>
      <c r="DF99" s="25">
        <v>24</v>
      </c>
      <c r="DG99" s="25">
        <v>0</v>
      </c>
      <c r="DH99" s="25">
        <v>0</v>
      </c>
      <c r="DI99" s="25">
        <v>0</v>
      </c>
      <c r="DJ99" s="25">
        <v>0</v>
      </c>
      <c r="DK99" s="25">
        <v>0</v>
      </c>
      <c r="DL99" s="25">
        <v>0</v>
      </c>
      <c r="DM99" s="25">
        <v>0</v>
      </c>
      <c r="DN99" s="25">
        <v>0</v>
      </c>
      <c r="DO99" s="25">
        <v>0</v>
      </c>
      <c r="DP99" s="25">
        <v>0</v>
      </c>
      <c r="DQ99" s="25">
        <v>0</v>
      </c>
      <c r="DR99" s="25">
        <v>0</v>
      </c>
      <c r="DS99" s="25">
        <v>0</v>
      </c>
      <c r="DT99" s="25">
        <v>0</v>
      </c>
      <c r="DU99" s="25">
        <v>0</v>
      </c>
      <c r="DV99" s="25">
        <v>0</v>
      </c>
      <c r="DW99" s="23">
        <v>1</v>
      </c>
      <c r="DX99" s="25">
        <v>4</v>
      </c>
      <c r="DY99" s="41" t="s">
        <v>151</v>
      </c>
      <c r="DZ99" s="41">
        <v>100</v>
      </c>
      <c r="EA99" s="41">
        <v>20180301</v>
      </c>
      <c r="EB99" s="41">
        <v>20180301</v>
      </c>
      <c r="EC99" s="41" t="s">
        <v>198</v>
      </c>
      <c r="ED99" s="41" t="s">
        <v>201</v>
      </c>
      <c r="EE99" s="41">
        <v>20180301</v>
      </c>
      <c r="EF99" s="41">
        <v>0</v>
      </c>
      <c r="EG99" s="41">
        <v>0</v>
      </c>
      <c r="EH99" s="41"/>
      <c r="EI99" s="41">
        <v>0</v>
      </c>
      <c r="EJ99" s="41" t="s">
        <v>140</v>
      </c>
      <c r="EK99" s="41">
        <v>818</v>
      </c>
      <c r="EL99" s="41">
        <v>0</v>
      </c>
      <c r="EM99" s="41">
        <v>12</v>
      </c>
      <c r="EN99" s="41">
        <v>20180201</v>
      </c>
      <c r="EO99" s="41">
        <v>0</v>
      </c>
      <c r="EP99" s="41">
        <v>0</v>
      </c>
      <c r="EQ99" s="41">
        <v>9</v>
      </c>
      <c r="ER99" s="25">
        <v>24</v>
      </c>
      <c r="ES99" s="25">
        <v>0</v>
      </c>
      <c r="ET99" s="25">
        <v>0</v>
      </c>
      <c r="EU99" s="25">
        <v>0</v>
      </c>
      <c r="EV99" s="25">
        <v>0</v>
      </c>
      <c r="EW99" s="25">
        <v>0</v>
      </c>
      <c r="EX99" s="25">
        <v>0</v>
      </c>
      <c r="EY99" s="25">
        <v>0</v>
      </c>
      <c r="EZ99" s="25">
        <v>0</v>
      </c>
      <c r="FA99" s="25">
        <v>0</v>
      </c>
      <c r="FB99" s="25">
        <v>0</v>
      </c>
      <c r="FC99" s="25">
        <v>0</v>
      </c>
      <c r="FD99" s="25">
        <v>0</v>
      </c>
      <c r="FE99" s="25">
        <v>0</v>
      </c>
      <c r="FF99" s="25">
        <v>0</v>
      </c>
      <c r="FG99" s="25">
        <v>0</v>
      </c>
      <c r="FH99" s="25">
        <v>0</v>
      </c>
      <c r="FI99" s="25">
        <v>1</v>
      </c>
      <c r="FJ99" s="25">
        <v>1</v>
      </c>
      <c r="FK99" s="25">
        <v>1</v>
      </c>
      <c r="FL99" s="25">
        <v>24</v>
      </c>
      <c r="FM99" s="25" t="s">
        <v>137</v>
      </c>
      <c r="FN99" s="25">
        <v>19950101</v>
      </c>
      <c r="FP99" s="28">
        <v>4</v>
      </c>
      <c r="FQ99" s="47">
        <v>1</v>
      </c>
      <c r="FR99" s="41">
        <v>1</v>
      </c>
      <c r="FS99" s="41" t="str">
        <f t="shared" si="6"/>
        <v>MFCL</v>
      </c>
      <c r="FT99" s="41">
        <f t="shared" si="7"/>
        <v>818</v>
      </c>
      <c r="FU99" s="41">
        <f t="shared" si="8"/>
        <v>24</v>
      </c>
      <c r="FV99" s="41">
        <v>11000</v>
      </c>
      <c r="FW99" s="41">
        <v>56.1</v>
      </c>
      <c r="FX99" s="41"/>
      <c r="FY99" s="29">
        <v>0</v>
      </c>
      <c r="FZ99" s="29">
        <v>0</v>
      </c>
      <c r="GA99" s="30">
        <v>0</v>
      </c>
      <c r="GB99" s="30">
        <v>0</v>
      </c>
      <c r="GC99" s="29">
        <v>0</v>
      </c>
      <c r="GD99" s="41">
        <v>0</v>
      </c>
      <c r="GE99" s="29">
        <v>0</v>
      </c>
      <c r="GF99" s="29">
        <v>0</v>
      </c>
      <c r="GG99" s="29">
        <v>0</v>
      </c>
      <c r="GH99" s="29">
        <v>0</v>
      </c>
      <c r="GI99" s="29">
        <v>0</v>
      </c>
      <c r="GJ99" s="29">
        <v>0</v>
      </c>
      <c r="GK99" s="29">
        <v>0</v>
      </c>
      <c r="GL99" s="29">
        <v>0</v>
      </c>
      <c r="GM99" s="29">
        <v>0</v>
      </c>
      <c r="GN99" s="29">
        <v>0</v>
      </c>
      <c r="GO99" s="29">
        <v>0</v>
      </c>
      <c r="GP99" s="29">
        <v>0</v>
      </c>
      <c r="GQ99" s="29">
        <v>0</v>
      </c>
      <c r="GR99" s="18">
        <v>1</v>
      </c>
      <c r="GS99" s="41">
        <v>2</v>
      </c>
      <c r="GT99" s="41" t="str">
        <f t="shared" si="9"/>
        <v>PURO</v>
      </c>
      <c r="GU99" s="41">
        <v>818</v>
      </c>
      <c r="GV99" s="41">
        <v>30</v>
      </c>
      <c r="GW99" s="41">
        <v>0</v>
      </c>
      <c r="GX99" s="41">
        <v>19.8</v>
      </c>
      <c r="GY99" s="41"/>
      <c r="GZ99" s="41">
        <v>0</v>
      </c>
      <c r="HA99" s="41">
        <v>0</v>
      </c>
      <c r="HB99" s="42">
        <v>0</v>
      </c>
      <c r="HC99" s="42">
        <v>0</v>
      </c>
      <c r="HD99" s="41">
        <v>0</v>
      </c>
      <c r="HE99" s="41">
        <v>0</v>
      </c>
      <c r="HF99" s="41">
        <v>0</v>
      </c>
      <c r="HG99" s="41">
        <v>0</v>
      </c>
      <c r="HH99" s="41">
        <v>0</v>
      </c>
      <c r="HI99" s="41">
        <v>0</v>
      </c>
      <c r="HJ99" s="41">
        <v>0</v>
      </c>
      <c r="HK99" s="41">
        <v>0</v>
      </c>
      <c r="HL99" s="41">
        <v>0</v>
      </c>
      <c r="HM99" s="41">
        <v>0</v>
      </c>
      <c r="HN99" s="41">
        <v>0</v>
      </c>
      <c r="HO99" s="41">
        <v>0</v>
      </c>
      <c r="HP99" s="41">
        <v>0</v>
      </c>
      <c r="HQ99" s="41">
        <v>0</v>
      </c>
      <c r="HR99" s="41">
        <v>0</v>
      </c>
      <c r="HS99" s="24">
        <v>1</v>
      </c>
      <c r="HT99" s="41">
        <v>3</v>
      </c>
      <c r="HU99" s="41" t="str">
        <f t="shared" si="10"/>
        <v>PUDT</v>
      </c>
      <c r="HV99" s="41">
        <v>818</v>
      </c>
      <c r="HW99" s="41">
        <v>30</v>
      </c>
      <c r="HX99" s="41">
        <v>0</v>
      </c>
      <c r="HY99" s="41">
        <v>19.8</v>
      </c>
      <c r="HZ99" s="42"/>
      <c r="IA99" s="41">
        <v>0</v>
      </c>
      <c r="IB99" s="41">
        <v>0</v>
      </c>
      <c r="IC99" s="42">
        <v>0</v>
      </c>
      <c r="ID99" s="42">
        <v>0</v>
      </c>
      <c r="IE99" s="41">
        <v>0</v>
      </c>
      <c r="IF99" s="43">
        <v>0</v>
      </c>
      <c r="IG99" s="41">
        <v>0</v>
      </c>
      <c r="IH99" s="41">
        <v>0</v>
      </c>
      <c r="II99" s="41">
        <v>0</v>
      </c>
      <c r="IJ99" s="41">
        <v>0</v>
      </c>
      <c r="IK99" s="41">
        <v>0</v>
      </c>
      <c r="IL99" s="41">
        <v>0</v>
      </c>
      <c r="IM99" s="41">
        <v>0</v>
      </c>
      <c r="IN99" s="41">
        <v>0</v>
      </c>
      <c r="IO99" s="41">
        <v>0</v>
      </c>
      <c r="IP99" s="41">
        <v>0</v>
      </c>
      <c r="IQ99" s="41">
        <v>0</v>
      </c>
      <c r="IR99" s="41">
        <v>0</v>
      </c>
      <c r="IS99" s="41">
        <v>0</v>
      </c>
      <c r="IT99" s="17">
        <v>1</v>
      </c>
      <c r="IU99" s="41">
        <v>4</v>
      </c>
      <c r="IV99" s="41" t="str">
        <f t="shared" si="11"/>
        <v>PUDS</v>
      </c>
      <c r="IW99" s="41">
        <v>818</v>
      </c>
      <c r="IX99" s="41">
        <v>30</v>
      </c>
      <c r="IY99" s="41">
        <v>0</v>
      </c>
      <c r="IZ99" s="41">
        <v>9.9</v>
      </c>
      <c r="JA99" s="42"/>
      <c r="JB99" s="41">
        <v>0</v>
      </c>
      <c r="JC99" s="41">
        <v>0</v>
      </c>
      <c r="JD99" s="42">
        <v>0</v>
      </c>
      <c r="JE99" s="42">
        <v>0</v>
      </c>
      <c r="JF99" s="41">
        <v>0</v>
      </c>
      <c r="JG99" s="41">
        <v>0</v>
      </c>
      <c r="JH99" s="41">
        <v>0</v>
      </c>
      <c r="JI99" s="41">
        <v>0</v>
      </c>
      <c r="JJ99" s="41">
        <v>0</v>
      </c>
      <c r="JK99" s="41">
        <v>0</v>
      </c>
      <c r="JL99" s="41">
        <v>0</v>
      </c>
      <c r="JM99" s="41">
        <v>0</v>
      </c>
      <c r="JN99" s="41">
        <v>0</v>
      </c>
      <c r="JO99" s="41">
        <v>0</v>
      </c>
      <c r="JP99" s="41">
        <v>0</v>
      </c>
      <c r="JQ99" s="41">
        <v>0</v>
      </c>
      <c r="JR99" s="41">
        <v>0</v>
      </c>
      <c r="JS99" s="41">
        <v>0</v>
      </c>
      <c r="JT99" s="41">
        <v>0</v>
      </c>
      <c r="JU99"/>
    </row>
    <row r="100" spans="1:281" ht="15.75">
      <c r="A100" s="25">
        <v>94</v>
      </c>
      <c r="B100" s="25">
        <v>20190301</v>
      </c>
      <c r="C100" s="25"/>
      <c r="D100" s="25" t="s">
        <v>132</v>
      </c>
      <c r="E100" s="25" t="s">
        <v>132</v>
      </c>
      <c r="F100" s="25" t="s">
        <v>133</v>
      </c>
      <c r="G100" s="25"/>
      <c r="H100" s="25">
        <v>100000094</v>
      </c>
      <c r="I100" s="25" t="s">
        <v>134</v>
      </c>
      <c r="J100" s="25" t="s">
        <v>135</v>
      </c>
      <c r="K100" s="25" t="s">
        <v>132</v>
      </c>
      <c r="L100" s="25">
        <v>4</v>
      </c>
      <c r="M100" s="25">
        <v>1</v>
      </c>
      <c r="N100" s="25">
        <v>1</v>
      </c>
      <c r="O100" s="45" t="s">
        <v>202</v>
      </c>
      <c r="P100" s="25">
        <v>100</v>
      </c>
      <c r="Q100" s="25">
        <v>20180301</v>
      </c>
      <c r="R100" s="25">
        <v>20180301</v>
      </c>
      <c r="S100" s="25" t="s">
        <v>137</v>
      </c>
      <c r="T100" s="25" t="s">
        <v>138</v>
      </c>
      <c r="U100" s="25">
        <v>20190301</v>
      </c>
      <c r="V100" s="25">
        <v>10</v>
      </c>
      <c r="W100" s="25">
        <v>10</v>
      </c>
      <c r="X100" s="25" t="s">
        <v>139</v>
      </c>
      <c r="Y100" s="25">
        <v>0</v>
      </c>
      <c r="Z100" s="25" t="s">
        <v>140</v>
      </c>
      <c r="AA100" s="25">
        <v>818</v>
      </c>
      <c r="AB100" s="41">
        <v>0</v>
      </c>
      <c r="AC100" s="41">
        <v>12</v>
      </c>
      <c r="AD100" s="41">
        <v>20180201</v>
      </c>
      <c r="AE100" s="41">
        <v>0</v>
      </c>
      <c r="AF100" s="26">
        <v>15000</v>
      </c>
      <c r="AG100" s="41">
        <v>60</v>
      </c>
      <c r="AH100" s="26">
        <v>25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>
        <v>0</v>
      </c>
      <c r="AW100" s="26">
        <v>0</v>
      </c>
      <c r="AX100" s="26">
        <v>0</v>
      </c>
      <c r="AY100" s="46">
        <v>1</v>
      </c>
      <c r="AZ100" s="25">
        <v>2</v>
      </c>
      <c r="BA100" s="41" t="s">
        <v>203</v>
      </c>
      <c r="BB100" s="41">
        <v>100</v>
      </c>
      <c r="BC100" s="41">
        <v>20180301</v>
      </c>
      <c r="BD100" s="41">
        <v>20180301</v>
      </c>
      <c r="BE100" s="41" t="s">
        <v>198</v>
      </c>
      <c r="BF100" s="41" t="s">
        <v>149</v>
      </c>
      <c r="BG100" s="41">
        <v>20180301</v>
      </c>
      <c r="BH100" s="41">
        <v>0</v>
      </c>
      <c r="BI100" s="41">
        <v>0</v>
      </c>
      <c r="BJ100" s="41"/>
      <c r="BK100" s="41">
        <v>0</v>
      </c>
      <c r="BL100" s="41" t="s">
        <v>140</v>
      </c>
      <c r="BM100" s="41">
        <v>818</v>
      </c>
      <c r="BN100" s="41">
        <v>0</v>
      </c>
      <c r="BO100" s="41">
        <v>12</v>
      </c>
      <c r="BP100" s="41">
        <v>20180201</v>
      </c>
      <c r="BQ100" s="41">
        <v>0</v>
      </c>
      <c r="BR100" s="41">
        <v>0</v>
      </c>
      <c r="BS100" s="41">
        <v>20</v>
      </c>
      <c r="BT100" s="25">
        <v>25</v>
      </c>
      <c r="BU100" s="25">
        <v>0</v>
      </c>
      <c r="BV100" s="25">
        <v>0</v>
      </c>
      <c r="BW100" s="25">
        <v>0</v>
      </c>
      <c r="BX100" s="25">
        <v>0</v>
      </c>
      <c r="BY100" s="25">
        <v>0</v>
      </c>
      <c r="BZ100" s="25">
        <v>0</v>
      </c>
      <c r="CA100" s="25">
        <v>0</v>
      </c>
      <c r="CB100" s="25">
        <v>0</v>
      </c>
      <c r="CC100" s="25">
        <v>0</v>
      </c>
      <c r="CD100" s="25">
        <v>0</v>
      </c>
      <c r="CE100" s="25">
        <v>0</v>
      </c>
      <c r="CF100" s="25">
        <v>0</v>
      </c>
      <c r="CG100" s="25">
        <v>0</v>
      </c>
      <c r="CH100" s="25">
        <v>0</v>
      </c>
      <c r="CI100" s="25">
        <v>0</v>
      </c>
      <c r="CJ100" s="25">
        <v>0</v>
      </c>
      <c r="CK100" s="22">
        <v>1</v>
      </c>
      <c r="CL100" s="25">
        <v>3</v>
      </c>
      <c r="CM100" s="41" t="s">
        <v>150</v>
      </c>
      <c r="CN100" s="41">
        <v>100</v>
      </c>
      <c r="CO100" s="41">
        <v>20180301</v>
      </c>
      <c r="CP100" s="41">
        <v>20180301</v>
      </c>
      <c r="CQ100" s="41" t="s">
        <v>198</v>
      </c>
      <c r="CR100" s="41" t="s">
        <v>200</v>
      </c>
      <c r="CS100" s="41">
        <v>20180301</v>
      </c>
      <c r="CT100" s="41">
        <v>0</v>
      </c>
      <c r="CU100" s="41">
        <v>0</v>
      </c>
      <c r="CV100" s="41"/>
      <c r="CW100" s="41">
        <v>0</v>
      </c>
      <c r="CX100" s="41" t="s">
        <v>140</v>
      </c>
      <c r="CY100" s="41">
        <v>818</v>
      </c>
      <c r="CZ100" s="41">
        <v>0</v>
      </c>
      <c r="DA100" s="41">
        <v>12</v>
      </c>
      <c r="DB100" s="41">
        <v>20180201</v>
      </c>
      <c r="DC100" s="41">
        <v>0</v>
      </c>
      <c r="DD100" s="41">
        <v>0</v>
      </c>
      <c r="DE100" s="41">
        <v>21</v>
      </c>
      <c r="DF100" s="25">
        <v>25</v>
      </c>
      <c r="DG100" s="25">
        <v>0</v>
      </c>
      <c r="DH100" s="25">
        <v>0</v>
      </c>
      <c r="DI100" s="25">
        <v>0</v>
      </c>
      <c r="DJ100" s="25">
        <v>0</v>
      </c>
      <c r="DK100" s="25">
        <v>0</v>
      </c>
      <c r="DL100" s="25">
        <v>0</v>
      </c>
      <c r="DM100" s="25">
        <v>0</v>
      </c>
      <c r="DN100" s="25">
        <v>0</v>
      </c>
      <c r="DO100" s="25">
        <v>0</v>
      </c>
      <c r="DP100" s="25">
        <v>0</v>
      </c>
      <c r="DQ100" s="25">
        <v>0</v>
      </c>
      <c r="DR100" s="25">
        <v>0</v>
      </c>
      <c r="DS100" s="25">
        <v>0</v>
      </c>
      <c r="DT100" s="25">
        <v>0</v>
      </c>
      <c r="DU100" s="25">
        <v>0</v>
      </c>
      <c r="DV100" s="25">
        <v>0</v>
      </c>
      <c r="DW100" s="23">
        <v>1</v>
      </c>
      <c r="DX100" s="25">
        <v>4</v>
      </c>
      <c r="DY100" s="41" t="s">
        <v>151</v>
      </c>
      <c r="DZ100" s="41">
        <v>100</v>
      </c>
      <c r="EA100" s="41">
        <v>20180301</v>
      </c>
      <c r="EB100" s="41">
        <v>20180301</v>
      </c>
      <c r="EC100" s="41" t="s">
        <v>198</v>
      </c>
      <c r="ED100" s="41" t="s">
        <v>201</v>
      </c>
      <c r="EE100" s="41">
        <v>20180301</v>
      </c>
      <c r="EF100" s="41">
        <v>0</v>
      </c>
      <c r="EG100" s="41">
        <v>0</v>
      </c>
      <c r="EH100" s="41"/>
      <c r="EI100" s="41">
        <v>0</v>
      </c>
      <c r="EJ100" s="41" t="s">
        <v>140</v>
      </c>
      <c r="EK100" s="41">
        <v>818</v>
      </c>
      <c r="EL100" s="41">
        <v>0</v>
      </c>
      <c r="EM100" s="41">
        <v>12</v>
      </c>
      <c r="EN100" s="41">
        <v>20180201</v>
      </c>
      <c r="EO100" s="41">
        <v>0</v>
      </c>
      <c r="EP100" s="41">
        <v>0</v>
      </c>
      <c r="EQ100" s="41">
        <v>10</v>
      </c>
      <c r="ER100" s="25">
        <v>25</v>
      </c>
      <c r="ES100" s="25">
        <v>0</v>
      </c>
      <c r="ET100" s="25">
        <v>0</v>
      </c>
      <c r="EU100" s="25">
        <v>0</v>
      </c>
      <c r="EV100" s="25">
        <v>0</v>
      </c>
      <c r="EW100" s="25">
        <v>0</v>
      </c>
      <c r="EX100" s="25">
        <v>0</v>
      </c>
      <c r="EY100" s="25">
        <v>0</v>
      </c>
      <c r="EZ100" s="25">
        <v>0</v>
      </c>
      <c r="FA100" s="25">
        <v>0</v>
      </c>
      <c r="FB100" s="25">
        <v>0</v>
      </c>
      <c r="FC100" s="25">
        <v>0</v>
      </c>
      <c r="FD100" s="25">
        <v>0</v>
      </c>
      <c r="FE100" s="25">
        <v>0</v>
      </c>
      <c r="FF100" s="25">
        <v>0</v>
      </c>
      <c r="FG100" s="25">
        <v>0</v>
      </c>
      <c r="FH100" s="25">
        <v>0</v>
      </c>
      <c r="FI100" s="25">
        <v>1</v>
      </c>
      <c r="FJ100" s="25">
        <v>1</v>
      </c>
      <c r="FK100" s="25">
        <v>1</v>
      </c>
      <c r="FL100" s="25">
        <v>25</v>
      </c>
      <c r="FM100" s="25" t="s">
        <v>137</v>
      </c>
      <c r="FN100" s="25">
        <v>19940101</v>
      </c>
      <c r="FP100" s="28">
        <v>4</v>
      </c>
      <c r="FQ100" s="47">
        <v>1</v>
      </c>
      <c r="FR100" s="41">
        <v>1</v>
      </c>
      <c r="FS100" s="41" t="str">
        <f t="shared" si="6"/>
        <v>MFCL</v>
      </c>
      <c r="FT100" s="41">
        <f t="shared" si="7"/>
        <v>818</v>
      </c>
      <c r="FU100" s="41">
        <f t="shared" si="8"/>
        <v>25</v>
      </c>
      <c r="FV100" s="41">
        <v>16500</v>
      </c>
      <c r="FW100" s="41">
        <v>66</v>
      </c>
      <c r="FX100" s="41"/>
      <c r="FY100" s="29">
        <v>0</v>
      </c>
      <c r="FZ100" s="29">
        <v>0</v>
      </c>
      <c r="GA100" s="30">
        <v>0</v>
      </c>
      <c r="GB100" s="30">
        <v>0</v>
      </c>
      <c r="GC100" s="29">
        <v>0</v>
      </c>
      <c r="GD100" s="41">
        <v>0</v>
      </c>
      <c r="GE100" s="29">
        <v>0</v>
      </c>
      <c r="GF100" s="29">
        <v>0</v>
      </c>
      <c r="GG100" s="29">
        <v>0</v>
      </c>
      <c r="GH100" s="29">
        <v>0</v>
      </c>
      <c r="GI100" s="29">
        <v>0</v>
      </c>
      <c r="GJ100" s="29">
        <v>0</v>
      </c>
      <c r="GK100" s="29">
        <v>0</v>
      </c>
      <c r="GL100" s="29">
        <v>0</v>
      </c>
      <c r="GM100" s="29">
        <v>0</v>
      </c>
      <c r="GN100" s="29">
        <v>0</v>
      </c>
      <c r="GO100" s="29">
        <v>0</v>
      </c>
      <c r="GP100" s="29">
        <v>0</v>
      </c>
      <c r="GQ100" s="29">
        <v>0</v>
      </c>
      <c r="GR100" s="18">
        <v>1</v>
      </c>
      <c r="GS100" s="41">
        <v>2</v>
      </c>
      <c r="GT100" s="41" t="str">
        <f t="shared" si="9"/>
        <v>PURO</v>
      </c>
      <c r="GU100" s="41">
        <v>818</v>
      </c>
      <c r="GV100" s="41">
        <v>31</v>
      </c>
      <c r="GW100" s="41">
        <v>0</v>
      </c>
      <c r="GX100" s="41">
        <v>22</v>
      </c>
      <c r="GY100" s="41"/>
      <c r="GZ100" s="41">
        <v>0</v>
      </c>
      <c r="HA100" s="41">
        <v>0</v>
      </c>
      <c r="HB100" s="42">
        <v>0</v>
      </c>
      <c r="HC100" s="42">
        <v>0</v>
      </c>
      <c r="HD100" s="41">
        <v>0</v>
      </c>
      <c r="HE100" s="41">
        <v>0</v>
      </c>
      <c r="HF100" s="41">
        <v>0</v>
      </c>
      <c r="HG100" s="41">
        <v>0</v>
      </c>
      <c r="HH100" s="41">
        <v>0</v>
      </c>
      <c r="HI100" s="41">
        <v>0</v>
      </c>
      <c r="HJ100" s="41">
        <v>0</v>
      </c>
      <c r="HK100" s="41">
        <v>0</v>
      </c>
      <c r="HL100" s="41">
        <v>0</v>
      </c>
      <c r="HM100" s="41">
        <v>0</v>
      </c>
      <c r="HN100" s="41">
        <v>0</v>
      </c>
      <c r="HO100" s="41">
        <v>0</v>
      </c>
      <c r="HP100" s="41">
        <v>0</v>
      </c>
      <c r="HQ100" s="41">
        <v>0</v>
      </c>
      <c r="HR100" s="41">
        <v>0</v>
      </c>
      <c r="HS100" s="24">
        <v>1</v>
      </c>
      <c r="HT100" s="41">
        <v>3</v>
      </c>
      <c r="HU100" s="41" t="str">
        <f t="shared" si="10"/>
        <v>PUDT</v>
      </c>
      <c r="HV100" s="41">
        <v>818</v>
      </c>
      <c r="HW100" s="41">
        <v>31</v>
      </c>
      <c r="HX100" s="41">
        <v>0</v>
      </c>
      <c r="HY100" s="41">
        <v>23.1</v>
      </c>
      <c r="HZ100" s="42"/>
      <c r="IA100" s="41">
        <v>0</v>
      </c>
      <c r="IB100" s="41">
        <v>0</v>
      </c>
      <c r="IC100" s="42">
        <v>0</v>
      </c>
      <c r="ID100" s="42">
        <v>0</v>
      </c>
      <c r="IE100" s="41">
        <v>0</v>
      </c>
      <c r="IF100" s="43">
        <v>0</v>
      </c>
      <c r="IG100" s="41">
        <v>0</v>
      </c>
      <c r="IH100" s="41">
        <v>0</v>
      </c>
      <c r="II100" s="41">
        <v>0</v>
      </c>
      <c r="IJ100" s="41">
        <v>0</v>
      </c>
      <c r="IK100" s="41">
        <v>0</v>
      </c>
      <c r="IL100" s="41">
        <v>0</v>
      </c>
      <c r="IM100" s="41">
        <v>0</v>
      </c>
      <c r="IN100" s="41">
        <v>0</v>
      </c>
      <c r="IO100" s="41">
        <v>0</v>
      </c>
      <c r="IP100" s="41">
        <v>0</v>
      </c>
      <c r="IQ100" s="41">
        <v>0</v>
      </c>
      <c r="IR100" s="41">
        <v>0</v>
      </c>
      <c r="IS100" s="41">
        <v>0</v>
      </c>
      <c r="IT100" s="17">
        <v>1</v>
      </c>
      <c r="IU100" s="41">
        <v>4</v>
      </c>
      <c r="IV100" s="41" t="str">
        <f t="shared" si="11"/>
        <v>PUDS</v>
      </c>
      <c r="IW100" s="41">
        <v>818</v>
      </c>
      <c r="IX100" s="41">
        <v>31</v>
      </c>
      <c r="IY100" s="41">
        <v>0</v>
      </c>
      <c r="IZ100" s="41">
        <v>11</v>
      </c>
      <c r="JA100" s="42"/>
      <c r="JB100" s="41">
        <v>0</v>
      </c>
      <c r="JC100" s="41">
        <v>0</v>
      </c>
      <c r="JD100" s="42">
        <v>0</v>
      </c>
      <c r="JE100" s="42">
        <v>0</v>
      </c>
      <c r="JF100" s="41">
        <v>0</v>
      </c>
      <c r="JG100" s="41">
        <v>0</v>
      </c>
      <c r="JH100" s="41">
        <v>0</v>
      </c>
      <c r="JI100" s="41">
        <v>0</v>
      </c>
      <c r="JJ100" s="41">
        <v>0</v>
      </c>
      <c r="JK100" s="41">
        <v>0</v>
      </c>
      <c r="JL100" s="41">
        <v>0</v>
      </c>
      <c r="JM100" s="41">
        <v>0</v>
      </c>
      <c r="JN100" s="41">
        <v>0</v>
      </c>
      <c r="JO100" s="41">
        <v>0</v>
      </c>
      <c r="JP100" s="41">
        <v>0</v>
      </c>
      <c r="JQ100" s="41">
        <v>0</v>
      </c>
      <c r="JR100" s="41">
        <v>0</v>
      </c>
      <c r="JS100" s="41">
        <v>0</v>
      </c>
      <c r="JT100" s="41">
        <v>0</v>
      </c>
      <c r="JU100"/>
    </row>
    <row r="101" spans="1:281" ht="15.75">
      <c r="A101" s="25">
        <v>95</v>
      </c>
      <c r="B101" s="25">
        <v>20190301</v>
      </c>
      <c r="C101" s="25"/>
      <c r="D101" s="25" t="s">
        <v>132</v>
      </c>
      <c r="E101" s="25" t="s">
        <v>132</v>
      </c>
      <c r="F101" s="25" t="s">
        <v>133</v>
      </c>
      <c r="G101" s="25"/>
      <c r="H101" s="25">
        <v>100000095</v>
      </c>
      <c r="I101" s="25" t="s">
        <v>134</v>
      </c>
      <c r="J101" s="25" t="s">
        <v>135</v>
      </c>
      <c r="K101" s="25" t="s">
        <v>132</v>
      </c>
      <c r="L101" s="25">
        <v>4</v>
      </c>
      <c r="M101" s="25">
        <v>1</v>
      </c>
      <c r="N101" s="25">
        <v>1</v>
      </c>
      <c r="O101" s="45" t="s">
        <v>202</v>
      </c>
      <c r="P101" s="25">
        <v>100</v>
      </c>
      <c r="Q101" s="25">
        <v>20180301</v>
      </c>
      <c r="R101" s="25">
        <v>20180301</v>
      </c>
      <c r="S101" s="25" t="s">
        <v>137</v>
      </c>
      <c r="T101" s="25" t="s">
        <v>138</v>
      </c>
      <c r="U101" s="25">
        <v>20190301</v>
      </c>
      <c r="V101" s="25">
        <v>10</v>
      </c>
      <c r="W101" s="25">
        <v>10</v>
      </c>
      <c r="X101" s="25" t="s">
        <v>139</v>
      </c>
      <c r="Y101" s="25">
        <v>0</v>
      </c>
      <c r="Z101" s="25" t="s">
        <v>140</v>
      </c>
      <c r="AA101" s="25">
        <v>818</v>
      </c>
      <c r="AB101" s="41">
        <v>0</v>
      </c>
      <c r="AC101" s="41">
        <v>12</v>
      </c>
      <c r="AD101" s="41">
        <v>20180201</v>
      </c>
      <c r="AE101" s="41">
        <v>0</v>
      </c>
      <c r="AF101" s="26">
        <v>20000</v>
      </c>
      <c r="AG101" s="41">
        <v>87</v>
      </c>
      <c r="AH101" s="26">
        <v>26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>
        <v>0</v>
      </c>
      <c r="AW101" s="26">
        <v>0</v>
      </c>
      <c r="AX101" s="26">
        <v>0</v>
      </c>
      <c r="AY101" s="46">
        <v>1</v>
      </c>
      <c r="AZ101" s="25">
        <v>2</v>
      </c>
      <c r="BA101" s="41" t="s">
        <v>203</v>
      </c>
      <c r="BB101" s="41">
        <v>100</v>
      </c>
      <c r="BC101" s="41">
        <v>20180301</v>
      </c>
      <c r="BD101" s="41">
        <v>20180301</v>
      </c>
      <c r="BE101" s="41" t="s">
        <v>198</v>
      </c>
      <c r="BF101" s="41" t="s">
        <v>149</v>
      </c>
      <c r="BG101" s="41">
        <v>20180301</v>
      </c>
      <c r="BH101" s="41">
        <v>0</v>
      </c>
      <c r="BI101" s="41">
        <v>0</v>
      </c>
      <c r="BJ101" s="41"/>
      <c r="BK101" s="41">
        <v>0</v>
      </c>
      <c r="BL101" s="41" t="s">
        <v>140</v>
      </c>
      <c r="BM101" s="41">
        <v>818</v>
      </c>
      <c r="BN101" s="41">
        <v>0</v>
      </c>
      <c r="BO101" s="41">
        <v>12</v>
      </c>
      <c r="BP101" s="41">
        <v>20180201</v>
      </c>
      <c r="BQ101" s="41">
        <v>0</v>
      </c>
      <c r="BR101" s="41">
        <v>0</v>
      </c>
      <c r="BS101" s="41">
        <v>23</v>
      </c>
      <c r="BT101" s="25">
        <v>26</v>
      </c>
      <c r="BU101" s="25">
        <v>0</v>
      </c>
      <c r="BV101" s="25">
        <v>0</v>
      </c>
      <c r="BW101" s="25">
        <v>0</v>
      </c>
      <c r="BX101" s="25">
        <v>0</v>
      </c>
      <c r="BY101" s="25">
        <v>0</v>
      </c>
      <c r="BZ101" s="25">
        <v>0</v>
      </c>
      <c r="CA101" s="25">
        <v>0</v>
      </c>
      <c r="CB101" s="25">
        <v>0</v>
      </c>
      <c r="CC101" s="25">
        <v>0</v>
      </c>
      <c r="CD101" s="25">
        <v>0</v>
      </c>
      <c r="CE101" s="25">
        <v>0</v>
      </c>
      <c r="CF101" s="25">
        <v>0</v>
      </c>
      <c r="CG101" s="25">
        <v>0</v>
      </c>
      <c r="CH101" s="25">
        <v>0</v>
      </c>
      <c r="CI101" s="25">
        <v>0</v>
      </c>
      <c r="CJ101" s="25">
        <v>0</v>
      </c>
      <c r="CK101" s="22">
        <v>1</v>
      </c>
      <c r="CL101" s="25">
        <v>3</v>
      </c>
      <c r="CM101" s="41" t="s">
        <v>150</v>
      </c>
      <c r="CN101" s="41">
        <v>100</v>
      </c>
      <c r="CO101" s="41">
        <v>20180301</v>
      </c>
      <c r="CP101" s="41">
        <v>20180301</v>
      </c>
      <c r="CQ101" s="41" t="s">
        <v>198</v>
      </c>
      <c r="CR101" s="41" t="s">
        <v>200</v>
      </c>
      <c r="CS101" s="41">
        <v>20180301</v>
      </c>
      <c r="CT101" s="41">
        <v>0</v>
      </c>
      <c r="CU101" s="41">
        <v>0</v>
      </c>
      <c r="CV101" s="41"/>
      <c r="CW101" s="41">
        <v>0</v>
      </c>
      <c r="CX101" s="41" t="s">
        <v>140</v>
      </c>
      <c r="CY101" s="41">
        <v>818</v>
      </c>
      <c r="CZ101" s="41">
        <v>0</v>
      </c>
      <c r="DA101" s="41">
        <v>12</v>
      </c>
      <c r="DB101" s="41">
        <v>20180201</v>
      </c>
      <c r="DC101" s="41">
        <v>0</v>
      </c>
      <c r="DD101" s="41">
        <v>0</v>
      </c>
      <c r="DE101" s="41">
        <v>26</v>
      </c>
      <c r="DF101" s="25">
        <v>26</v>
      </c>
      <c r="DG101" s="25">
        <v>0</v>
      </c>
      <c r="DH101" s="25">
        <v>0</v>
      </c>
      <c r="DI101" s="25">
        <v>0</v>
      </c>
      <c r="DJ101" s="25">
        <v>0</v>
      </c>
      <c r="DK101" s="25">
        <v>0</v>
      </c>
      <c r="DL101" s="25">
        <v>0</v>
      </c>
      <c r="DM101" s="25">
        <v>0</v>
      </c>
      <c r="DN101" s="25">
        <v>0</v>
      </c>
      <c r="DO101" s="25">
        <v>0</v>
      </c>
      <c r="DP101" s="25">
        <v>0</v>
      </c>
      <c r="DQ101" s="25">
        <v>0</v>
      </c>
      <c r="DR101" s="25">
        <v>0</v>
      </c>
      <c r="DS101" s="25">
        <v>0</v>
      </c>
      <c r="DT101" s="25">
        <v>0</v>
      </c>
      <c r="DU101" s="25">
        <v>0</v>
      </c>
      <c r="DV101" s="25">
        <v>0</v>
      </c>
      <c r="DW101" s="23">
        <v>1</v>
      </c>
      <c r="DX101" s="25">
        <v>4</v>
      </c>
      <c r="DY101" s="41" t="s">
        <v>151</v>
      </c>
      <c r="DZ101" s="41">
        <v>100</v>
      </c>
      <c r="EA101" s="41">
        <v>20180301</v>
      </c>
      <c r="EB101" s="41">
        <v>20180301</v>
      </c>
      <c r="EC101" s="41" t="s">
        <v>198</v>
      </c>
      <c r="ED101" s="41" t="s">
        <v>201</v>
      </c>
      <c r="EE101" s="41">
        <v>20180301</v>
      </c>
      <c r="EF101" s="41">
        <v>0</v>
      </c>
      <c r="EG101" s="41">
        <v>0</v>
      </c>
      <c r="EH101" s="41"/>
      <c r="EI101" s="41">
        <v>0</v>
      </c>
      <c r="EJ101" s="41" t="s">
        <v>140</v>
      </c>
      <c r="EK101" s="41">
        <v>818</v>
      </c>
      <c r="EL101" s="41">
        <v>0</v>
      </c>
      <c r="EM101" s="41">
        <v>12</v>
      </c>
      <c r="EN101" s="41">
        <v>20180201</v>
      </c>
      <c r="EO101" s="41">
        <v>0</v>
      </c>
      <c r="EP101" s="41">
        <v>0</v>
      </c>
      <c r="EQ101" s="41">
        <v>11</v>
      </c>
      <c r="ER101" s="25">
        <v>26</v>
      </c>
      <c r="ES101" s="25">
        <v>0</v>
      </c>
      <c r="ET101" s="25">
        <v>0</v>
      </c>
      <c r="EU101" s="25">
        <v>0</v>
      </c>
      <c r="EV101" s="25">
        <v>0</v>
      </c>
      <c r="EW101" s="25">
        <v>0</v>
      </c>
      <c r="EX101" s="25">
        <v>0</v>
      </c>
      <c r="EY101" s="25">
        <v>0</v>
      </c>
      <c r="EZ101" s="25">
        <v>0</v>
      </c>
      <c r="FA101" s="25">
        <v>0</v>
      </c>
      <c r="FB101" s="25">
        <v>0</v>
      </c>
      <c r="FC101" s="25">
        <v>0</v>
      </c>
      <c r="FD101" s="25">
        <v>0</v>
      </c>
      <c r="FE101" s="25">
        <v>0</v>
      </c>
      <c r="FF101" s="25">
        <v>0</v>
      </c>
      <c r="FG101" s="25">
        <v>0</v>
      </c>
      <c r="FH101" s="25">
        <v>0</v>
      </c>
      <c r="FI101" s="25">
        <v>1</v>
      </c>
      <c r="FJ101" s="25">
        <v>1</v>
      </c>
      <c r="FK101" s="25">
        <v>1</v>
      </c>
      <c r="FL101" s="25">
        <v>26</v>
      </c>
      <c r="FM101" s="25" t="s">
        <v>137</v>
      </c>
      <c r="FN101" s="25">
        <v>19930101</v>
      </c>
      <c r="FP101" s="28">
        <v>4</v>
      </c>
      <c r="FQ101" s="47">
        <v>1</v>
      </c>
      <c r="FR101" s="41">
        <v>1</v>
      </c>
      <c r="FS101" s="41" t="str">
        <f t="shared" si="6"/>
        <v>MFCL</v>
      </c>
      <c r="FT101" s="41">
        <f t="shared" si="7"/>
        <v>818</v>
      </c>
      <c r="FU101" s="41">
        <f t="shared" si="8"/>
        <v>26</v>
      </c>
      <c r="FV101" s="41">
        <v>22000</v>
      </c>
      <c r="FW101" s="41">
        <v>95.7</v>
      </c>
      <c r="FX101" s="41"/>
      <c r="FY101" s="29">
        <v>0</v>
      </c>
      <c r="FZ101" s="29">
        <v>0</v>
      </c>
      <c r="GA101" s="30">
        <v>0</v>
      </c>
      <c r="GB101" s="30">
        <v>0</v>
      </c>
      <c r="GC101" s="29">
        <v>0</v>
      </c>
      <c r="GD101" s="41">
        <v>0</v>
      </c>
      <c r="GE101" s="29">
        <v>0</v>
      </c>
      <c r="GF101" s="29">
        <v>0</v>
      </c>
      <c r="GG101" s="29">
        <v>0</v>
      </c>
      <c r="GH101" s="29">
        <v>0</v>
      </c>
      <c r="GI101" s="29">
        <v>0</v>
      </c>
      <c r="GJ101" s="29">
        <v>0</v>
      </c>
      <c r="GK101" s="29">
        <v>0</v>
      </c>
      <c r="GL101" s="29">
        <v>0</v>
      </c>
      <c r="GM101" s="29">
        <v>0</v>
      </c>
      <c r="GN101" s="29">
        <v>0</v>
      </c>
      <c r="GO101" s="29">
        <v>0</v>
      </c>
      <c r="GP101" s="29">
        <v>0</v>
      </c>
      <c r="GQ101" s="29">
        <v>0</v>
      </c>
      <c r="GR101" s="18">
        <v>1</v>
      </c>
      <c r="GS101" s="41">
        <v>2</v>
      </c>
      <c r="GT101" s="41" t="str">
        <f t="shared" si="9"/>
        <v>PURO</v>
      </c>
      <c r="GU101" s="41">
        <v>818</v>
      </c>
      <c r="GV101" s="41">
        <v>32</v>
      </c>
      <c r="GW101" s="41">
        <v>0</v>
      </c>
      <c r="GX101" s="41">
        <v>25.3</v>
      </c>
      <c r="GY101" s="41"/>
      <c r="GZ101" s="41">
        <v>0</v>
      </c>
      <c r="HA101" s="41">
        <v>0</v>
      </c>
      <c r="HB101" s="42">
        <v>0</v>
      </c>
      <c r="HC101" s="42">
        <v>0</v>
      </c>
      <c r="HD101" s="41">
        <v>0</v>
      </c>
      <c r="HE101" s="41">
        <v>0</v>
      </c>
      <c r="HF101" s="41">
        <v>0</v>
      </c>
      <c r="HG101" s="41">
        <v>0</v>
      </c>
      <c r="HH101" s="41">
        <v>0</v>
      </c>
      <c r="HI101" s="41">
        <v>0</v>
      </c>
      <c r="HJ101" s="41">
        <v>0</v>
      </c>
      <c r="HK101" s="41">
        <v>0</v>
      </c>
      <c r="HL101" s="41">
        <v>0</v>
      </c>
      <c r="HM101" s="41">
        <v>0</v>
      </c>
      <c r="HN101" s="41">
        <v>0</v>
      </c>
      <c r="HO101" s="41">
        <v>0</v>
      </c>
      <c r="HP101" s="41">
        <v>0</v>
      </c>
      <c r="HQ101" s="41">
        <v>0</v>
      </c>
      <c r="HR101" s="41">
        <v>0</v>
      </c>
      <c r="HS101" s="24">
        <v>1</v>
      </c>
      <c r="HT101" s="41">
        <v>3</v>
      </c>
      <c r="HU101" s="41" t="str">
        <f t="shared" si="10"/>
        <v>PUDT</v>
      </c>
      <c r="HV101" s="41">
        <v>818</v>
      </c>
      <c r="HW101" s="41">
        <v>32</v>
      </c>
      <c r="HX101" s="41">
        <v>0</v>
      </c>
      <c r="HY101" s="41">
        <v>28.6</v>
      </c>
      <c r="HZ101" s="42"/>
      <c r="IA101" s="41">
        <v>0</v>
      </c>
      <c r="IB101" s="41">
        <v>0</v>
      </c>
      <c r="IC101" s="42">
        <v>0</v>
      </c>
      <c r="ID101" s="42">
        <v>0</v>
      </c>
      <c r="IE101" s="41">
        <v>0</v>
      </c>
      <c r="IF101" s="43">
        <v>0</v>
      </c>
      <c r="IG101" s="41">
        <v>0</v>
      </c>
      <c r="IH101" s="41">
        <v>0</v>
      </c>
      <c r="II101" s="41">
        <v>0</v>
      </c>
      <c r="IJ101" s="41">
        <v>0</v>
      </c>
      <c r="IK101" s="41">
        <v>0</v>
      </c>
      <c r="IL101" s="41">
        <v>0</v>
      </c>
      <c r="IM101" s="41">
        <v>0</v>
      </c>
      <c r="IN101" s="41">
        <v>0</v>
      </c>
      <c r="IO101" s="41">
        <v>0</v>
      </c>
      <c r="IP101" s="41">
        <v>0</v>
      </c>
      <c r="IQ101" s="41">
        <v>0</v>
      </c>
      <c r="IR101" s="41">
        <v>0</v>
      </c>
      <c r="IS101" s="41">
        <v>0</v>
      </c>
      <c r="IT101" s="17">
        <v>1</v>
      </c>
      <c r="IU101" s="41">
        <v>4</v>
      </c>
      <c r="IV101" s="41" t="str">
        <f t="shared" si="11"/>
        <v>PUDS</v>
      </c>
      <c r="IW101" s="41">
        <v>818</v>
      </c>
      <c r="IX101" s="41">
        <v>32</v>
      </c>
      <c r="IY101" s="41">
        <v>0</v>
      </c>
      <c r="IZ101" s="41">
        <v>12.1</v>
      </c>
      <c r="JA101" s="42"/>
      <c r="JB101" s="41">
        <v>0</v>
      </c>
      <c r="JC101" s="41">
        <v>0</v>
      </c>
      <c r="JD101" s="42">
        <v>0</v>
      </c>
      <c r="JE101" s="42">
        <v>0</v>
      </c>
      <c r="JF101" s="41">
        <v>0</v>
      </c>
      <c r="JG101" s="41">
        <v>0</v>
      </c>
      <c r="JH101" s="41">
        <v>0</v>
      </c>
      <c r="JI101" s="41">
        <v>0</v>
      </c>
      <c r="JJ101" s="41">
        <v>0</v>
      </c>
      <c r="JK101" s="41">
        <v>0</v>
      </c>
      <c r="JL101" s="41">
        <v>0</v>
      </c>
      <c r="JM101" s="41">
        <v>0</v>
      </c>
      <c r="JN101" s="41">
        <v>0</v>
      </c>
      <c r="JO101" s="41">
        <v>0</v>
      </c>
      <c r="JP101" s="41">
        <v>0</v>
      </c>
      <c r="JQ101" s="41">
        <v>0</v>
      </c>
      <c r="JR101" s="41">
        <v>0</v>
      </c>
      <c r="JS101" s="41">
        <v>0</v>
      </c>
      <c r="JT101" s="41">
        <v>0</v>
      </c>
      <c r="JU101"/>
    </row>
    <row r="102" spans="1:281" ht="15.75">
      <c r="A102" s="25">
        <v>96</v>
      </c>
      <c r="B102" s="25">
        <v>20190301</v>
      </c>
      <c r="C102" s="25"/>
      <c r="D102" s="25" t="s">
        <v>132</v>
      </c>
      <c r="E102" s="25" t="s">
        <v>132</v>
      </c>
      <c r="F102" s="25" t="s">
        <v>133</v>
      </c>
      <c r="G102" s="25"/>
      <c r="H102" s="25">
        <v>100000096</v>
      </c>
      <c r="I102" s="25" t="s">
        <v>134</v>
      </c>
      <c r="J102" s="25" t="s">
        <v>135</v>
      </c>
      <c r="K102" s="25" t="s">
        <v>132</v>
      </c>
      <c r="L102" s="25">
        <v>4</v>
      </c>
      <c r="M102" s="25">
        <v>1</v>
      </c>
      <c r="N102" s="25">
        <v>1</v>
      </c>
      <c r="O102" s="45" t="s">
        <v>202</v>
      </c>
      <c r="P102" s="25">
        <v>100</v>
      </c>
      <c r="Q102" s="25">
        <v>20180301</v>
      </c>
      <c r="R102" s="25">
        <v>20180301</v>
      </c>
      <c r="S102" s="25" t="s">
        <v>137</v>
      </c>
      <c r="T102" s="25" t="s">
        <v>138</v>
      </c>
      <c r="U102" s="25">
        <v>20190301</v>
      </c>
      <c r="V102" s="25">
        <v>6</v>
      </c>
      <c r="W102" s="25">
        <v>6</v>
      </c>
      <c r="X102" s="25" t="s">
        <v>139</v>
      </c>
      <c r="Y102" s="25">
        <v>0</v>
      </c>
      <c r="Z102" s="25" t="s">
        <v>140</v>
      </c>
      <c r="AA102" s="25">
        <v>818</v>
      </c>
      <c r="AB102" s="41">
        <v>0</v>
      </c>
      <c r="AC102" s="41">
        <v>12</v>
      </c>
      <c r="AD102" s="41">
        <v>20180201</v>
      </c>
      <c r="AE102" s="41">
        <v>0</v>
      </c>
      <c r="AF102" s="26">
        <v>25000</v>
      </c>
      <c r="AG102" s="41">
        <v>101</v>
      </c>
      <c r="AH102" s="26">
        <v>27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>
        <v>0</v>
      </c>
      <c r="AW102" s="26">
        <v>0</v>
      </c>
      <c r="AX102" s="26">
        <v>0</v>
      </c>
      <c r="AY102" s="46">
        <v>1</v>
      </c>
      <c r="AZ102" s="25">
        <v>2</v>
      </c>
      <c r="BA102" s="41" t="s">
        <v>203</v>
      </c>
      <c r="BB102" s="41">
        <v>100</v>
      </c>
      <c r="BC102" s="41">
        <v>20180301</v>
      </c>
      <c r="BD102" s="41">
        <v>20180301</v>
      </c>
      <c r="BE102" s="41" t="s">
        <v>198</v>
      </c>
      <c r="BF102" s="41" t="s">
        <v>149</v>
      </c>
      <c r="BG102" s="41">
        <v>20180301</v>
      </c>
      <c r="BH102" s="41">
        <v>0</v>
      </c>
      <c r="BI102" s="41">
        <v>0</v>
      </c>
      <c r="BJ102" s="41"/>
      <c r="BK102" s="41">
        <v>0</v>
      </c>
      <c r="BL102" s="41" t="s">
        <v>140</v>
      </c>
      <c r="BM102" s="41">
        <v>818</v>
      </c>
      <c r="BN102" s="41">
        <v>0</v>
      </c>
      <c r="BO102" s="41">
        <v>12</v>
      </c>
      <c r="BP102" s="41">
        <v>20180201</v>
      </c>
      <c r="BQ102" s="41">
        <v>0</v>
      </c>
      <c r="BR102" s="41">
        <v>0</v>
      </c>
      <c r="BS102" s="41">
        <v>26</v>
      </c>
      <c r="BT102" s="25">
        <v>27</v>
      </c>
      <c r="BU102" s="25">
        <v>0</v>
      </c>
      <c r="BV102" s="25">
        <v>0</v>
      </c>
      <c r="BW102" s="25">
        <v>0</v>
      </c>
      <c r="BX102" s="25">
        <v>0</v>
      </c>
      <c r="BY102" s="25">
        <v>0</v>
      </c>
      <c r="BZ102" s="25">
        <v>0</v>
      </c>
      <c r="CA102" s="25">
        <v>0</v>
      </c>
      <c r="CB102" s="25">
        <v>0</v>
      </c>
      <c r="CC102" s="25">
        <v>0</v>
      </c>
      <c r="CD102" s="25">
        <v>0</v>
      </c>
      <c r="CE102" s="25">
        <v>0</v>
      </c>
      <c r="CF102" s="25">
        <v>0</v>
      </c>
      <c r="CG102" s="25">
        <v>0</v>
      </c>
      <c r="CH102" s="25">
        <v>0</v>
      </c>
      <c r="CI102" s="25">
        <v>0</v>
      </c>
      <c r="CJ102" s="25">
        <v>0</v>
      </c>
      <c r="CK102" s="22">
        <v>1</v>
      </c>
      <c r="CL102" s="25">
        <v>3</v>
      </c>
      <c r="CM102" s="41" t="s">
        <v>150</v>
      </c>
      <c r="CN102" s="41">
        <v>100</v>
      </c>
      <c r="CO102" s="41">
        <v>20180301</v>
      </c>
      <c r="CP102" s="41">
        <v>20180301</v>
      </c>
      <c r="CQ102" s="41" t="s">
        <v>198</v>
      </c>
      <c r="CR102" s="41" t="s">
        <v>200</v>
      </c>
      <c r="CS102" s="41">
        <v>20180301</v>
      </c>
      <c r="CT102" s="41">
        <v>0</v>
      </c>
      <c r="CU102" s="41">
        <v>0</v>
      </c>
      <c r="CV102" s="41"/>
      <c r="CW102" s="41">
        <v>0</v>
      </c>
      <c r="CX102" s="41" t="s">
        <v>140</v>
      </c>
      <c r="CY102" s="41">
        <v>818</v>
      </c>
      <c r="CZ102" s="41">
        <v>0</v>
      </c>
      <c r="DA102" s="41">
        <v>12</v>
      </c>
      <c r="DB102" s="41">
        <v>20180201</v>
      </c>
      <c r="DC102" s="41">
        <v>0</v>
      </c>
      <c r="DD102" s="41">
        <v>0</v>
      </c>
      <c r="DE102" s="41">
        <v>29</v>
      </c>
      <c r="DF102" s="25">
        <v>27</v>
      </c>
      <c r="DG102" s="25">
        <v>0</v>
      </c>
      <c r="DH102" s="25">
        <v>0</v>
      </c>
      <c r="DI102" s="25">
        <v>0</v>
      </c>
      <c r="DJ102" s="25">
        <v>0</v>
      </c>
      <c r="DK102" s="25">
        <v>0</v>
      </c>
      <c r="DL102" s="25">
        <v>0</v>
      </c>
      <c r="DM102" s="25">
        <v>0</v>
      </c>
      <c r="DN102" s="25">
        <v>0</v>
      </c>
      <c r="DO102" s="25">
        <v>0</v>
      </c>
      <c r="DP102" s="25">
        <v>0</v>
      </c>
      <c r="DQ102" s="25">
        <v>0</v>
      </c>
      <c r="DR102" s="25">
        <v>0</v>
      </c>
      <c r="DS102" s="25">
        <v>0</v>
      </c>
      <c r="DT102" s="25">
        <v>0</v>
      </c>
      <c r="DU102" s="25">
        <v>0</v>
      </c>
      <c r="DV102" s="25">
        <v>0</v>
      </c>
      <c r="DW102" s="23">
        <v>1</v>
      </c>
      <c r="DX102" s="25">
        <v>4</v>
      </c>
      <c r="DY102" s="41" t="s">
        <v>151</v>
      </c>
      <c r="DZ102" s="41">
        <v>100</v>
      </c>
      <c r="EA102" s="41">
        <v>20180301</v>
      </c>
      <c r="EB102" s="41">
        <v>20180301</v>
      </c>
      <c r="EC102" s="41" t="s">
        <v>198</v>
      </c>
      <c r="ED102" s="41" t="s">
        <v>201</v>
      </c>
      <c r="EE102" s="41">
        <v>20180301</v>
      </c>
      <c r="EF102" s="41">
        <v>0</v>
      </c>
      <c r="EG102" s="41">
        <v>0</v>
      </c>
      <c r="EH102" s="41"/>
      <c r="EI102" s="41">
        <v>0</v>
      </c>
      <c r="EJ102" s="41" t="s">
        <v>140</v>
      </c>
      <c r="EK102" s="41">
        <v>818</v>
      </c>
      <c r="EL102" s="41">
        <v>0</v>
      </c>
      <c r="EM102" s="41">
        <v>12</v>
      </c>
      <c r="EN102" s="41">
        <v>20180201</v>
      </c>
      <c r="EO102" s="41">
        <v>0</v>
      </c>
      <c r="EP102" s="41">
        <v>0</v>
      </c>
      <c r="EQ102" s="41">
        <v>12</v>
      </c>
      <c r="ER102" s="25">
        <v>27</v>
      </c>
      <c r="ES102" s="25">
        <v>0</v>
      </c>
      <c r="ET102" s="25">
        <v>0</v>
      </c>
      <c r="EU102" s="25">
        <v>0</v>
      </c>
      <c r="EV102" s="25">
        <v>0</v>
      </c>
      <c r="EW102" s="25">
        <v>0</v>
      </c>
      <c r="EX102" s="25">
        <v>0</v>
      </c>
      <c r="EY102" s="25">
        <v>0</v>
      </c>
      <c r="EZ102" s="25">
        <v>0</v>
      </c>
      <c r="FA102" s="25">
        <v>0</v>
      </c>
      <c r="FB102" s="25">
        <v>0</v>
      </c>
      <c r="FC102" s="25">
        <v>0</v>
      </c>
      <c r="FD102" s="25">
        <v>0</v>
      </c>
      <c r="FE102" s="25">
        <v>0</v>
      </c>
      <c r="FF102" s="25">
        <v>0</v>
      </c>
      <c r="FG102" s="25">
        <v>0</v>
      </c>
      <c r="FH102" s="25">
        <v>0</v>
      </c>
      <c r="FI102" s="25">
        <v>1</v>
      </c>
      <c r="FJ102" s="25">
        <v>1</v>
      </c>
      <c r="FK102" s="25">
        <v>1</v>
      </c>
      <c r="FL102" s="25">
        <v>27</v>
      </c>
      <c r="FM102" s="25" t="s">
        <v>137</v>
      </c>
      <c r="FN102" s="25">
        <v>19920101</v>
      </c>
      <c r="FP102" s="28">
        <v>4</v>
      </c>
      <c r="FQ102" s="47">
        <v>1</v>
      </c>
      <c r="FR102" s="41">
        <v>1</v>
      </c>
      <c r="FS102" s="41" t="str">
        <f t="shared" si="6"/>
        <v>MFCL</v>
      </c>
      <c r="FT102" s="41">
        <f t="shared" si="7"/>
        <v>818</v>
      </c>
      <c r="FU102" s="41">
        <f t="shared" si="8"/>
        <v>27</v>
      </c>
      <c r="FV102" s="41">
        <v>26500</v>
      </c>
      <c r="FW102" s="41">
        <v>107.06</v>
      </c>
      <c r="FX102" s="41"/>
      <c r="FY102" s="29">
        <v>0</v>
      </c>
      <c r="FZ102" s="29">
        <v>0</v>
      </c>
      <c r="GA102" s="30">
        <v>0</v>
      </c>
      <c r="GB102" s="30">
        <v>0</v>
      </c>
      <c r="GC102" s="29">
        <v>0</v>
      </c>
      <c r="GD102" s="41">
        <v>0</v>
      </c>
      <c r="GE102" s="29">
        <v>0</v>
      </c>
      <c r="GF102" s="29">
        <v>0</v>
      </c>
      <c r="GG102" s="29">
        <v>0</v>
      </c>
      <c r="GH102" s="29">
        <v>0</v>
      </c>
      <c r="GI102" s="29">
        <v>0</v>
      </c>
      <c r="GJ102" s="29">
        <v>0</v>
      </c>
      <c r="GK102" s="29">
        <v>0</v>
      </c>
      <c r="GL102" s="29">
        <v>0</v>
      </c>
      <c r="GM102" s="29">
        <v>0</v>
      </c>
      <c r="GN102" s="29">
        <v>0</v>
      </c>
      <c r="GO102" s="29">
        <v>0</v>
      </c>
      <c r="GP102" s="29">
        <v>0</v>
      </c>
      <c r="GQ102" s="29">
        <v>0</v>
      </c>
      <c r="GR102" s="18">
        <v>1</v>
      </c>
      <c r="GS102" s="41">
        <v>2</v>
      </c>
      <c r="GT102" s="41" t="str">
        <f t="shared" si="9"/>
        <v>PURO</v>
      </c>
      <c r="GU102" s="41">
        <v>818</v>
      </c>
      <c r="GV102" s="41">
        <v>33</v>
      </c>
      <c r="GW102" s="41">
        <v>0</v>
      </c>
      <c r="GX102" s="41">
        <v>27.56</v>
      </c>
      <c r="GY102" s="41"/>
      <c r="GZ102" s="41">
        <v>0</v>
      </c>
      <c r="HA102" s="41">
        <v>0</v>
      </c>
      <c r="HB102" s="42">
        <v>0</v>
      </c>
      <c r="HC102" s="42">
        <v>0</v>
      </c>
      <c r="HD102" s="41">
        <v>0</v>
      </c>
      <c r="HE102" s="41">
        <v>0</v>
      </c>
      <c r="HF102" s="41">
        <v>0</v>
      </c>
      <c r="HG102" s="41">
        <v>0</v>
      </c>
      <c r="HH102" s="41">
        <v>0</v>
      </c>
      <c r="HI102" s="41">
        <v>0</v>
      </c>
      <c r="HJ102" s="41">
        <v>0</v>
      </c>
      <c r="HK102" s="41">
        <v>0</v>
      </c>
      <c r="HL102" s="41">
        <v>0</v>
      </c>
      <c r="HM102" s="41">
        <v>0</v>
      </c>
      <c r="HN102" s="41">
        <v>0</v>
      </c>
      <c r="HO102" s="41">
        <v>0</v>
      </c>
      <c r="HP102" s="41">
        <v>0</v>
      </c>
      <c r="HQ102" s="41">
        <v>0</v>
      </c>
      <c r="HR102" s="41">
        <v>0</v>
      </c>
      <c r="HS102" s="24">
        <v>1</v>
      </c>
      <c r="HT102" s="41">
        <v>3</v>
      </c>
      <c r="HU102" s="41" t="str">
        <f t="shared" si="10"/>
        <v>PUDT</v>
      </c>
      <c r="HV102" s="41">
        <v>818</v>
      </c>
      <c r="HW102" s="41">
        <v>33</v>
      </c>
      <c r="HX102" s="41">
        <v>0</v>
      </c>
      <c r="HY102" s="41">
        <v>30.74</v>
      </c>
      <c r="HZ102" s="42"/>
      <c r="IA102" s="41">
        <v>0</v>
      </c>
      <c r="IB102" s="41">
        <v>0</v>
      </c>
      <c r="IC102" s="42">
        <v>0</v>
      </c>
      <c r="ID102" s="42">
        <v>0</v>
      </c>
      <c r="IE102" s="41">
        <v>0</v>
      </c>
      <c r="IF102" s="43">
        <v>0</v>
      </c>
      <c r="IG102" s="41">
        <v>0</v>
      </c>
      <c r="IH102" s="41">
        <v>0</v>
      </c>
      <c r="II102" s="41">
        <v>0</v>
      </c>
      <c r="IJ102" s="41">
        <v>0</v>
      </c>
      <c r="IK102" s="41">
        <v>0</v>
      </c>
      <c r="IL102" s="41">
        <v>0</v>
      </c>
      <c r="IM102" s="41">
        <v>0</v>
      </c>
      <c r="IN102" s="41">
        <v>0</v>
      </c>
      <c r="IO102" s="41">
        <v>0</v>
      </c>
      <c r="IP102" s="41">
        <v>0</v>
      </c>
      <c r="IQ102" s="41">
        <v>0</v>
      </c>
      <c r="IR102" s="41">
        <v>0</v>
      </c>
      <c r="IS102" s="41">
        <v>0</v>
      </c>
      <c r="IT102" s="17">
        <v>1</v>
      </c>
      <c r="IU102" s="41">
        <v>4</v>
      </c>
      <c r="IV102" s="41" t="str">
        <f t="shared" si="11"/>
        <v>PUDS</v>
      </c>
      <c r="IW102" s="41">
        <v>818</v>
      </c>
      <c r="IX102" s="41">
        <v>33</v>
      </c>
      <c r="IY102" s="41">
        <v>0</v>
      </c>
      <c r="IZ102" s="41">
        <v>12.72</v>
      </c>
      <c r="JA102" s="42"/>
      <c r="JB102" s="41">
        <v>0</v>
      </c>
      <c r="JC102" s="41">
        <v>0</v>
      </c>
      <c r="JD102" s="42">
        <v>0</v>
      </c>
      <c r="JE102" s="42">
        <v>0</v>
      </c>
      <c r="JF102" s="41">
        <v>0</v>
      </c>
      <c r="JG102" s="41">
        <v>0</v>
      </c>
      <c r="JH102" s="41">
        <v>0</v>
      </c>
      <c r="JI102" s="41">
        <v>0</v>
      </c>
      <c r="JJ102" s="41">
        <v>0</v>
      </c>
      <c r="JK102" s="41">
        <v>0</v>
      </c>
      <c r="JL102" s="41">
        <v>0</v>
      </c>
      <c r="JM102" s="41">
        <v>0</v>
      </c>
      <c r="JN102" s="41">
        <v>0</v>
      </c>
      <c r="JO102" s="41">
        <v>0</v>
      </c>
      <c r="JP102" s="41">
        <v>0</v>
      </c>
      <c r="JQ102" s="41">
        <v>0</v>
      </c>
      <c r="JR102" s="41">
        <v>0</v>
      </c>
      <c r="JS102" s="41">
        <v>0</v>
      </c>
      <c r="JT102" s="41">
        <v>0</v>
      </c>
      <c r="JU102"/>
    </row>
    <row r="103" spans="1:281" ht="15.75">
      <c r="A103" s="25">
        <v>97</v>
      </c>
      <c r="B103" s="25">
        <v>20190301</v>
      </c>
      <c r="C103" s="25"/>
      <c r="D103" s="25" t="s">
        <v>132</v>
      </c>
      <c r="E103" s="25" t="s">
        <v>132</v>
      </c>
      <c r="F103" s="25" t="s">
        <v>133</v>
      </c>
      <c r="G103" s="25"/>
      <c r="H103" s="25">
        <v>100000097</v>
      </c>
      <c r="I103" s="25" t="s">
        <v>134</v>
      </c>
      <c r="J103" s="25" t="s">
        <v>135</v>
      </c>
      <c r="K103" s="25" t="s">
        <v>132</v>
      </c>
      <c r="L103" s="25">
        <v>4</v>
      </c>
      <c r="M103" s="25">
        <v>1</v>
      </c>
      <c r="N103" s="25">
        <v>1</v>
      </c>
      <c r="O103" s="45" t="s">
        <v>202</v>
      </c>
      <c r="P103" s="25">
        <v>100</v>
      </c>
      <c r="Q103" s="25">
        <v>20180301</v>
      </c>
      <c r="R103" s="25">
        <v>20180301</v>
      </c>
      <c r="S103" s="25" t="s">
        <v>137</v>
      </c>
      <c r="T103" s="25" t="s">
        <v>138</v>
      </c>
      <c r="U103" s="25">
        <v>20190301</v>
      </c>
      <c r="V103" s="25">
        <v>6</v>
      </c>
      <c r="W103" s="25">
        <v>6</v>
      </c>
      <c r="X103" s="25" t="s">
        <v>139</v>
      </c>
      <c r="Y103" s="25">
        <v>0</v>
      </c>
      <c r="Z103" s="25" t="s">
        <v>140</v>
      </c>
      <c r="AA103" s="25">
        <v>818</v>
      </c>
      <c r="AB103" s="41">
        <v>0</v>
      </c>
      <c r="AC103" s="41">
        <v>12</v>
      </c>
      <c r="AD103" s="41">
        <v>20180201</v>
      </c>
      <c r="AE103" s="41">
        <v>0</v>
      </c>
      <c r="AF103" s="26">
        <v>30000</v>
      </c>
      <c r="AG103" s="41">
        <v>115</v>
      </c>
      <c r="AH103" s="26">
        <v>28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>
        <v>0</v>
      </c>
      <c r="AW103" s="26">
        <v>0</v>
      </c>
      <c r="AX103" s="26">
        <v>0</v>
      </c>
      <c r="AY103" s="46">
        <v>1</v>
      </c>
      <c r="AZ103" s="25">
        <v>2</v>
      </c>
      <c r="BA103" s="41" t="s">
        <v>203</v>
      </c>
      <c r="BB103" s="41">
        <v>100</v>
      </c>
      <c r="BC103" s="41">
        <v>20180301</v>
      </c>
      <c r="BD103" s="41">
        <v>20180301</v>
      </c>
      <c r="BE103" s="41" t="s">
        <v>198</v>
      </c>
      <c r="BF103" s="41" t="s">
        <v>149</v>
      </c>
      <c r="BG103" s="41">
        <v>20180301</v>
      </c>
      <c r="BH103" s="41">
        <v>0</v>
      </c>
      <c r="BI103" s="41">
        <v>0</v>
      </c>
      <c r="BJ103" s="41"/>
      <c r="BK103" s="41">
        <v>0</v>
      </c>
      <c r="BL103" s="41" t="s">
        <v>140</v>
      </c>
      <c r="BM103" s="41">
        <v>818</v>
      </c>
      <c r="BN103" s="41">
        <v>0</v>
      </c>
      <c r="BO103" s="41">
        <v>12</v>
      </c>
      <c r="BP103" s="41">
        <v>20180201</v>
      </c>
      <c r="BQ103" s="41">
        <v>0</v>
      </c>
      <c r="BR103" s="41">
        <v>0</v>
      </c>
      <c r="BS103" s="41">
        <v>29</v>
      </c>
      <c r="BT103" s="25">
        <v>28</v>
      </c>
      <c r="BU103" s="25">
        <v>0</v>
      </c>
      <c r="BV103" s="25">
        <v>0</v>
      </c>
      <c r="BW103" s="25">
        <v>0</v>
      </c>
      <c r="BX103" s="25">
        <v>0</v>
      </c>
      <c r="BY103" s="25">
        <v>0</v>
      </c>
      <c r="BZ103" s="25">
        <v>0</v>
      </c>
      <c r="CA103" s="25">
        <v>0</v>
      </c>
      <c r="CB103" s="25">
        <v>0</v>
      </c>
      <c r="CC103" s="25">
        <v>0</v>
      </c>
      <c r="CD103" s="25">
        <v>0</v>
      </c>
      <c r="CE103" s="25">
        <v>0</v>
      </c>
      <c r="CF103" s="25">
        <v>0</v>
      </c>
      <c r="CG103" s="25">
        <v>0</v>
      </c>
      <c r="CH103" s="25">
        <v>0</v>
      </c>
      <c r="CI103" s="25">
        <v>0</v>
      </c>
      <c r="CJ103" s="25">
        <v>0</v>
      </c>
      <c r="CK103" s="22">
        <v>1</v>
      </c>
      <c r="CL103" s="25">
        <v>3</v>
      </c>
      <c r="CM103" s="41" t="s">
        <v>150</v>
      </c>
      <c r="CN103" s="41">
        <v>100</v>
      </c>
      <c r="CO103" s="41">
        <v>20180301</v>
      </c>
      <c r="CP103" s="41">
        <v>20180301</v>
      </c>
      <c r="CQ103" s="41" t="s">
        <v>198</v>
      </c>
      <c r="CR103" s="41" t="s">
        <v>200</v>
      </c>
      <c r="CS103" s="41">
        <v>20180301</v>
      </c>
      <c r="CT103" s="41">
        <v>0</v>
      </c>
      <c r="CU103" s="41">
        <v>0</v>
      </c>
      <c r="CV103" s="41"/>
      <c r="CW103" s="41">
        <v>0</v>
      </c>
      <c r="CX103" s="41" t="s">
        <v>140</v>
      </c>
      <c r="CY103" s="41">
        <v>818</v>
      </c>
      <c r="CZ103" s="41">
        <v>0</v>
      </c>
      <c r="DA103" s="41">
        <v>12</v>
      </c>
      <c r="DB103" s="41">
        <v>20180201</v>
      </c>
      <c r="DC103" s="41">
        <v>0</v>
      </c>
      <c r="DD103" s="41">
        <v>0</v>
      </c>
      <c r="DE103" s="41">
        <v>33</v>
      </c>
      <c r="DF103" s="25">
        <v>28</v>
      </c>
      <c r="DG103" s="25">
        <v>0</v>
      </c>
      <c r="DH103" s="25">
        <v>0</v>
      </c>
      <c r="DI103" s="25">
        <v>0</v>
      </c>
      <c r="DJ103" s="25">
        <v>0</v>
      </c>
      <c r="DK103" s="25">
        <v>0</v>
      </c>
      <c r="DL103" s="25">
        <v>0</v>
      </c>
      <c r="DM103" s="25">
        <v>0</v>
      </c>
      <c r="DN103" s="25">
        <v>0</v>
      </c>
      <c r="DO103" s="25">
        <v>0</v>
      </c>
      <c r="DP103" s="25">
        <v>0</v>
      </c>
      <c r="DQ103" s="25">
        <v>0</v>
      </c>
      <c r="DR103" s="25">
        <v>0</v>
      </c>
      <c r="DS103" s="25">
        <v>0</v>
      </c>
      <c r="DT103" s="25">
        <v>0</v>
      </c>
      <c r="DU103" s="25">
        <v>0</v>
      </c>
      <c r="DV103" s="25">
        <v>0</v>
      </c>
      <c r="DW103" s="23">
        <v>1</v>
      </c>
      <c r="DX103" s="25">
        <v>4</v>
      </c>
      <c r="DY103" s="41" t="s">
        <v>151</v>
      </c>
      <c r="DZ103" s="41">
        <v>100</v>
      </c>
      <c r="EA103" s="41">
        <v>20180301</v>
      </c>
      <c r="EB103" s="41">
        <v>20180301</v>
      </c>
      <c r="EC103" s="41" t="s">
        <v>198</v>
      </c>
      <c r="ED103" s="41" t="s">
        <v>201</v>
      </c>
      <c r="EE103" s="41">
        <v>20180301</v>
      </c>
      <c r="EF103" s="41">
        <v>0</v>
      </c>
      <c r="EG103" s="41">
        <v>0</v>
      </c>
      <c r="EH103" s="41"/>
      <c r="EI103" s="41">
        <v>0</v>
      </c>
      <c r="EJ103" s="41" t="s">
        <v>140</v>
      </c>
      <c r="EK103" s="41">
        <v>818</v>
      </c>
      <c r="EL103" s="41">
        <v>0</v>
      </c>
      <c r="EM103" s="41">
        <v>12</v>
      </c>
      <c r="EN103" s="41">
        <v>20180201</v>
      </c>
      <c r="EO103" s="41">
        <v>0</v>
      </c>
      <c r="EP103" s="41">
        <v>0</v>
      </c>
      <c r="EQ103" s="41">
        <v>13</v>
      </c>
      <c r="ER103" s="25">
        <v>28</v>
      </c>
      <c r="ES103" s="25">
        <v>0</v>
      </c>
      <c r="ET103" s="25">
        <v>0</v>
      </c>
      <c r="EU103" s="25">
        <v>0</v>
      </c>
      <c r="EV103" s="25">
        <v>0</v>
      </c>
      <c r="EW103" s="25">
        <v>0</v>
      </c>
      <c r="EX103" s="25">
        <v>0</v>
      </c>
      <c r="EY103" s="25">
        <v>0</v>
      </c>
      <c r="EZ103" s="25">
        <v>0</v>
      </c>
      <c r="FA103" s="25">
        <v>0</v>
      </c>
      <c r="FB103" s="25">
        <v>0</v>
      </c>
      <c r="FC103" s="25">
        <v>0</v>
      </c>
      <c r="FD103" s="25">
        <v>0</v>
      </c>
      <c r="FE103" s="25">
        <v>0</v>
      </c>
      <c r="FF103" s="25">
        <v>0</v>
      </c>
      <c r="FG103" s="25">
        <v>0</v>
      </c>
      <c r="FH103" s="25">
        <v>0</v>
      </c>
      <c r="FI103" s="25">
        <v>1</v>
      </c>
      <c r="FJ103" s="25">
        <v>1</v>
      </c>
      <c r="FK103" s="25">
        <v>1</v>
      </c>
      <c r="FL103" s="25">
        <v>28</v>
      </c>
      <c r="FM103" s="25" t="s">
        <v>137</v>
      </c>
      <c r="FN103" s="25">
        <v>19910101</v>
      </c>
      <c r="FP103" s="28">
        <v>4</v>
      </c>
      <c r="FQ103" s="47">
        <v>1</v>
      </c>
      <c r="FR103" s="41">
        <v>1</v>
      </c>
      <c r="FS103" s="41" t="str">
        <f t="shared" si="6"/>
        <v>MFCL</v>
      </c>
      <c r="FT103" s="41">
        <f t="shared" si="7"/>
        <v>818</v>
      </c>
      <c r="FU103" s="41">
        <f t="shared" si="8"/>
        <v>28</v>
      </c>
      <c r="FV103" s="41">
        <v>31800</v>
      </c>
      <c r="FW103" s="41">
        <v>121.9</v>
      </c>
      <c r="FX103" s="41"/>
      <c r="FY103" s="29">
        <v>0</v>
      </c>
      <c r="FZ103" s="29">
        <v>0</v>
      </c>
      <c r="GA103" s="30">
        <v>0</v>
      </c>
      <c r="GB103" s="30">
        <v>0</v>
      </c>
      <c r="GC103" s="29">
        <v>0</v>
      </c>
      <c r="GD103" s="41">
        <v>0</v>
      </c>
      <c r="GE103" s="29">
        <v>0</v>
      </c>
      <c r="GF103" s="29">
        <v>0</v>
      </c>
      <c r="GG103" s="29">
        <v>0</v>
      </c>
      <c r="GH103" s="29">
        <v>0</v>
      </c>
      <c r="GI103" s="29">
        <v>0</v>
      </c>
      <c r="GJ103" s="29">
        <v>0</v>
      </c>
      <c r="GK103" s="29">
        <v>0</v>
      </c>
      <c r="GL103" s="29">
        <v>0</v>
      </c>
      <c r="GM103" s="29">
        <v>0</v>
      </c>
      <c r="GN103" s="29">
        <v>0</v>
      </c>
      <c r="GO103" s="29">
        <v>0</v>
      </c>
      <c r="GP103" s="29">
        <v>0</v>
      </c>
      <c r="GQ103" s="29">
        <v>0</v>
      </c>
      <c r="GR103" s="18">
        <v>1</v>
      </c>
      <c r="GS103" s="41">
        <v>2</v>
      </c>
      <c r="GT103" s="41" t="str">
        <f t="shared" si="9"/>
        <v>PURO</v>
      </c>
      <c r="GU103" s="41">
        <v>818</v>
      </c>
      <c r="GV103" s="41">
        <v>34</v>
      </c>
      <c r="GW103" s="41">
        <v>0</v>
      </c>
      <c r="GX103" s="41">
        <v>30.74</v>
      </c>
      <c r="GY103" s="41"/>
      <c r="GZ103" s="41">
        <v>0</v>
      </c>
      <c r="HA103" s="41">
        <v>0</v>
      </c>
      <c r="HB103" s="42">
        <v>0</v>
      </c>
      <c r="HC103" s="42">
        <v>0</v>
      </c>
      <c r="HD103" s="41">
        <v>0</v>
      </c>
      <c r="HE103" s="41">
        <v>0</v>
      </c>
      <c r="HF103" s="41">
        <v>0</v>
      </c>
      <c r="HG103" s="41">
        <v>0</v>
      </c>
      <c r="HH103" s="41">
        <v>0</v>
      </c>
      <c r="HI103" s="41">
        <v>0</v>
      </c>
      <c r="HJ103" s="41">
        <v>0</v>
      </c>
      <c r="HK103" s="41">
        <v>0</v>
      </c>
      <c r="HL103" s="41">
        <v>0</v>
      </c>
      <c r="HM103" s="41">
        <v>0</v>
      </c>
      <c r="HN103" s="41">
        <v>0</v>
      </c>
      <c r="HO103" s="41">
        <v>0</v>
      </c>
      <c r="HP103" s="41">
        <v>0</v>
      </c>
      <c r="HQ103" s="41">
        <v>0</v>
      </c>
      <c r="HR103" s="41">
        <v>0</v>
      </c>
      <c r="HS103" s="24">
        <v>1</v>
      </c>
      <c r="HT103" s="41">
        <v>3</v>
      </c>
      <c r="HU103" s="41" t="str">
        <f t="shared" si="10"/>
        <v>PUDT</v>
      </c>
      <c r="HV103" s="41">
        <v>818</v>
      </c>
      <c r="HW103" s="41">
        <v>34</v>
      </c>
      <c r="HX103" s="41">
        <v>0</v>
      </c>
      <c r="HY103" s="41">
        <v>34.979999999999997</v>
      </c>
      <c r="HZ103" s="42"/>
      <c r="IA103" s="41">
        <v>0</v>
      </c>
      <c r="IB103" s="41">
        <v>0</v>
      </c>
      <c r="IC103" s="42">
        <v>0</v>
      </c>
      <c r="ID103" s="42">
        <v>0</v>
      </c>
      <c r="IE103" s="41">
        <v>0</v>
      </c>
      <c r="IF103" s="43">
        <v>0</v>
      </c>
      <c r="IG103" s="41">
        <v>0</v>
      </c>
      <c r="IH103" s="41">
        <v>0</v>
      </c>
      <c r="II103" s="41">
        <v>0</v>
      </c>
      <c r="IJ103" s="41">
        <v>0</v>
      </c>
      <c r="IK103" s="41">
        <v>0</v>
      </c>
      <c r="IL103" s="41">
        <v>0</v>
      </c>
      <c r="IM103" s="41">
        <v>0</v>
      </c>
      <c r="IN103" s="41">
        <v>0</v>
      </c>
      <c r="IO103" s="41">
        <v>0</v>
      </c>
      <c r="IP103" s="41">
        <v>0</v>
      </c>
      <c r="IQ103" s="41">
        <v>0</v>
      </c>
      <c r="IR103" s="41">
        <v>0</v>
      </c>
      <c r="IS103" s="41">
        <v>0</v>
      </c>
      <c r="IT103" s="17">
        <v>1</v>
      </c>
      <c r="IU103" s="41">
        <v>4</v>
      </c>
      <c r="IV103" s="41" t="str">
        <f t="shared" si="11"/>
        <v>PUDS</v>
      </c>
      <c r="IW103" s="41">
        <v>818</v>
      </c>
      <c r="IX103" s="41">
        <v>34</v>
      </c>
      <c r="IY103" s="41">
        <v>0</v>
      </c>
      <c r="IZ103" s="41">
        <v>13.78</v>
      </c>
      <c r="JA103" s="42"/>
      <c r="JB103" s="41">
        <v>0</v>
      </c>
      <c r="JC103" s="41">
        <v>0</v>
      </c>
      <c r="JD103" s="42">
        <v>0</v>
      </c>
      <c r="JE103" s="42">
        <v>0</v>
      </c>
      <c r="JF103" s="41">
        <v>0</v>
      </c>
      <c r="JG103" s="41">
        <v>0</v>
      </c>
      <c r="JH103" s="41">
        <v>0</v>
      </c>
      <c r="JI103" s="41">
        <v>0</v>
      </c>
      <c r="JJ103" s="41">
        <v>0</v>
      </c>
      <c r="JK103" s="41">
        <v>0</v>
      </c>
      <c r="JL103" s="41">
        <v>0</v>
      </c>
      <c r="JM103" s="41">
        <v>0</v>
      </c>
      <c r="JN103" s="41">
        <v>0</v>
      </c>
      <c r="JO103" s="41">
        <v>0</v>
      </c>
      <c r="JP103" s="41">
        <v>0</v>
      </c>
      <c r="JQ103" s="41">
        <v>0</v>
      </c>
      <c r="JR103" s="41">
        <v>0</v>
      </c>
      <c r="JS103" s="41">
        <v>0</v>
      </c>
      <c r="JT103" s="41">
        <v>0</v>
      </c>
      <c r="JU103"/>
    </row>
    <row r="104" spans="1:281" ht="15.75">
      <c r="A104" s="25">
        <v>98</v>
      </c>
      <c r="B104" s="25">
        <v>20190301</v>
      </c>
      <c r="C104" s="25"/>
      <c r="D104" s="25" t="s">
        <v>132</v>
      </c>
      <c r="E104" s="25" t="s">
        <v>132</v>
      </c>
      <c r="F104" s="25" t="s">
        <v>133</v>
      </c>
      <c r="G104" s="25"/>
      <c r="H104" s="25">
        <v>100000098</v>
      </c>
      <c r="I104" s="25" t="s">
        <v>134</v>
      </c>
      <c r="J104" s="25" t="s">
        <v>135</v>
      </c>
      <c r="K104" s="25" t="s">
        <v>132</v>
      </c>
      <c r="L104" s="25">
        <v>4</v>
      </c>
      <c r="M104" s="25">
        <v>1</v>
      </c>
      <c r="N104" s="25">
        <v>1</v>
      </c>
      <c r="O104" s="45" t="s">
        <v>202</v>
      </c>
      <c r="P104" s="25">
        <v>100</v>
      </c>
      <c r="Q104" s="25">
        <v>20180301</v>
      </c>
      <c r="R104" s="25">
        <v>20180301</v>
      </c>
      <c r="S104" s="25" t="s">
        <v>137</v>
      </c>
      <c r="T104" s="25" t="s">
        <v>138</v>
      </c>
      <c r="U104" s="25">
        <v>20190301</v>
      </c>
      <c r="V104" s="25">
        <v>6</v>
      </c>
      <c r="W104" s="25">
        <v>6</v>
      </c>
      <c r="X104" s="25" t="s">
        <v>139</v>
      </c>
      <c r="Y104" s="25">
        <v>0</v>
      </c>
      <c r="Z104" s="25" t="s">
        <v>140</v>
      </c>
      <c r="AA104" s="25">
        <v>818</v>
      </c>
      <c r="AB104" s="41">
        <v>0</v>
      </c>
      <c r="AC104" s="41">
        <v>12</v>
      </c>
      <c r="AD104" s="41">
        <v>20180201</v>
      </c>
      <c r="AE104" s="41">
        <v>0</v>
      </c>
      <c r="AF104" s="26">
        <v>35000</v>
      </c>
      <c r="AG104" s="41">
        <v>128</v>
      </c>
      <c r="AH104" s="26">
        <v>29</v>
      </c>
      <c r="AI104" s="26">
        <v>0</v>
      </c>
      <c r="AJ104" s="26">
        <v>0</v>
      </c>
      <c r="AK104" s="26">
        <v>0</v>
      </c>
      <c r="AL104" s="26">
        <v>0</v>
      </c>
      <c r="AM104" s="26">
        <v>0</v>
      </c>
      <c r="AN104" s="26">
        <v>0</v>
      </c>
      <c r="AO104" s="26">
        <v>0</v>
      </c>
      <c r="AP104" s="26">
        <v>0</v>
      </c>
      <c r="AQ104" s="26">
        <v>0</v>
      </c>
      <c r="AR104" s="26">
        <v>0</v>
      </c>
      <c r="AS104" s="26">
        <v>0</v>
      </c>
      <c r="AT104" s="26">
        <v>0</v>
      </c>
      <c r="AU104" s="26">
        <v>0</v>
      </c>
      <c r="AV104" s="26">
        <v>0</v>
      </c>
      <c r="AW104" s="26">
        <v>0</v>
      </c>
      <c r="AX104" s="26">
        <v>0</v>
      </c>
      <c r="AY104" s="46">
        <v>1</v>
      </c>
      <c r="AZ104" s="25">
        <v>2</v>
      </c>
      <c r="BA104" s="41" t="s">
        <v>203</v>
      </c>
      <c r="BB104" s="41">
        <v>100</v>
      </c>
      <c r="BC104" s="41">
        <v>20180301</v>
      </c>
      <c r="BD104" s="41">
        <v>20180301</v>
      </c>
      <c r="BE104" s="41" t="s">
        <v>198</v>
      </c>
      <c r="BF104" s="41" t="s">
        <v>149</v>
      </c>
      <c r="BG104" s="41">
        <v>20180301</v>
      </c>
      <c r="BH104" s="41">
        <v>0</v>
      </c>
      <c r="BI104" s="41">
        <v>0</v>
      </c>
      <c r="BJ104" s="41"/>
      <c r="BK104" s="41">
        <v>0</v>
      </c>
      <c r="BL104" s="41" t="s">
        <v>140</v>
      </c>
      <c r="BM104" s="41">
        <v>818</v>
      </c>
      <c r="BN104" s="41">
        <v>0</v>
      </c>
      <c r="BO104" s="41">
        <v>12</v>
      </c>
      <c r="BP104" s="41">
        <v>20180201</v>
      </c>
      <c r="BQ104" s="41">
        <v>0</v>
      </c>
      <c r="BR104" s="41">
        <v>0</v>
      </c>
      <c r="BS104" s="41">
        <v>31</v>
      </c>
      <c r="BT104" s="25">
        <v>29</v>
      </c>
      <c r="BU104" s="25">
        <v>0</v>
      </c>
      <c r="BV104" s="25">
        <v>0</v>
      </c>
      <c r="BW104" s="25">
        <v>0</v>
      </c>
      <c r="BX104" s="25">
        <v>0</v>
      </c>
      <c r="BY104" s="25">
        <v>0</v>
      </c>
      <c r="BZ104" s="25">
        <v>0</v>
      </c>
      <c r="CA104" s="25">
        <v>0</v>
      </c>
      <c r="CB104" s="25">
        <v>0</v>
      </c>
      <c r="CC104" s="25">
        <v>0</v>
      </c>
      <c r="CD104" s="25">
        <v>0</v>
      </c>
      <c r="CE104" s="25">
        <v>0</v>
      </c>
      <c r="CF104" s="25">
        <v>0</v>
      </c>
      <c r="CG104" s="25">
        <v>0</v>
      </c>
      <c r="CH104" s="25">
        <v>0</v>
      </c>
      <c r="CI104" s="25">
        <v>0</v>
      </c>
      <c r="CJ104" s="25">
        <v>0</v>
      </c>
      <c r="CK104" s="22">
        <v>1</v>
      </c>
      <c r="CL104" s="25">
        <v>3</v>
      </c>
      <c r="CM104" s="41" t="s">
        <v>150</v>
      </c>
      <c r="CN104" s="41">
        <v>100</v>
      </c>
      <c r="CO104" s="41">
        <v>20180301</v>
      </c>
      <c r="CP104" s="41">
        <v>20180301</v>
      </c>
      <c r="CQ104" s="41" t="s">
        <v>198</v>
      </c>
      <c r="CR104" s="41" t="s">
        <v>200</v>
      </c>
      <c r="CS104" s="41">
        <v>20180301</v>
      </c>
      <c r="CT104" s="41">
        <v>0</v>
      </c>
      <c r="CU104" s="41">
        <v>0</v>
      </c>
      <c r="CV104" s="41"/>
      <c r="CW104" s="41">
        <v>0</v>
      </c>
      <c r="CX104" s="41" t="s">
        <v>140</v>
      </c>
      <c r="CY104" s="41">
        <v>818</v>
      </c>
      <c r="CZ104" s="41">
        <v>0</v>
      </c>
      <c r="DA104" s="41">
        <v>12</v>
      </c>
      <c r="DB104" s="41">
        <v>20180201</v>
      </c>
      <c r="DC104" s="41">
        <v>0</v>
      </c>
      <c r="DD104" s="41">
        <v>0</v>
      </c>
      <c r="DE104" s="41">
        <v>36</v>
      </c>
      <c r="DF104" s="25">
        <v>29</v>
      </c>
      <c r="DG104" s="25">
        <v>0</v>
      </c>
      <c r="DH104" s="25">
        <v>0</v>
      </c>
      <c r="DI104" s="25">
        <v>0</v>
      </c>
      <c r="DJ104" s="25">
        <v>0</v>
      </c>
      <c r="DK104" s="25">
        <v>0</v>
      </c>
      <c r="DL104" s="25">
        <v>0</v>
      </c>
      <c r="DM104" s="25">
        <v>0</v>
      </c>
      <c r="DN104" s="25">
        <v>0</v>
      </c>
      <c r="DO104" s="25">
        <v>0</v>
      </c>
      <c r="DP104" s="25">
        <v>0</v>
      </c>
      <c r="DQ104" s="25">
        <v>0</v>
      </c>
      <c r="DR104" s="25">
        <v>0</v>
      </c>
      <c r="DS104" s="25">
        <v>0</v>
      </c>
      <c r="DT104" s="25">
        <v>0</v>
      </c>
      <c r="DU104" s="25">
        <v>0</v>
      </c>
      <c r="DV104" s="25">
        <v>0</v>
      </c>
      <c r="DW104" s="23">
        <v>1</v>
      </c>
      <c r="DX104" s="25">
        <v>4</v>
      </c>
      <c r="DY104" s="41" t="s">
        <v>151</v>
      </c>
      <c r="DZ104" s="41">
        <v>100</v>
      </c>
      <c r="EA104" s="41">
        <v>20180301</v>
      </c>
      <c r="EB104" s="41">
        <v>20180301</v>
      </c>
      <c r="EC104" s="41" t="s">
        <v>198</v>
      </c>
      <c r="ED104" s="41" t="s">
        <v>201</v>
      </c>
      <c r="EE104" s="41">
        <v>20180301</v>
      </c>
      <c r="EF104" s="41">
        <v>0</v>
      </c>
      <c r="EG104" s="41">
        <v>0</v>
      </c>
      <c r="EH104" s="41"/>
      <c r="EI104" s="41">
        <v>0</v>
      </c>
      <c r="EJ104" s="41" t="s">
        <v>140</v>
      </c>
      <c r="EK104" s="41">
        <v>818</v>
      </c>
      <c r="EL104" s="41">
        <v>0</v>
      </c>
      <c r="EM104" s="41">
        <v>12</v>
      </c>
      <c r="EN104" s="41">
        <v>20180201</v>
      </c>
      <c r="EO104" s="41">
        <v>0</v>
      </c>
      <c r="EP104" s="41">
        <v>0</v>
      </c>
      <c r="EQ104" s="41">
        <v>14</v>
      </c>
      <c r="ER104" s="25">
        <v>29</v>
      </c>
      <c r="ES104" s="25">
        <v>0</v>
      </c>
      <c r="ET104" s="25">
        <v>0</v>
      </c>
      <c r="EU104" s="25">
        <v>0</v>
      </c>
      <c r="EV104" s="25">
        <v>0</v>
      </c>
      <c r="EW104" s="25">
        <v>0</v>
      </c>
      <c r="EX104" s="25">
        <v>0</v>
      </c>
      <c r="EY104" s="25">
        <v>0</v>
      </c>
      <c r="EZ104" s="25">
        <v>0</v>
      </c>
      <c r="FA104" s="25">
        <v>0</v>
      </c>
      <c r="FB104" s="25">
        <v>0</v>
      </c>
      <c r="FC104" s="25">
        <v>0</v>
      </c>
      <c r="FD104" s="25">
        <v>0</v>
      </c>
      <c r="FE104" s="25">
        <v>0</v>
      </c>
      <c r="FF104" s="25">
        <v>0</v>
      </c>
      <c r="FG104" s="25">
        <v>0</v>
      </c>
      <c r="FH104" s="25">
        <v>0</v>
      </c>
      <c r="FI104" s="25">
        <v>1</v>
      </c>
      <c r="FJ104" s="25">
        <v>1</v>
      </c>
      <c r="FK104" s="25">
        <v>1</v>
      </c>
      <c r="FL104" s="25">
        <v>29</v>
      </c>
      <c r="FM104" s="25" t="s">
        <v>137</v>
      </c>
      <c r="FN104" s="25">
        <v>19900101</v>
      </c>
      <c r="FP104" s="28">
        <v>4</v>
      </c>
      <c r="FQ104" s="47">
        <v>1</v>
      </c>
      <c r="FR104" s="41">
        <v>1</v>
      </c>
      <c r="FS104" s="41" t="str">
        <f t="shared" si="6"/>
        <v>MFCL</v>
      </c>
      <c r="FT104" s="41">
        <f t="shared" si="7"/>
        <v>818</v>
      </c>
      <c r="FU104" s="41">
        <f t="shared" si="8"/>
        <v>29</v>
      </c>
      <c r="FV104" s="41">
        <v>37100</v>
      </c>
      <c r="FW104" s="41">
        <v>135.68</v>
      </c>
      <c r="FX104" s="41"/>
      <c r="FY104" s="29">
        <v>0</v>
      </c>
      <c r="FZ104" s="29">
        <v>0</v>
      </c>
      <c r="GA104" s="30">
        <v>0</v>
      </c>
      <c r="GB104" s="30">
        <v>0</v>
      </c>
      <c r="GC104" s="29">
        <v>0</v>
      </c>
      <c r="GD104" s="41">
        <v>0</v>
      </c>
      <c r="GE104" s="29">
        <v>0</v>
      </c>
      <c r="GF104" s="29">
        <v>0</v>
      </c>
      <c r="GG104" s="29">
        <v>0</v>
      </c>
      <c r="GH104" s="29">
        <v>0</v>
      </c>
      <c r="GI104" s="29">
        <v>0</v>
      </c>
      <c r="GJ104" s="29">
        <v>0</v>
      </c>
      <c r="GK104" s="29">
        <v>0</v>
      </c>
      <c r="GL104" s="29">
        <v>0</v>
      </c>
      <c r="GM104" s="29">
        <v>0</v>
      </c>
      <c r="GN104" s="29">
        <v>0</v>
      </c>
      <c r="GO104" s="29">
        <v>0</v>
      </c>
      <c r="GP104" s="29">
        <v>0</v>
      </c>
      <c r="GQ104" s="29">
        <v>0</v>
      </c>
      <c r="GR104" s="18">
        <v>1</v>
      </c>
      <c r="GS104" s="41">
        <v>2</v>
      </c>
      <c r="GT104" s="41" t="str">
        <f t="shared" si="9"/>
        <v>PURO</v>
      </c>
      <c r="GU104" s="41">
        <v>818</v>
      </c>
      <c r="GV104" s="41">
        <v>35</v>
      </c>
      <c r="GW104" s="41">
        <v>0</v>
      </c>
      <c r="GX104" s="41">
        <v>32.86</v>
      </c>
      <c r="GY104" s="41"/>
      <c r="GZ104" s="41">
        <v>0</v>
      </c>
      <c r="HA104" s="41">
        <v>0</v>
      </c>
      <c r="HB104" s="42">
        <v>0</v>
      </c>
      <c r="HC104" s="42">
        <v>0</v>
      </c>
      <c r="HD104" s="41">
        <v>0</v>
      </c>
      <c r="HE104" s="41">
        <v>0</v>
      </c>
      <c r="HF104" s="41">
        <v>0</v>
      </c>
      <c r="HG104" s="41">
        <v>0</v>
      </c>
      <c r="HH104" s="41">
        <v>0</v>
      </c>
      <c r="HI104" s="41">
        <v>0</v>
      </c>
      <c r="HJ104" s="41">
        <v>0</v>
      </c>
      <c r="HK104" s="41">
        <v>0</v>
      </c>
      <c r="HL104" s="41">
        <v>0</v>
      </c>
      <c r="HM104" s="41">
        <v>0</v>
      </c>
      <c r="HN104" s="41">
        <v>0</v>
      </c>
      <c r="HO104" s="41">
        <v>0</v>
      </c>
      <c r="HP104" s="41">
        <v>0</v>
      </c>
      <c r="HQ104" s="41">
        <v>0</v>
      </c>
      <c r="HR104" s="41">
        <v>0</v>
      </c>
      <c r="HS104" s="24">
        <v>1</v>
      </c>
      <c r="HT104" s="41">
        <v>3</v>
      </c>
      <c r="HU104" s="41" t="str">
        <f t="shared" si="10"/>
        <v>PUDT</v>
      </c>
      <c r="HV104" s="41">
        <v>818</v>
      </c>
      <c r="HW104" s="41">
        <v>35</v>
      </c>
      <c r="HX104" s="41">
        <v>0</v>
      </c>
      <c r="HY104" s="41">
        <v>38.159999999999997</v>
      </c>
      <c r="HZ104" s="42"/>
      <c r="IA104" s="41">
        <v>0</v>
      </c>
      <c r="IB104" s="41">
        <v>0</v>
      </c>
      <c r="IC104" s="42">
        <v>0</v>
      </c>
      <c r="ID104" s="42">
        <v>0</v>
      </c>
      <c r="IE104" s="41">
        <v>0</v>
      </c>
      <c r="IF104" s="43">
        <v>0</v>
      </c>
      <c r="IG104" s="41">
        <v>0</v>
      </c>
      <c r="IH104" s="41">
        <v>0</v>
      </c>
      <c r="II104" s="41">
        <v>0</v>
      </c>
      <c r="IJ104" s="41">
        <v>0</v>
      </c>
      <c r="IK104" s="41">
        <v>0</v>
      </c>
      <c r="IL104" s="41">
        <v>0</v>
      </c>
      <c r="IM104" s="41">
        <v>0</v>
      </c>
      <c r="IN104" s="41">
        <v>0</v>
      </c>
      <c r="IO104" s="41">
        <v>0</v>
      </c>
      <c r="IP104" s="41">
        <v>0</v>
      </c>
      <c r="IQ104" s="41">
        <v>0</v>
      </c>
      <c r="IR104" s="41">
        <v>0</v>
      </c>
      <c r="IS104" s="41">
        <v>0</v>
      </c>
      <c r="IT104" s="17">
        <v>1</v>
      </c>
      <c r="IU104" s="41">
        <v>4</v>
      </c>
      <c r="IV104" s="41" t="str">
        <f t="shared" si="11"/>
        <v>PUDS</v>
      </c>
      <c r="IW104" s="41">
        <v>818</v>
      </c>
      <c r="IX104" s="41">
        <v>35</v>
      </c>
      <c r="IY104" s="41">
        <v>0</v>
      </c>
      <c r="IZ104" s="41">
        <v>14.84</v>
      </c>
      <c r="JA104" s="42"/>
      <c r="JB104" s="41">
        <v>0</v>
      </c>
      <c r="JC104" s="41">
        <v>0</v>
      </c>
      <c r="JD104" s="42">
        <v>0</v>
      </c>
      <c r="JE104" s="42">
        <v>0</v>
      </c>
      <c r="JF104" s="41">
        <v>0</v>
      </c>
      <c r="JG104" s="41">
        <v>0</v>
      </c>
      <c r="JH104" s="41">
        <v>0</v>
      </c>
      <c r="JI104" s="41">
        <v>0</v>
      </c>
      <c r="JJ104" s="41">
        <v>0</v>
      </c>
      <c r="JK104" s="41">
        <v>0</v>
      </c>
      <c r="JL104" s="41">
        <v>0</v>
      </c>
      <c r="JM104" s="41">
        <v>0</v>
      </c>
      <c r="JN104" s="41">
        <v>0</v>
      </c>
      <c r="JO104" s="41">
        <v>0</v>
      </c>
      <c r="JP104" s="41">
        <v>0</v>
      </c>
      <c r="JQ104" s="41">
        <v>0</v>
      </c>
      <c r="JR104" s="41">
        <v>0</v>
      </c>
      <c r="JS104" s="41">
        <v>0</v>
      </c>
      <c r="JT104" s="41">
        <v>0</v>
      </c>
      <c r="JU104"/>
    </row>
    <row r="105" spans="1:281" ht="15.75">
      <c r="A105" s="25">
        <v>99</v>
      </c>
      <c r="B105" s="25">
        <v>20190301</v>
      </c>
      <c r="C105" s="25"/>
      <c r="D105" s="25" t="s">
        <v>132</v>
      </c>
      <c r="E105" s="25" t="s">
        <v>132</v>
      </c>
      <c r="F105" s="25" t="s">
        <v>133</v>
      </c>
      <c r="G105" s="25"/>
      <c r="H105" s="25">
        <v>100000099</v>
      </c>
      <c r="I105" s="25" t="s">
        <v>134</v>
      </c>
      <c r="J105" s="25" t="s">
        <v>135</v>
      </c>
      <c r="K105" s="25" t="s">
        <v>132</v>
      </c>
      <c r="L105" s="25">
        <v>4</v>
      </c>
      <c r="M105" s="25">
        <v>1</v>
      </c>
      <c r="N105" s="25">
        <v>1</v>
      </c>
      <c r="O105" s="45" t="s">
        <v>202</v>
      </c>
      <c r="P105" s="25">
        <v>100</v>
      </c>
      <c r="Q105" s="25">
        <v>20180301</v>
      </c>
      <c r="R105" s="25">
        <v>20180301</v>
      </c>
      <c r="S105" s="25" t="s">
        <v>137</v>
      </c>
      <c r="T105" s="25" t="s">
        <v>142</v>
      </c>
      <c r="U105" s="25">
        <v>20190301</v>
      </c>
      <c r="V105" s="25">
        <v>6</v>
      </c>
      <c r="W105" s="25">
        <v>6</v>
      </c>
      <c r="X105" s="25" t="s">
        <v>139</v>
      </c>
      <c r="Y105" s="25">
        <v>0</v>
      </c>
      <c r="Z105" s="25" t="s">
        <v>140</v>
      </c>
      <c r="AA105" s="25">
        <v>818</v>
      </c>
      <c r="AB105" s="41">
        <v>0</v>
      </c>
      <c r="AC105" s="41">
        <v>12</v>
      </c>
      <c r="AD105" s="41">
        <v>20180201</v>
      </c>
      <c r="AE105" s="41">
        <v>0</v>
      </c>
      <c r="AF105" s="26">
        <v>40000</v>
      </c>
      <c r="AG105" s="41">
        <v>142</v>
      </c>
      <c r="AH105" s="26">
        <v>30</v>
      </c>
      <c r="AI105" s="26">
        <v>0</v>
      </c>
      <c r="AJ105" s="26">
        <v>0</v>
      </c>
      <c r="AK105" s="26">
        <v>0</v>
      </c>
      <c r="AL105" s="26">
        <v>0</v>
      </c>
      <c r="AM105" s="26">
        <v>0</v>
      </c>
      <c r="AN105" s="26">
        <v>0</v>
      </c>
      <c r="AO105" s="26">
        <v>0</v>
      </c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>
        <v>0</v>
      </c>
      <c r="AW105" s="26">
        <v>0</v>
      </c>
      <c r="AX105" s="26">
        <v>0</v>
      </c>
      <c r="AY105" s="46">
        <v>1</v>
      </c>
      <c r="AZ105" s="25">
        <v>2</v>
      </c>
      <c r="BA105" s="41" t="s">
        <v>203</v>
      </c>
      <c r="BB105" s="41">
        <v>100</v>
      </c>
      <c r="BC105" s="41">
        <v>20180301</v>
      </c>
      <c r="BD105" s="41">
        <v>20180301</v>
      </c>
      <c r="BE105" s="41" t="s">
        <v>198</v>
      </c>
      <c r="BF105" s="41" t="s">
        <v>149</v>
      </c>
      <c r="BG105" s="41">
        <v>20180301</v>
      </c>
      <c r="BH105" s="41">
        <v>0</v>
      </c>
      <c r="BI105" s="41">
        <v>0</v>
      </c>
      <c r="BJ105" s="41"/>
      <c r="BK105" s="41">
        <v>0</v>
      </c>
      <c r="BL105" s="41" t="s">
        <v>140</v>
      </c>
      <c r="BM105" s="41">
        <v>818</v>
      </c>
      <c r="BN105" s="41">
        <v>0</v>
      </c>
      <c r="BO105" s="41">
        <v>12</v>
      </c>
      <c r="BP105" s="41">
        <v>20180201</v>
      </c>
      <c r="BQ105" s="41">
        <v>0</v>
      </c>
      <c r="BR105" s="41">
        <v>0</v>
      </c>
      <c r="BS105" s="41">
        <v>34</v>
      </c>
      <c r="BT105" s="25">
        <v>30</v>
      </c>
      <c r="BU105" s="25">
        <v>0</v>
      </c>
      <c r="BV105" s="25">
        <v>0</v>
      </c>
      <c r="BW105" s="25">
        <v>0</v>
      </c>
      <c r="BX105" s="25">
        <v>0</v>
      </c>
      <c r="BY105" s="25">
        <v>0</v>
      </c>
      <c r="BZ105" s="25">
        <v>0</v>
      </c>
      <c r="CA105" s="25">
        <v>0</v>
      </c>
      <c r="CB105" s="25">
        <v>0</v>
      </c>
      <c r="CC105" s="25">
        <v>0</v>
      </c>
      <c r="CD105" s="25">
        <v>0</v>
      </c>
      <c r="CE105" s="25">
        <v>0</v>
      </c>
      <c r="CF105" s="25">
        <v>0</v>
      </c>
      <c r="CG105" s="25">
        <v>0</v>
      </c>
      <c r="CH105" s="25">
        <v>0</v>
      </c>
      <c r="CI105" s="25">
        <v>0</v>
      </c>
      <c r="CJ105" s="25">
        <v>0</v>
      </c>
      <c r="CK105" s="22">
        <v>1</v>
      </c>
      <c r="CL105" s="25">
        <v>3</v>
      </c>
      <c r="CM105" s="41" t="s">
        <v>150</v>
      </c>
      <c r="CN105" s="41">
        <v>100</v>
      </c>
      <c r="CO105" s="41">
        <v>20180301</v>
      </c>
      <c r="CP105" s="41">
        <v>20180301</v>
      </c>
      <c r="CQ105" s="41" t="s">
        <v>198</v>
      </c>
      <c r="CR105" s="41" t="s">
        <v>200</v>
      </c>
      <c r="CS105" s="41">
        <v>20180301</v>
      </c>
      <c r="CT105" s="41">
        <v>0</v>
      </c>
      <c r="CU105" s="41">
        <v>0</v>
      </c>
      <c r="CV105" s="41"/>
      <c r="CW105" s="41">
        <v>0</v>
      </c>
      <c r="CX105" s="41" t="s">
        <v>140</v>
      </c>
      <c r="CY105" s="41">
        <v>818</v>
      </c>
      <c r="CZ105" s="41">
        <v>0</v>
      </c>
      <c r="DA105" s="41">
        <v>12</v>
      </c>
      <c r="DB105" s="41">
        <v>20180201</v>
      </c>
      <c r="DC105" s="41">
        <v>0</v>
      </c>
      <c r="DD105" s="41">
        <v>0</v>
      </c>
      <c r="DE105" s="41">
        <v>39</v>
      </c>
      <c r="DF105" s="25">
        <v>30</v>
      </c>
      <c r="DG105" s="25">
        <v>0</v>
      </c>
      <c r="DH105" s="25">
        <v>0</v>
      </c>
      <c r="DI105" s="25">
        <v>0</v>
      </c>
      <c r="DJ105" s="25">
        <v>0</v>
      </c>
      <c r="DK105" s="25">
        <v>0</v>
      </c>
      <c r="DL105" s="25">
        <v>0</v>
      </c>
      <c r="DM105" s="25">
        <v>0</v>
      </c>
      <c r="DN105" s="25">
        <v>0</v>
      </c>
      <c r="DO105" s="25">
        <v>0</v>
      </c>
      <c r="DP105" s="25">
        <v>0</v>
      </c>
      <c r="DQ105" s="25">
        <v>0</v>
      </c>
      <c r="DR105" s="25">
        <v>0</v>
      </c>
      <c r="DS105" s="25">
        <v>0</v>
      </c>
      <c r="DT105" s="25">
        <v>0</v>
      </c>
      <c r="DU105" s="25">
        <v>0</v>
      </c>
      <c r="DV105" s="25">
        <v>0</v>
      </c>
      <c r="DW105" s="23">
        <v>1</v>
      </c>
      <c r="DX105" s="25">
        <v>4</v>
      </c>
      <c r="DY105" s="41" t="s">
        <v>151</v>
      </c>
      <c r="DZ105" s="41">
        <v>100</v>
      </c>
      <c r="EA105" s="41">
        <v>20180301</v>
      </c>
      <c r="EB105" s="41">
        <v>20180301</v>
      </c>
      <c r="EC105" s="41" t="s">
        <v>198</v>
      </c>
      <c r="ED105" s="41" t="s">
        <v>201</v>
      </c>
      <c r="EE105" s="41">
        <v>20180301</v>
      </c>
      <c r="EF105" s="41">
        <v>0</v>
      </c>
      <c r="EG105" s="41">
        <v>0</v>
      </c>
      <c r="EH105" s="41"/>
      <c r="EI105" s="41">
        <v>0</v>
      </c>
      <c r="EJ105" s="41" t="s">
        <v>140</v>
      </c>
      <c r="EK105" s="41">
        <v>818</v>
      </c>
      <c r="EL105" s="41">
        <v>0</v>
      </c>
      <c r="EM105" s="41">
        <v>12</v>
      </c>
      <c r="EN105" s="41">
        <v>20180201</v>
      </c>
      <c r="EO105" s="41">
        <v>0</v>
      </c>
      <c r="EP105" s="41">
        <v>0</v>
      </c>
      <c r="EQ105" s="41">
        <v>15</v>
      </c>
      <c r="ER105" s="25">
        <v>30</v>
      </c>
      <c r="ES105" s="25">
        <v>0</v>
      </c>
      <c r="ET105" s="25">
        <v>0</v>
      </c>
      <c r="EU105" s="25">
        <v>0</v>
      </c>
      <c r="EV105" s="25">
        <v>0</v>
      </c>
      <c r="EW105" s="25">
        <v>0</v>
      </c>
      <c r="EX105" s="25">
        <v>0</v>
      </c>
      <c r="EY105" s="25">
        <v>0</v>
      </c>
      <c r="EZ105" s="25">
        <v>0</v>
      </c>
      <c r="FA105" s="25">
        <v>0</v>
      </c>
      <c r="FB105" s="25">
        <v>0</v>
      </c>
      <c r="FC105" s="25">
        <v>0</v>
      </c>
      <c r="FD105" s="25">
        <v>0</v>
      </c>
      <c r="FE105" s="25">
        <v>0</v>
      </c>
      <c r="FF105" s="25">
        <v>0</v>
      </c>
      <c r="FG105" s="25">
        <v>0</v>
      </c>
      <c r="FH105" s="25">
        <v>0</v>
      </c>
      <c r="FI105" s="25">
        <v>1</v>
      </c>
      <c r="FJ105" s="25">
        <v>1</v>
      </c>
      <c r="FK105" s="25">
        <v>1</v>
      </c>
      <c r="FL105" s="25">
        <v>30</v>
      </c>
      <c r="FM105" s="25" t="s">
        <v>137</v>
      </c>
      <c r="FN105" s="25">
        <v>19890101</v>
      </c>
      <c r="FP105" s="28">
        <v>4</v>
      </c>
      <c r="FQ105" s="47">
        <v>1</v>
      </c>
      <c r="FR105" s="41">
        <v>1</v>
      </c>
      <c r="FS105" s="41" t="str">
        <f t="shared" si="6"/>
        <v>MFCL</v>
      </c>
      <c r="FT105" s="41">
        <f t="shared" si="7"/>
        <v>818</v>
      </c>
      <c r="FU105" s="41">
        <f t="shared" si="8"/>
        <v>30</v>
      </c>
      <c r="FV105" s="41">
        <v>42400</v>
      </c>
      <c r="FW105" s="41">
        <v>150.52000000000001</v>
      </c>
      <c r="FX105" s="41"/>
      <c r="FY105" s="29">
        <v>0</v>
      </c>
      <c r="FZ105" s="29">
        <v>0</v>
      </c>
      <c r="GA105" s="30">
        <v>0</v>
      </c>
      <c r="GB105" s="30">
        <v>0</v>
      </c>
      <c r="GC105" s="29">
        <v>0</v>
      </c>
      <c r="GD105" s="41">
        <v>0</v>
      </c>
      <c r="GE105" s="29">
        <v>0</v>
      </c>
      <c r="GF105" s="29">
        <v>0</v>
      </c>
      <c r="GG105" s="29">
        <v>0</v>
      </c>
      <c r="GH105" s="29">
        <v>0</v>
      </c>
      <c r="GI105" s="29">
        <v>0</v>
      </c>
      <c r="GJ105" s="29">
        <v>0</v>
      </c>
      <c r="GK105" s="29">
        <v>0</v>
      </c>
      <c r="GL105" s="29">
        <v>0</v>
      </c>
      <c r="GM105" s="29">
        <v>0</v>
      </c>
      <c r="GN105" s="29">
        <v>0</v>
      </c>
      <c r="GO105" s="29">
        <v>0</v>
      </c>
      <c r="GP105" s="29">
        <v>0</v>
      </c>
      <c r="GQ105" s="29">
        <v>0</v>
      </c>
      <c r="GR105" s="18">
        <v>1</v>
      </c>
      <c r="GS105" s="41">
        <v>2</v>
      </c>
      <c r="GT105" s="41" t="str">
        <f t="shared" si="9"/>
        <v>PURO</v>
      </c>
      <c r="GU105" s="41">
        <v>818</v>
      </c>
      <c r="GV105" s="41">
        <v>36</v>
      </c>
      <c r="GW105" s="41">
        <v>0</v>
      </c>
      <c r="GX105" s="41">
        <v>36.04</v>
      </c>
      <c r="GY105" s="41"/>
      <c r="GZ105" s="41">
        <v>0</v>
      </c>
      <c r="HA105" s="41">
        <v>0</v>
      </c>
      <c r="HB105" s="42">
        <v>0</v>
      </c>
      <c r="HC105" s="42">
        <v>0</v>
      </c>
      <c r="HD105" s="41">
        <v>0</v>
      </c>
      <c r="HE105" s="41">
        <v>0</v>
      </c>
      <c r="HF105" s="41">
        <v>0</v>
      </c>
      <c r="HG105" s="41">
        <v>0</v>
      </c>
      <c r="HH105" s="41">
        <v>0</v>
      </c>
      <c r="HI105" s="41">
        <v>0</v>
      </c>
      <c r="HJ105" s="41">
        <v>0</v>
      </c>
      <c r="HK105" s="41">
        <v>0</v>
      </c>
      <c r="HL105" s="41">
        <v>0</v>
      </c>
      <c r="HM105" s="41">
        <v>0</v>
      </c>
      <c r="HN105" s="41">
        <v>0</v>
      </c>
      <c r="HO105" s="41">
        <v>0</v>
      </c>
      <c r="HP105" s="41">
        <v>0</v>
      </c>
      <c r="HQ105" s="41">
        <v>0</v>
      </c>
      <c r="HR105" s="41">
        <v>0</v>
      </c>
      <c r="HS105" s="24">
        <v>1</v>
      </c>
      <c r="HT105" s="41">
        <v>3</v>
      </c>
      <c r="HU105" s="41" t="str">
        <f t="shared" si="10"/>
        <v>PUDT</v>
      </c>
      <c r="HV105" s="41">
        <v>818</v>
      </c>
      <c r="HW105" s="41">
        <v>36</v>
      </c>
      <c r="HX105" s="41">
        <v>0</v>
      </c>
      <c r="HY105" s="41">
        <v>41.34</v>
      </c>
      <c r="HZ105" s="42"/>
      <c r="IA105" s="41">
        <v>0</v>
      </c>
      <c r="IB105" s="41">
        <v>0</v>
      </c>
      <c r="IC105" s="42">
        <v>0</v>
      </c>
      <c r="ID105" s="42">
        <v>0</v>
      </c>
      <c r="IE105" s="41">
        <v>0</v>
      </c>
      <c r="IF105" s="43">
        <v>0</v>
      </c>
      <c r="IG105" s="41">
        <v>0</v>
      </c>
      <c r="IH105" s="41">
        <v>0</v>
      </c>
      <c r="II105" s="41">
        <v>0</v>
      </c>
      <c r="IJ105" s="41">
        <v>0</v>
      </c>
      <c r="IK105" s="41">
        <v>0</v>
      </c>
      <c r="IL105" s="41">
        <v>0</v>
      </c>
      <c r="IM105" s="41">
        <v>0</v>
      </c>
      <c r="IN105" s="41">
        <v>0</v>
      </c>
      <c r="IO105" s="41">
        <v>0</v>
      </c>
      <c r="IP105" s="41">
        <v>0</v>
      </c>
      <c r="IQ105" s="41">
        <v>0</v>
      </c>
      <c r="IR105" s="41">
        <v>0</v>
      </c>
      <c r="IS105" s="41">
        <v>0</v>
      </c>
      <c r="IT105" s="17">
        <v>1</v>
      </c>
      <c r="IU105" s="41">
        <v>4</v>
      </c>
      <c r="IV105" s="41" t="str">
        <f t="shared" si="11"/>
        <v>PUDS</v>
      </c>
      <c r="IW105" s="41">
        <v>818</v>
      </c>
      <c r="IX105" s="41">
        <v>36</v>
      </c>
      <c r="IY105" s="41">
        <v>0</v>
      </c>
      <c r="IZ105" s="41">
        <v>15.9</v>
      </c>
      <c r="JA105" s="42"/>
      <c r="JB105" s="41">
        <v>0</v>
      </c>
      <c r="JC105" s="41">
        <v>0</v>
      </c>
      <c r="JD105" s="42">
        <v>0</v>
      </c>
      <c r="JE105" s="42">
        <v>0</v>
      </c>
      <c r="JF105" s="41">
        <v>0</v>
      </c>
      <c r="JG105" s="41">
        <v>0</v>
      </c>
      <c r="JH105" s="41">
        <v>0</v>
      </c>
      <c r="JI105" s="41">
        <v>0</v>
      </c>
      <c r="JJ105" s="41">
        <v>0</v>
      </c>
      <c r="JK105" s="41">
        <v>0</v>
      </c>
      <c r="JL105" s="41">
        <v>0</v>
      </c>
      <c r="JM105" s="41">
        <v>0</v>
      </c>
      <c r="JN105" s="41">
        <v>0</v>
      </c>
      <c r="JO105" s="41">
        <v>0</v>
      </c>
      <c r="JP105" s="41">
        <v>0</v>
      </c>
      <c r="JQ105" s="41">
        <v>0</v>
      </c>
      <c r="JR105" s="41">
        <v>0</v>
      </c>
      <c r="JS105" s="41">
        <v>0</v>
      </c>
      <c r="JT105" s="41">
        <v>0</v>
      </c>
      <c r="JU105"/>
    </row>
    <row r="106" spans="1:281" ht="15.75">
      <c r="A106" s="25">
        <v>100</v>
      </c>
      <c r="B106" s="25">
        <v>20190301</v>
      </c>
      <c r="C106" s="25"/>
      <c r="D106" s="25" t="s">
        <v>132</v>
      </c>
      <c r="E106" s="25" t="s">
        <v>132</v>
      </c>
      <c r="F106" s="25" t="s">
        <v>133</v>
      </c>
      <c r="G106" s="25"/>
      <c r="H106" s="25">
        <v>100000100</v>
      </c>
      <c r="I106" s="25" t="s">
        <v>134</v>
      </c>
      <c r="J106" s="25" t="s">
        <v>135</v>
      </c>
      <c r="K106" s="25" t="s">
        <v>132</v>
      </c>
      <c r="L106" s="25">
        <v>4</v>
      </c>
      <c r="M106" s="25">
        <v>1</v>
      </c>
      <c r="N106" s="25">
        <v>1</v>
      </c>
      <c r="O106" s="45" t="s">
        <v>202</v>
      </c>
      <c r="P106" s="25">
        <v>100</v>
      </c>
      <c r="Q106" s="25">
        <v>20180301</v>
      </c>
      <c r="R106" s="25">
        <v>20180301</v>
      </c>
      <c r="S106" s="25" t="s">
        <v>137</v>
      </c>
      <c r="T106" s="25" t="s">
        <v>142</v>
      </c>
      <c r="U106" s="25">
        <v>20190301</v>
      </c>
      <c r="V106" s="25">
        <v>6</v>
      </c>
      <c r="W106" s="25">
        <v>6</v>
      </c>
      <c r="X106" s="25" t="s">
        <v>139</v>
      </c>
      <c r="Y106" s="25">
        <v>0</v>
      </c>
      <c r="Z106" s="25" t="s">
        <v>140</v>
      </c>
      <c r="AA106" s="25">
        <v>818</v>
      </c>
      <c r="AB106" s="41">
        <v>0</v>
      </c>
      <c r="AC106" s="41">
        <v>12</v>
      </c>
      <c r="AD106" s="41">
        <v>20180201</v>
      </c>
      <c r="AE106" s="41">
        <v>0</v>
      </c>
      <c r="AF106" s="26">
        <v>45000</v>
      </c>
      <c r="AG106" s="41">
        <v>155</v>
      </c>
      <c r="AH106" s="26">
        <v>31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0</v>
      </c>
      <c r="AW106" s="26">
        <v>0</v>
      </c>
      <c r="AX106" s="26">
        <v>0</v>
      </c>
      <c r="AY106" s="46">
        <v>1</v>
      </c>
      <c r="AZ106" s="25">
        <v>2</v>
      </c>
      <c r="BA106" s="41" t="s">
        <v>203</v>
      </c>
      <c r="BB106" s="41">
        <v>100</v>
      </c>
      <c r="BC106" s="41">
        <v>20180301</v>
      </c>
      <c r="BD106" s="41">
        <v>20180301</v>
      </c>
      <c r="BE106" s="41" t="s">
        <v>198</v>
      </c>
      <c r="BF106" s="41" t="s">
        <v>149</v>
      </c>
      <c r="BG106" s="41">
        <v>20180301</v>
      </c>
      <c r="BH106" s="41">
        <v>0</v>
      </c>
      <c r="BI106" s="41">
        <v>0</v>
      </c>
      <c r="BJ106" s="41"/>
      <c r="BK106" s="41">
        <v>0</v>
      </c>
      <c r="BL106" s="41" t="s">
        <v>140</v>
      </c>
      <c r="BM106" s="41">
        <v>818</v>
      </c>
      <c r="BN106" s="41">
        <v>0</v>
      </c>
      <c r="BO106" s="41">
        <v>12</v>
      </c>
      <c r="BP106" s="41">
        <v>20180201</v>
      </c>
      <c r="BQ106" s="41">
        <v>0</v>
      </c>
      <c r="BR106" s="41">
        <v>0</v>
      </c>
      <c r="BS106" s="41">
        <v>36</v>
      </c>
      <c r="BT106" s="25">
        <v>31</v>
      </c>
      <c r="BU106" s="25">
        <v>0</v>
      </c>
      <c r="BV106" s="25">
        <v>0</v>
      </c>
      <c r="BW106" s="25">
        <v>0</v>
      </c>
      <c r="BX106" s="25">
        <v>0</v>
      </c>
      <c r="BY106" s="25">
        <v>0</v>
      </c>
      <c r="BZ106" s="25">
        <v>0</v>
      </c>
      <c r="CA106" s="25">
        <v>0</v>
      </c>
      <c r="CB106" s="25">
        <v>0</v>
      </c>
      <c r="CC106" s="25">
        <v>0</v>
      </c>
      <c r="CD106" s="25">
        <v>0</v>
      </c>
      <c r="CE106" s="25">
        <v>0</v>
      </c>
      <c r="CF106" s="25">
        <v>0</v>
      </c>
      <c r="CG106" s="25">
        <v>0</v>
      </c>
      <c r="CH106" s="25">
        <v>0</v>
      </c>
      <c r="CI106" s="25">
        <v>0</v>
      </c>
      <c r="CJ106" s="25">
        <v>0</v>
      </c>
      <c r="CK106" s="22">
        <v>1</v>
      </c>
      <c r="CL106" s="25">
        <v>3</v>
      </c>
      <c r="CM106" s="41" t="s">
        <v>150</v>
      </c>
      <c r="CN106" s="41">
        <v>100</v>
      </c>
      <c r="CO106" s="41">
        <v>20180301</v>
      </c>
      <c r="CP106" s="41">
        <v>20180301</v>
      </c>
      <c r="CQ106" s="41" t="s">
        <v>198</v>
      </c>
      <c r="CR106" s="41" t="s">
        <v>200</v>
      </c>
      <c r="CS106" s="41">
        <v>20180301</v>
      </c>
      <c r="CT106" s="41">
        <v>0</v>
      </c>
      <c r="CU106" s="41">
        <v>0</v>
      </c>
      <c r="CV106" s="41"/>
      <c r="CW106" s="41">
        <v>0</v>
      </c>
      <c r="CX106" s="41" t="s">
        <v>140</v>
      </c>
      <c r="CY106" s="41">
        <v>818</v>
      </c>
      <c r="CZ106" s="41">
        <v>0</v>
      </c>
      <c r="DA106" s="41">
        <v>12</v>
      </c>
      <c r="DB106" s="41">
        <v>20180201</v>
      </c>
      <c r="DC106" s="41">
        <v>0</v>
      </c>
      <c r="DD106" s="41">
        <v>0</v>
      </c>
      <c r="DE106" s="41">
        <v>42</v>
      </c>
      <c r="DF106" s="25">
        <v>31</v>
      </c>
      <c r="DG106" s="25">
        <v>0</v>
      </c>
      <c r="DH106" s="25">
        <v>0</v>
      </c>
      <c r="DI106" s="25">
        <v>0</v>
      </c>
      <c r="DJ106" s="25">
        <v>0</v>
      </c>
      <c r="DK106" s="25">
        <v>0</v>
      </c>
      <c r="DL106" s="25">
        <v>0</v>
      </c>
      <c r="DM106" s="25">
        <v>0</v>
      </c>
      <c r="DN106" s="25">
        <v>0</v>
      </c>
      <c r="DO106" s="25">
        <v>0</v>
      </c>
      <c r="DP106" s="25">
        <v>0</v>
      </c>
      <c r="DQ106" s="25">
        <v>0</v>
      </c>
      <c r="DR106" s="25">
        <v>0</v>
      </c>
      <c r="DS106" s="25">
        <v>0</v>
      </c>
      <c r="DT106" s="25">
        <v>0</v>
      </c>
      <c r="DU106" s="25">
        <v>0</v>
      </c>
      <c r="DV106" s="25">
        <v>0</v>
      </c>
      <c r="DW106" s="23">
        <v>1</v>
      </c>
      <c r="DX106" s="25">
        <v>4</v>
      </c>
      <c r="DY106" s="41" t="s">
        <v>151</v>
      </c>
      <c r="DZ106" s="41">
        <v>100</v>
      </c>
      <c r="EA106" s="41">
        <v>20180301</v>
      </c>
      <c r="EB106" s="41">
        <v>20180301</v>
      </c>
      <c r="EC106" s="41" t="s">
        <v>198</v>
      </c>
      <c r="ED106" s="41" t="s">
        <v>201</v>
      </c>
      <c r="EE106" s="41">
        <v>20180301</v>
      </c>
      <c r="EF106" s="41">
        <v>0</v>
      </c>
      <c r="EG106" s="41">
        <v>0</v>
      </c>
      <c r="EH106" s="41"/>
      <c r="EI106" s="41">
        <v>0</v>
      </c>
      <c r="EJ106" s="41" t="s">
        <v>140</v>
      </c>
      <c r="EK106" s="41">
        <v>818</v>
      </c>
      <c r="EL106" s="41">
        <v>0</v>
      </c>
      <c r="EM106" s="41">
        <v>12</v>
      </c>
      <c r="EN106" s="41">
        <v>20180201</v>
      </c>
      <c r="EO106" s="41">
        <v>0</v>
      </c>
      <c r="EP106" s="41">
        <v>0</v>
      </c>
      <c r="EQ106" s="41">
        <v>16</v>
      </c>
      <c r="ER106" s="25">
        <v>31</v>
      </c>
      <c r="ES106" s="25">
        <v>0</v>
      </c>
      <c r="ET106" s="25">
        <v>0</v>
      </c>
      <c r="EU106" s="25">
        <v>0</v>
      </c>
      <c r="EV106" s="25">
        <v>0</v>
      </c>
      <c r="EW106" s="25">
        <v>0</v>
      </c>
      <c r="EX106" s="25">
        <v>0</v>
      </c>
      <c r="EY106" s="25">
        <v>0</v>
      </c>
      <c r="EZ106" s="25">
        <v>0</v>
      </c>
      <c r="FA106" s="25">
        <v>0</v>
      </c>
      <c r="FB106" s="25">
        <v>0</v>
      </c>
      <c r="FC106" s="25">
        <v>0</v>
      </c>
      <c r="FD106" s="25">
        <v>0</v>
      </c>
      <c r="FE106" s="25">
        <v>0</v>
      </c>
      <c r="FF106" s="25">
        <v>0</v>
      </c>
      <c r="FG106" s="25">
        <v>0</v>
      </c>
      <c r="FH106" s="25">
        <v>0</v>
      </c>
      <c r="FI106" s="25">
        <v>1</v>
      </c>
      <c r="FJ106" s="25">
        <v>1</v>
      </c>
      <c r="FK106" s="25">
        <v>1</v>
      </c>
      <c r="FL106" s="25">
        <v>31</v>
      </c>
      <c r="FM106" s="25" t="s">
        <v>137</v>
      </c>
      <c r="FN106" s="25">
        <v>19880101</v>
      </c>
      <c r="FP106" s="28">
        <v>4</v>
      </c>
      <c r="FQ106" s="47">
        <v>1</v>
      </c>
      <c r="FR106" s="41">
        <v>1</v>
      </c>
      <c r="FS106" s="41" t="str">
        <f t="shared" si="6"/>
        <v>MFCL</v>
      </c>
      <c r="FT106" s="41">
        <f t="shared" si="7"/>
        <v>818</v>
      </c>
      <c r="FU106" s="41">
        <f t="shared" si="8"/>
        <v>31</v>
      </c>
      <c r="FV106" s="41">
        <v>47700</v>
      </c>
      <c r="FW106" s="41">
        <v>164.3</v>
      </c>
      <c r="FX106" s="41"/>
      <c r="FY106" s="29">
        <v>0</v>
      </c>
      <c r="FZ106" s="29">
        <v>0</v>
      </c>
      <c r="GA106" s="30">
        <v>0</v>
      </c>
      <c r="GB106" s="30">
        <v>0</v>
      </c>
      <c r="GC106" s="29">
        <v>0</v>
      </c>
      <c r="GD106" s="41">
        <v>0</v>
      </c>
      <c r="GE106" s="29">
        <v>0</v>
      </c>
      <c r="GF106" s="29">
        <v>0</v>
      </c>
      <c r="GG106" s="29">
        <v>0</v>
      </c>
      <c r="GH106" s="29">
        <v>0</v>
      </c>
      <c r="GI106" s="29">
        <v>0</v>
      </c>
      <c r="GJ106" s="29">
        <v>0</v>
      </c>
      <c r="GK106" s="29">
        <v>0</v>
      </c>
      <c r="GL106" s="29">
        <v>0</v>
      </c>
      <c r="GM106" s="29">
        <v>0</v>
      </c>
      <c r="GN106" s="29">
        <v>0</v>
      </c>
      <c r="GO106" s="29">
        <v>0</v>
      </c>
      <c r="GP106" s="29">
        <v>0</v>
      </c>
      <c r="GQ106" s="29">
        <v>0</v>
      </c>
      <c r="GR106" s="18">
        <v>1</v>
      </c>
      <c r="GS106" s="41">
        <v>2</v>
      </c>
      <c r="GT106" s="41" t="str">
        <f t="shared" si="9"/>
        <v>PURO</v>
      </c>
      <c r="GU106" s="41">
        <v>818</v>
      </c>
      <c r="GV106" s="41">
        <v>37</v>
      </c>
      <c r="GW106" s="41">
        <v>0</v>
      </c>
      <c r="GX106" s="41">
        <v>38.159999999999997</v>
      </c>
      <c r="GY106" s="41"/>
      <c r="GZ106" s="41">
        <v>0</v>
      </c>
      <c r="HA106" s="41">
        <v>0</v>
      </c>
      <c r="HB106" s="42">
        <v>0</v>
      </c>
      <c r="HC106" s="42">
        <v>0</v>
      </c>
      <c r="HD106" s="41">
        <v>0</v>
      </c>
      <c r="HE106" s="41">
        <v>0</v>
      </c>
      <c r="HF106" s="41">
        <v>0</v>
      </c>
      <c r="HG106" s="41">
        <v>0</v>
      </c>
      <c r="HH106" s="41">
        <v>0</v>
      </c>
      <c r="HI106" s="41">
        <v>0</v>
      </c>
      <c r="HJ106" s="41">
        <v>0</v>
      </c>
      <c r="HK106" s="41">
        <v>0</v>
      </c>
      <c r="HL106" s="41">
        <v>0</v>
      </c>
      <c r="HM106" s="41">
        <v>0</v>
      </c>
      <c r="HN106" s="41">
        <v>0</v>
      </c>
      <c r="HO106" s="41">
        <v>0</v>
      </c>
      <c r="HP106" s="41">
        <v>0</v>
      </c>
      <c r="HQ106" s="41">
        <v>0</v>
      </c>
      <c r="HR106" s="41">
        <v>0</v>
      </c>
      <c r="HS106" s="24">
        <v>1</v>
      </c>
      <c r="HT106" s="41">
        <v>3</v>
      </c>
      <c r="HU106" s="41" t="str">
        <f t="shared" si="10"/>
        <v>PUDT</v>
      </c>
      <c r="HV106" s="41">
        <v>818</v>
      </c>
      <c r="HW106" s="41">
        <v>37</v>
      </c>
      <c r="HX106" s="41">
        <v>0</v>
      </c>
      <c r="HY106" s="41">
        <v>44.52</v>
      </c>
      <c r="HZ106" s="42"/>
      <c r="IA106" s="41">
        <v>0</v>
      </c>
      <c r="IB106" s="41">
        <v>0</v>
      </c>
      <c r="IC106" s="42">
        <v>0</v>
      </c>
      <c r="ID106" s="42">
        <v>0</v>
      </c>
      <c r="IE106" s="41">
        <v>0</v>
      </c>
      <c r="IF106" s="43">
        <v>0</v>
      </c>
      <c r="IG106" s="41">
        <v>0</v>
      </c>
      <c r="IH106" s="41">
        <v>0</v>
      </c>
      <c r="II106" s="41">
        <v>0</v>
      </c>
      <c r="IJ106" s="41">
        <v>0</v>
      </c>
      <c r="IK106" s="41">
        <v>0</v>
      </c>
      <c r="IL106" s="41">
        <v>0</v>
      </c>
      <c r="IM106" s="41">
        <v>0</v>
      </c>
      <c r="IN106" s="41">
        <v>0</v>
      </c>
      <c r="IO106" s="41">
        <v>0</v>
      </c>
      <c r="IP106" s="41">
        <v>0</v>
      </c>
      <c r="IQ106" s="41">
        <v>0</v>
      </c>
      <c r="IR106" s="41">
        <v>0</v>
      </c>
      <c r="IS106" s="41">
        <v>0</v>
      </c>
      <c r="IT106" s="17">
        <v>1</v>
      </c>
      <c r="IU106" s="41">
        <v>4</v>
      </c>
      <c r="IV106" s="41" t="str">
        <f t="shared" si="11"/>
        <v>PUDS</v>
      </c>
      <c r="IW106" s="41">
        <v>818</v>
      </c>
      <c r="IX106" s="41">
        <v>37</v>
      </c>
      <c r="IY106" s="41">
        <v>0</v>
      </c>
      <c r="IZ106" s="41">
        <v>16.96</v>
      </c>
      <c r="JA106" s="42"/>
      <c r="JB106" s="41">
        <v>0</v>
      </c>
      <c r="JC106" s="41">
        <v>0</v>
      </c>
      <c r="JD106" s="42">
        <v>0</v>
      </c>
      <c r="JE106" s="42">
        <v>0</v>
      </c>
      <c r="JF106" s="41">
        <v>0</v>
      </c>
      <c r="JG106" s="41">
        <v>0</v>
      </c>
      <c r="JH106" s="41">
        <v>0</v>
      </c>
      <c r="JI106" s="41">
        <v>0</v>
      </c>
      <c r="JJ106" s="41">
        <v>0</v>
      </c>
      <c r="JK106" s="41">
        <v>0</v>
      </c>
      <c r="JL106" s="41">
        <v>0</v>
      </c>
      <c r="JM106" s="41">
        <v>0</v>
      </c>
      <c r="JN106" s="41">
        <v>0</v>
      </c>
      <c r="JO106" s="41">
        <v>0</v>
      </c>
      <c r="JP106" s="41">
        <v>0</v>
      </c>
      <c r="JQ106" s="41">
        <v>0</v>
      </c>
      <c r="JR106" s="41">
        <v>0</v>
      </c>
      <c r="JS106" s="41">
        <v>0</v>
      </c>
      <c r="JT106" s="41">
        <v>0</v>
      </c>
      <c r="JU106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J106"/>
  <sheetViews>
    <sheetView workbookViewId="0">
      <selection activeCell="A33" sqref="A33"/>
    </sheetView>
  </sheetViews>
  <sheetFormatPr defaultRowHeight="15"/>
  <cols>
    <col min="1" max="1" width="11.42578125" style="7" customWidth="1"/>
    <col min="2" max="2" width="10" style="7" hidden="1" customWidth="1"/>
    <col min="3" max="3" width="16.140625" style="7" hidden="1" customWidth="1"/>
    <col min="4" max="4" width="12.28515625" style="7" hidden="1" customWidth="1"/>
    <col min="5" max="5" width="16.42578125" style="7" hidden="1" customWidth="1"/>
    <col min="6" max="6" width="13.140625" style="7" hidden="1" customWidth="1"/>
    <col min="7" max="7" width="6.5703125" style="7" hidden="1" customWidth="1"/>
    <col min="8" max="8" width="27.28515625" style="7" bestFit="1" customWidth="1"/>
    <col min="9" max="9" width="18.5703125" style="7" hidden="1" customWidth="1"/>
    <col min="10" max="10" width="15.28515625" style="7" hidden="1" customWidth="1"/>
    <col min="11" max="11" width="14.28515625" style="7" hidden="1" customWidth="1"/>
    <col min="12" max="12" width="15.28515625" style="7" hidden="1" customWidth="1"/>
    <col min="13" max="13" width="16.85546875" style="8" bestFit="1" customWidth="1"/>
    <col min="14" max="14" width="15.5703125" style="7" bestFit="1" customWidth="1"/>
    <col min="15" max="15" width="13.140625" style="7" customWidth="1"/>
    <col min="16" max="16" width="17.7109375" style="7" hidden="1" customWidth="1"/>
    <col min="17" max="17" width="17.42578125" style="7" hidden="1" customWidth="1"/>
    <col min="18" max="18" width="18" style="7" hidden="1" customWidth="1"/>
    <col min="19" max="19" width="15.140625" style="7" hidden="1" customWidth="1"/>
    <col min="20" max="20" width="14.7109375" style="7" hidden="1" customWidth="1"/>
    <col min="21" max="21" width="16.28515625" style="7" hidden="1" customWidth="1"/>
    <col min="22" max="22" width="17.5703125" style="7" customWidth="1"/>
    <col min="23" max="23" width="19.28515625" style="7" customWidth="1"/>
    <col min="24" max="24" width="16" style="7" customWidth="1"/>
    <col min="25" max="25" width="15.140625" style="7" customWidth="1"/>
    <col min="26" max="26" width="18" style="7" customWidth="1"/>
    <col min="27" max="27" width="16.5703125" style="7" bestFit="1" customWidth="1"/>
    <col min="28" max="28" width="17" style="7" hidden="1" customWidth="1"/>
    <col min="29" max="29" width="14.140625" style="7" hidden="1" customWidth="1"/>
    <col min="30" max="30" width="13.7109375" style="7" hidden="1" customWidth="1"/>
    <col min="31" max="31" width="17.28515625" style="7" hidden="1" customWidth="1"/>
    <col min="32" max="32" width="18.85546875" style="7" bestFit="1" customWidth="1"/>
    <col min="33" max="33" width="19" style="7" bestFit="1" customWidth="1"/>
    <col min="34" max="34" width="14.28515625" style="12" customWidth="1"/>
    <col min="35" max="35" width="16" style="7" customWidth="1"/>
    <col min="36" max="36" width="16.7109375" style="7" hidden="1" customWidth="1"/>
    <col min="37" max="37" width="15.85546875" style="7" hidden="1" customWidth="1"/>
    <col min="38" max="38" width="17.85546875" style="7" hidden="1" customWidth="1"/>
    <col min="39" max="39" width="14.85546875" style="7" hidden="1" customWidth="1"/>
    <col min="40" max="41" width="17.42578125" style="7" hidden="1" customWidth="1"/>
    <col min="42" max="42" width="17" style="7" hidden="1" customWidth="1"/>
    <col min="43" max="43" width="16.140625" style="7" hidden="1" customWidth="1"/>
    <col min="44" max="44" width="16.28515625" style="7" hidden="1" customWidth="1"/>
    <col min="45" max="45" width="15.85546875" style="7" hidden="1" customWidth="1"/>
    <col min="46" max="46" width="18" style="7" hidden="1" customWidth="1"/>
    <col min="47" max="47" width="16.7109375" style="7" hidden="1" customWidth="1"/>
    <col min="48" max="48" width="14.140625" style="7" hidden="1" customWidth="1"/>
    <col min="49" max="49" width="17" style="7" hidden="1" customWidth="1"/>
    <col min="50" max="51" width="15" style="7" hidden="1" customWidth="1"/>
    <col min="52" max="52" width="16.85546875" style="8" bestFit="1" customWidth="1"/>
    <col min="53" max="53" width="15.5703125" style="7" bestFit="1" customWidth="1"/>
    <col min="54" max="54" width="17.7109375" style="7" bestFit="1" customWidth="1"/>
    <col min="55" max="55" width="17.7109375" style="7" hidden="1" customWidth="1"/>
    <col min="56" max="56" width="17.42578125" style="7" hidden="1" customWidth="1"/>
    <col min="57" max="57" width="18" style="7" hidden="1" customWidth="1"/>
    <col min="58" max="58" width="15.140625" style="7" hidden="1" customWidth="1"/>
    <col min="59" max="59" width="14.7109375" style="7" hidden="1" customWidth="1"/>
    <col min="60" max="60" width="16.28515625" style="7" hidden="1" customWidth="1"/>
    <col min="61" max="61" width="17.5703125" style="7" hidden="1" customWidth="1"/>
    <col min="62" max="62" width="19.28515625" style="7" hidden="1" customWidth="1"/>
    <col min="63" max="63" width="16" style="7" hidden="1" customWidth="1"/>
    <col min="64" max="64" width="15.140625" style="7" hidden="1" customWidth="1"/>
    <col min="65" max="65" width="18" style="7" hidden="1" customWidth="1"/>
    <col min="66" max="66" width="16.5703125" style="7" hidden="1" customWidth="1"/>
    <col min="67" max="67" width="17" style="7" hidden="1" customWidth="1"/>
    <col min="68" max="68" width="14.140625" style="7" hidden="1" customWidth="1"/>
    <col min="69" max="69" width="13.7109375" style="7" hidden="1" customWidth="1"/>
    <col min="70" max="70" width="17.28515625" style="7" hidden="1" customWidth="1"/>
    <col min="71" max="71" width="18.85546875" style="7" bestFit="1" customWidth="1"/>
    <col min="72" max="72" width="19" style="7" bestFit="1" customWidth="1"/>
    <col min="73" max="73" width="19" style="12" customWidth="1"/>
    <col min="74" max="74" width="16" style="7" bestFit="1" customWidth="1"/>
    <col min="75" max="75" width="16.7109375" style="7" hidden="1" customWidth="1"/>
    <col min="76" max="76" width="15.85546875" style="7" hidden="1" customWidth="1"/>
    <col min="77" max="77" width="17.85546875" style="7" hidden="1" customWidth="1"/>
    <col min="78" max="78" width="14.85546875" style="7" hidden="1" customWidth="1"/>
    <col min="79" max="80" width="17.42578125" style="7" hidden="1" customWidth="1"/>
    <col min="81" max="81" width="17" style="7" hidden="1" customWidth="1"/>
    <col min="82" max="82" width="16.140625" style="7" hidden="1" customWidth="1"/>
    <col min="83" max="83" width="16.28515625" style="7" hidden="1" customWidth="1"/>
    <col min="84" max="84" width="15.85546875" style="7" hidden="1" customWidth="1"/>
    <col min="85" max="85" width="18" style="7" hidden="1" customWidth="1"/>
    <col min="86" max="86" width="16.7109375" style="7" hidden="1" customWidth="1"/>
    <col min="87" max="87" width="14.140625" style="7" hidden="1" customWidth="1"/>
    <col min="88" max="88" width="17" style="7" hidden="1" customWidth="1"/>
    <col min="89" max="90" width="15" style="7" hidden="1" customWidth="1"/>
    <col min="91" max="91" width="16.85546875" style="8" bestFit="1" customWidth="1"/>
    <col min="92" max="92" width="15.5703125" style="7" customWidth="1"/>
    <col min="93" max="93" width="18.85546875" style="7" bestFit="1" customWidth="1"/>
    <col min="94" max="94" width="19.140625" style="7" hidden="1" customWidth="1"/>
    <col min="95" max="95" width="17.42578125" style="7" hidden="1" customWidth="1"/>
    <col min="96" max="96" width="18" style="7" hidden="1" customWidth="1"/>
    <col min="97" max="97" width="15.140625" style="7" hidden="1" customWidth="1"/>
    <col min="98" max="98" width="14.7109375" style="7" hidden="1" customWidth="1"/>
    <col min="99" max="99" width="16.28515625" style="7" hidden="1" customWidth="1"/>
    <col min="100" max="100" width="17.5703125" style="7" hidden="1" customWidth="1"/>
    <col min="101" max="101" width="19.28515625" style="7" hidden="1" customWidth="1"/>
    <col min="102" max="102" width="16" style="7" hidden="1" customWidth="1"/>
    <col min="103" max="103" width="15.140625" style="7" hidden="1" customWidth="1"/>
    <col min="104" max="104" width="18" style="7" hidden="1" customWidth="1"/>
    <col min="105" max="105" width="16.5703125" style="7" hidden="1" customWidth="1"/>
    <col min="106" max="106" width="17" style="7" hidden="1" customWidth="1"/>
    <col min="107" max="107" width="14.140625" style="7" hidden="1" customWidth="1"/>
    <col min="108" max="108" width="13.7109375" style="7" hidden="1" customWidth="1"/>
    <col min="109" max="109" width="17.28515625" style="7" hidden="1" customWidth="1"/>
    <col min="110" max="110" width="18.85546875" style="7" bestFit="1" customWidth="1"/>
    <col min="111" max="111" width="14.28515625" style="7" bestFit="1" customWidth="1"/>
    <col min="112" max="112" width="14.28515625" style="12" customWidth="1"/>
    <col min="113" max="113" width="16" style="7" bestFit="1" customWidth="1"/>
    <col min="114" max="114" width="16.7109375" style="7" hidden="1" customWidth="1"/>
    <col min="115" max="115" width="15.85546875" style="7" hidden="1" customWidth="1"/>
    <col min="116" max="116" width="17.85546875" style="7" hidden="1" customWidth="1"/>
    <col min="117" max="117" width="14.85546875" style="7" hidden="1" customWidth="1"/>
    <col min="118" max="119" width="17.42578125" style="7" hidden="1" customWidth="1"/>
    <col min="120" max="120" width="17" style="7" hidden="1" customWidth="1"/>
    <col min="121" max="121" width="16.140625" style="7" hidden="1" customWidth="1"/>
    <col min="122" max="122" width="16.28515625" style="7" hidden="1" customWidth="1"/>
    <col min="123" max="123" width="15.85546875" style="7" hidden="1" customWidth="1"/>
    <col min="124" max="124" width="18" style="7" hidden="1" customWidth="1"/>
    <col min="125" max="125" width="16.7109375" style="7" hidden="1" customWidth="1"/>
    <col min="126" max="126" width="14.140625" style="7" hidden="1" customWidth="1"/>
    <col min="127" max="127" width="17" style="7" hidden="1" customWidth="1"/>
    <col min="128" max="129" width="15" style="7" hidden="1" customWidth="1"/>
    <col min="130" max="130" width="16.85546875" style="8" bestFit="1" customWidth="1"/>
    <col min="131" max="131" width="15.5703125" style="7" customWidth="1"/>
    <col min="132" max="132" width="18.28515625" style="7" bestFit="1" customWidth="1"/>
    <col min="133" max="133" width="17.7109375" style="7" hidden="1" customWidth="1"/>
    <col min="134" max="134" width="17.42578125" style="7" hidden="1" customWidth="1"/>
    <col min="135" max="135" width="18" style="7" hidden="1" customWidth="1"/>
    <col min="136" max="136" width="15.140625" style="7" hidden="1" customWidth="1"/>
    <col min="137" max="137" width="14.7109375" style="7" hidden="1" customWidth="1"/>
    <col min="138" max="138" width="16.28515625" style="7" hidden="1" customWidth="1"/>
    <col min="139" max="139" width="17.5703125" style="7" hidden="1" customWidth="1"/>
    <col min="140" max="140" width="19.28515625" style="7" hidden="1" customWidth="1"/>
    <col min="141" max="141" width="16" style="7" hidden="1" customWidth="1"/>
    <col min="142" max="142" width="15.140625" style="7" hidden="1" customWidth="1"/>
    <col min="143" max="143" width="18" style="7" hidden="1" customWidth="1"/>
    <col min="144" max="144" width="16.5703125" style="7" hidden="1" customWidth="1"/>
    <col min="145" max="145" width="17" style="7" hidden="1" customWidth="1"/>
    <col min="146" max="146" width="14.140625" style="7" hidden="1" customWidth="1"/>
    <col min="147" max="147" width="13.7109375" style="7" hidden="1" customWidth="1"/>
    <col min="148" max="148" width="17.28515625" style="7" hidden="1" customWidth="1"/>
    <col min="149" max="149" width="18.85546875" style="7" bestFit="1" customWidth="1"/>
    <col min="150" max="150" width="14.28515625" style="7" bestFit="1" customWidth="1"/>
    <col min="151" max="151" width="14.28515625" style="12" customWidth="1"/>
    <col min="152" max="152" width="16" style="7" bestFit="1" customWidth="1"/>
    <col min="153" max="153" width="16.7109375" style="7" hidden="1" customWidth="1"/>
    <col min="154" max="154" width="15.85546875" style="7" hidden="1" customWidth="1"/>
    <col min="155" max="155" width="17.85546875" style="7" hidden="1" customWidth="1"/>
    <col min="156" max="156" width="14.85546875" style="7" hidden="1" customWidth="1"/>
    <col min="157" max="158" width="17.42578125" style="7" hidden="1" customWidth="1"/>
    <col min="159" max="159" width="17" style="7" hidden="1" customWidth="1"/>
    <col min="160" max="160" width="16.140625" style="7" hidden="1" customWidth="1"/>
    <col min="161" max="161" width="16.28515625" style="7" hidden="1" customWidth="1"/>
    <col min="162" max="162" width="15.85546875" style="7" hidden="1" customWidth="1"/>
    <col min="163" max="163" width="18" style="7" hidden="1" customWidth="1"/>
    <col min="164" max="164" width="16.7109375" style="7" hidden="1" customWidth="1"/>
    <col min="165" max="165" width="14.140625" style="7" hidden="1" customWidth="1"/>
    <col min="166" max="166" width="17" style="7" hidden="1" customWidth="1"/>
    <col min="167" max="168" width="15" style="7" hidden="1" customWidth="1"/>
    <col min="169" max="169" width="12.85546875" style="7" hidden="1" customWidth="1"/>
    <col min="170" max="170" width="15" style="7" hidden="1" customWidth="1"/>
    <col min="171" max="171" width="13.7109375" style="7" hidden="1" customWidth="1"/>
    <col min="172" max="172" width="15.5703125" style="7" bestFit="1" customWidth="1"/>
    <col min="173" max="173" width="11.140625" style="7" bestFit="1" customWidth="1"/>
    <col min="174" max="174" width="15.140625" style="7" bestFit="1" customWidth="1"/>
    <col min="175" max="175" width="9.140625" style="13"/>
  </cols>
  <sheetData>
    <row r="1" spans="1:218">
      <c r="A1" s="7">
        <v>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  <c r="V1" s="7">
        <v>21</v>
      </c>
      <c r="W1" s="7">
        <v>22</v>
      </c>
      <c r="X1" s="7">
        <v>23</v>
      </c>
      <c r="Y1" s="7">
        <v>24</v>
      </c>
      <c r="Z1" s="7">
        <v>25</v>
      </c>
      <c r="AA1" s="7">
        <v>26</v>
      </c>
      <c r="AB1" s="7">
        <v>27</v>
      </c>
      <c r="AC1" s="7">
        <v>28</v>
      </c>
      <c r="AD1" s="7">
        <v>29</v>
      </c>
      <c r="AE1" s="7">
        <v>30</v>
      </c>
      <c r="AF1" s="7">
        <v>31</v>
      </c>
      <c r="AG1" s="7">
        <v>32</v>
      </c>
      <c r="AH1" s="7">
        <v>33</v>
      </c>
      <c r="AI1" s="7">
        <v>34</v>
      </c>
      <c r="AJ1" s="7">
        <v>35</v>
      </c>
      <c r="AK1" s="7">
        <v>36</v>
      </c>
      <c r="AL1" s="7">
        <v>37</v>
      </c>
      <c r="AM1" s="7">
        <v>38</v>
      </c>
      <c r="AN1" s="7">
        <v>39</v>
      </c>
      <c r="AO1" s="7">
        <v>40</v>
      </c>
      <c r="AP1" s="7">
        <v>41</v>
      </c>
      <c r="AQ1" s="7">
        <v>42</v>
      </c>
      <c r="AR1" s="7">
        <v>43</v>
      </c>
      <c r="AS1" s="7">
        <v>44</v>
      </c>
      <c r="AT1" s="7">
        <v>45</v>
      </c>
      <c r="AU1" s="7">
        <v>46</v>
      </c>
      <c r="AV1" s="7">
        <v>47</v>
      </c>
      <c r="AW1" s="7">
        <v>48</v>
      </c>
      <c r="AX1" s="7">
        <v>49</v>
      </c>
      <c r="AY1" s="7">
        <v>50</v>
      </c>
      <c r="AZ1" s="7">
        <v>51</v>
      </c>
      <c r="BA1" s="7">
        <v>52</v>
      </c>
      <c r="BB1" s="7">
        <v>53</v>
      </c>
      <c r="BC1" s="7">
        <v>54</v>
      </c>
      <c r="BD1" s="7">
        <v>55</v>
      </c>
      <c r="BE1" s="7">
        <v>56</v>
      </c>
      <c r="BF1" s="7">
        <v>57</v>
      </c>
      <c r="BG1" s="7">
        <v>58</v>
      </c>
      <c r="BH1" s="7">
        <v>59</v>
      </c>
      <c r="BI1" s="7">
        <v>60</v>
      </c>
      <c r="BJ1" s="7">
        <v>61</v>
      </c>
      <c r="BK1" s="7">
        <v>62</v>
      </c>
      <c r="BL1" s="7">
        <v>63</v>
      </c>
      <c r="BM1" s="7">
        <v>64</v>
      </c>
      <c r="BN1" s="7">
        <v>65</v>
      </c>
      <c r="BO1" s="7">
        <v>66</v>
      </c>
      <c r="BP1" s="7">
        <v>67</v>
      </c>
      <c r="BQ1" s="7">
        <v>68</v>
      </c>
      <c r="BR1" s="7">
        <v>69</v>
      </c>
      <c r="BS1" s="7">
        <v>70</v>
      </c>
      <c r="BT1" s="7">
        <v>71</v>
      </c>
      <c r="BU1" s="7">
        <v>72</v>
      </c>
      <c r="BV1" s="7">
        <v>73</v>
      </c>
      <c r="BW1" s="7">
        <v>74</v>
      </c>
      <c r="BX1" s="7">
        <v>75</v>
      </c>
      <c r="BY1" s="7">
        <v>76</v>
      </c>
      <c r="BZ1" s="7">
        <v>77</v>
      </c>
      <c r="CA1" s="7">
        <v>78</v>
      </c>
      <c r="CB1" s="7">
        <v>79</v>
      </c>
      <c r="CC1" s="7">
        <v>80</v>
      </c>
      <c r="CD1" s="7">
        <v>81</v>
      </c>
      <c r="CE1" s="7">
        <v>82</v>
      </c>
      <c r="CF1" s="7">
        <v>83</v>
      </c>
      <c r="CG1" s="7">
        <v>84</v>
      </c>
      <c r="CH1" s="7">
        <v>85</v>
      </c>
      <c r="CI1" s="7">
        <v>86</v>
      </c>
      <c r="CJ1" s="7">
        <v>87</v>
      </c>
      <c r="CK1" s="7">
        <v>88</v>
      </c>
      <c r="CL1" s="7">
        <v>89</v>
      </c>
      <c r="CM1" s="7">
        <v>90</v>
      </c>
      <c r="CN1" s="7">
        <v>91</v>
      </c>
      <c r="CO1" s="7">
        <v>92</v>
      </c>
      <c r="CP1" s="7">
        <v>93</v>
      </c>
      <c r="CQ1" s="7">
        <v>94</v>
      </c>
      <c r="CR1" s="7">
        <v>95</v>
      </c>
      <c r="CS1" s="7">
        <v>96</v>
      </c>
      <c r="CT1" s="7">
        <v>97</v>
      </c>
      <c r="CU1" s="7">
        <v>98</v>
      </c>
      <c r="CV1" s="7">
        <v>99</v>
      </c>
      <c r="CW1" s="7">
        <v>100</v>
      </c>
      <c r="CX1" s="7">
        <v>101</v>
      </c>
      <c r="CY1" s="7">
        <v>102</v>
      </c>
      <c r="CZ1" s="7">
        <v>103</v>
      </c>
      <c r="DA1" s="7">
        <v>104</v>
      </c>
      <c r="DB1" s="7">
        <v>105</v>
      </c>
      <c r="DC1" s="7">
        <v>106</v>
      </c>
      <c r="DD1" s="7">
        <v>107</v>
      </c>
      <c r="DE1" s="7">
        <v>108</v>
      </c>
      <c r="DF1" s="7">
        <v>109</v>
      </c>
      <c r="DG1" s="7">
        <v>110</v>
      </c>
      <c r="DH1" s="7">
        <v>111</v>
      </c>
      <c r="DI1" s="7">
        <v>112</v>
      </c>
      <c r="DJ1" s="7">
        <v>113</v>
      </c>
      <c r="DK1" s="7">
        <v>114</v>
      </c>
      <c r="DL1" s="7">
        <v>115</v>
      </c>
      <c r="DM1" s="7">
        <v>116</v>
      </c>
      <c r="DN1" s="7">
        <v>117</v>
      </c>
      <c r="DO1" s="7">
        <v>118</v>
      </c>
      <c r="DP1" s="7">
        <v>119</v>
      </c>
      <c r="DQ1" s="7">
        <v>120</v>
      </c>
      <c r="DR1" s="7">
        <v>121</v>
      </c>
      <c r="DS1" s="7">
        <v>122</v>
      </c>
      <c r="DT1" s="7">
        <v>123</v>
      </c>
      <c r="DU1" s="7">
        <v>124</v>
      </c>
      <c r="DV1" s="7">
        <v>125</v>
      </c>
      <c r="DW1" s="7">
        <v>126</v>
      </c>
      <c r="DX1" s="7">
        <v>127</v>
      </c>
      <c r="DY1" s="7">
        <v>128</v>
      </c>
      <c r="DZ1" s="7">
        <v>129</v>
      </c>
      <c r="EA1" s="7">
        <v>130</v>
      </c>
      <c r="EB1" s="7">
        <v>131</v>
      </c>
      <c r="EC1" s="7">
        <v>132</v>
      </c>
      <c r="ED1" s="7">
        <v>133</v>
      </c>
      <c r="EE1" s="7">
        <v>134</v>
      </c>
      <c r="EF1" s="7">
        <v>135</v>
      </c>
      <c r="EG1" s="7">
        <v>136</v>
      </c>
      <c r="EH1" s="7">
        <v>137</v>
      </c>
      <c r="EI1" s="7">
        <v>138</v>
      </c>
      <c r="EJ1" s="7">
        <v>139</v>
      </c>
      <c r="EK1" s="7">
        <v>140</v>
      </c>
      <c r="EL1" s="7">
        <v>141</v>
      </c>
      <c r="EM1" s="7">
        <v>142</v>
      </c>
      <c r="EN1" s="7">
        <v>143</v>
      </c>
      <c r="EO1" s="7">
        <v>144</v>
      </c>
      <c r="EP1" s="7">
        <v>145</v>
      </c>
      <c r="EQ1" s="7">
        <v>146</v>
      </c>
      <c r="ER1" s="7">
        <v>147</v>
      </c>
      <c r="ES1" s="7">
        <v>148</v>
      </c>
      <c r="ET1" s="7">
        <v>149</v>
      </c>
      <c r="EU1" s="12">
        <v>150</v>
      </c>
      <c r="EV1" s="7">
        <v>151</v>
      </c>
      <c r="EW1" s="7">
        <v>152</v>
      </c>
      <c r="EX1" s="7">
        <v>153</v>
      </c>
      <c r="EY1" s="7">
        <v>154</v>
      </c>
      <c r="EZ1" s="7">
        <v>155</v>
      </c>
      <c r="FA1" s="7">
        <v>156</v>
      </c>
      <c r="FB1" s="7">
        <v>157</v>
      </c>
      <c r="FC1" s="7">
        <v>158</v>
      </c>
      <c r="FD1" s="7">
        <v>159</v>
      </c>
      <c r="FE1" s="7">
        <v>160</v>
      </c>
      <c r="FF1" s="7">
        <v>161</v>
      </c>
      <c r="FG1" s="7">
        <v>162</v>
      </c>
      <c r="FH1" s="7">
        <v>163</v>
      </c>
      <c r="FI1" s="7">
        <v>164</v>
      </c>
      <c r="FJ1" s="7">
        <v>165</v>
      </c>
      <c r="FK1" s="7">
        <v>166</v>
      </c>
      <c r="FL1" s="7">
        <v>167</v>
      </c>
      <c r="FM1" s="7">
        <v>168</v>
      </c>
      <c r="FN1" s="7">
        <v>169</v>
      </c>
      <c r="FO1" s="7">
        <v>170</v>
      </c>
      <c r="FP1" s="7">
        <v>171</v>
      </c>
      <c r="FQ1" s="7">
        <v>172</v>
      </c>
      <c r="FR1" s="7">
        <v>173</v>
      </c>
      <c r="FS1" s="7">
        <v>174</v>
      </c>
      <c r="FT1" s="7">
        <v>175</v>
      </c>
      <c r="FU1" s="7">
        <v>176</v>
      </c>
      <c r="FV1" s="7">
        <v>177</v>
      </c>
      <c r="FW1" s="7">
        <v>178</v>
      </c>
      <c r="FX1" s="7">
        <v>179</v>
      </c>
      <c r="FY1" s="7">
        <v>180</v>
      </c>
      <c r="FZ1" s="7">
        <v>181</v>
      </c>
      <c r="GA1" s="7">
        <v>182</v>
      </c>
      <c r="GB1" s="7">
        <v>183</v>
      </c>
      <c r="GC1" s="7">
        <v>184</v>
      </c>
      <c r="GD1" s="7">
        <v>185</v>
      </c>
      <c r="GE1" s="7">
        <v>186</v>
      </c>
      <c r="GF1" s="7">
        <v>187</v>
      </c>
      <c r="GG1" s="7">
        <v>188</v>
      </c>
      <c r="GH1" s="7">
        <v>189</v>
      </c>
      <c r="GI1" s="7">
        <v>190</v>
      </c>
      <c r="GJ1" s="7">
        <v>191</v>
      </c>
      <c r="GK1" s="7">
        <v>192</v>
      </c>
      <c r="GL1" s="7">
        <v>193</v>
      </c>
      <c r="GM1" s="7">
        <v>194</v>
      </c>
      <c r="GN1" s="7">
        <v>195</v>
      </c>
      <c r="GO1" s="7">
        <v>196</v>
      </c>
      <c r="GP1" s="7">
        <v>197</v>
      </c>
      <c r="GQ1" s="7">
        <v>198</v>
      </c>
      <c r="GR1" s="7">
        <v>199</v>
      </c>
      <c r="GS1" s="7">
        <v>200</v>
      </c>
      <c r="GT1" s="7">
        <v>201</v>
      </c>
      <c r="GU1" s="7">
        <v>202</v>
      </c>
      <c r="GV1" s="7">
        <v>203</v>
      </c>
      <c r="GW1" s="7">
        <v>204</v>
      </c>
      <c r="GX1" s="7">
        <v>205</v>
      </c>
      <c r="GY1" s="7">
        <v>206</v>
      </c>
      <c r="GZ1" s="7">
        <v>207</v>
      </c>
      <c r="HA1" s="7">
        <v>208</v>
      </c>
      <c r="HB1" s="7">
        <v>209</v>
      </c>
      <c r="HC1" s="7">
        <v>210</v>
      </c>
      <c r="HD1" s="7">
        <v>211</v>
      </c>
      <c r="HE1" s="7">
        <v>212</v>
      </c>
      <c r="HF1" s="7">
        <v>213</v>
      </c>
      <c r="HG1" s="7">
        <v>214</v>
      </c>
      <c r="HH1" s="7">
        <v>215</v>
      </c>
      <c r="HI1" s="7">
        <v>216</v>
      </c>
      <c r="HJ1" s="7">
        <v>217</v>
      </c>
    </row>
    <row r="2" spans="1:218">
      <c r="A2" s="7" t="s">
        <v>32</v>
      </c>
      <c r="B2" s="7" t="s">
        <v>33</v>
      </c>
      <c r="E2" s="7" t="s">
        <v>34</v>
      </c>
      <c r="F2" s="7" t="s">
        <v>35</v>
      </c>
    </row>
    <row r="4" spans="1:218">
      <c r="B4" s="7" t="s">
        <v>36</v>
      </c>
    </row>
    <row r="5" spans="1:218">
      <c r="B5" s="7" t="s">
        <v>38</v>
      </c>
      <c r="M5" s="8" t="s">
        <v>39</v>
      </c>
      <c r="AZ5" s="8" t="s">
        <v>40</v>
      </c>
      <c r="CM5" s="8" t="s">
        <v>41</v>
      </c>
      <c r="DZ5" s="8" t="s">
        <v>42</v>
      </c>
      <c r="FN5" s="7" t="s">
        <v>43</v>
      </c>
    </row>
    <row r="6" spans="1:218">
      <c r="A6" s="7" t="s">
        <v>44</v>
      </c>
      <c r="B6" s="7" t="s">
        <v>45</v>
      </c>
      <c r="C6" s="7" t="s">
        <v>46</v>
      </c>
      <c r="D6" s="7" t="s">
        <v>47</v>
      </c>
      <c r="E6" s="7" t="s">
        <v>48</v>
      </c>
      <c r="F6" s="7" t="s">
        <v>49</v>
      </c>
      <c r="G6" s="7" t="s">
        <v>50</v>
      </c>
      <c r="H6" s="7" t="s">
        <v>51</v>
      </c>
      <c r="I6" s="7" t="s">
        <v>52</v>
      </c>
      <c r="J6" s="7" t="s">
        <v>53</v>
      </c>
      <c r="K6" s="7" t="s">
        <v>54</v>
      </c>
      <c r="L6" s="7" t="s">
        <v>55</v>
      </c>
      <c r="M6" s="8" t="s">
        <v>56</v>
      </c>
      <c r="N6" s="7" t="s">
        <v>57</v>
      </c>
      <c r="O6" s="7" t="s">
        <v>58</v>
      </c>
      <c r="P6" s="7" t="s">
        <v>59</v>
      </c>
      <c r="Q6" s="7" t="s">
        <v>60</v>
      </c>
      <c r="R6" s="7" t="s">
        <v>61</v>
      </c>
      <c r="S6" s="7" t="s">
        <v>62</v>
      </c>
      <c r="T6" s="7" t="s">
        <v>63</v>
      </c>
      <c r="U6" s="7" t="s">
        <v>64</v>
      </c>
      <c r="V6" s="7" t="s">
        <v>65</v>
      </c>
      <c r="W6" s="7" t="s">
        <v>66</v>
      </c>
      <c r="X6" s="7" t="s">
        <v>67</v>
      </c>
      <c r="Y6" s="7" t="s">
        <v>68</v>
      </c>
      <c r="Z6" s="7" t="s">
        <v>69</v>
      </c>
      <c r="AA6" s="7" t="s">
        <v>70</v>
      </c>
      <c r="AB6" s="7" t="s">
        <v>71</v>
      </c>
      <c r="AC6" s="7" t="s">
        <v>72</v>
      </c>
      <c r="AD6" s="7" t="s">
        <v>73</v>
      </c>
      <c r="AE6" s="7" t="s">
        <v>74</v>
      </c>
      <c r="AF6" s="7" t="s">
        <v>75</v>
      </c>
      <c r="AG6" s="7" t="s">
        <v>95</v>
      </c>
      <c r="AH6" s="12" t="s">
        <v>160</v>
      </c>
      <c r="AI6" s="7" t="s">
        <v>77</v>
      </c>
      <c r="AJ6" s="7" t="s">
        <v>78</v>
      </c>
      <c r="AK6" s="7" t="s">
        <v>79</v>
      </c>
      <c r="AL6" s="7" t="s">
        <v>80</v>
      </c>
      <c r="AM6" s="7" t="s">
        <v>81</v>
      </c>
      <c r="AN6" s="7" t="s">
        <v>82</v>
      </c>
      <c r="AO6" s="7" t="s">
        <v>83</v>
      </c>
      <c r="AP6" s="7" t="s">
        <v>84</v>
      </c>
      <c r="AQ6" s="7" t="s">
        <v>85</v>
      </c>
      <c r="AR6" s="7" t="s">
        <v>86</v>
      </c>
      <c r="AS6" s="7" t="s">
        <v>87</v>
      </c>
      <c r="AT6" s="7" t="s">
        <v>88</v>
      </c>
      <c r="AU6" s="7" t="s">
        <v>89</v>
      </c>
      <c r="AV6" s="7" t="s">
        <v>90</v>
      </c>
      <c r="AW6" s="7" t="s">
        <v>91</v>
      </c>
      <c r="AX6" s="7" t="s">
        <v>92</v>
      </c>
      <c r="AY6" s="7" t="s">
        <v>93</v>
      </c>
      <c r="AZ6" s="8" t="s">
        <v>56</v>
      </c>
      <c r="BA6" s="7" t="s">
        <v>57</v>
      </c>
      <c r="BB6" s="7" t="s">
        <v>94</v>
      </c>
      <c r="BC6" s="7" t="s">
        <v>59</v>
      </c>
      <c r="BD6" s="7" t="s">
        <v>60</v>
      </c>
      <c r="BE6" s="7" t="s">
        <v>61</v>
      </c>
      <c r="BF6" s="7" t="s">
        <v>62</v>
      </c>
      <c r="BG6" s="7" t="s">
        <v>63</v>
      </c>
      <c r="BH6" s="7" t="s">
        <v>64</v>
      </c>
      <c r="BI6" s="7" t="s">
        <v>65</v>
      </c>
      <c r="BJ6" s="7" t="s">
        <v>66</v>
      </c>
      <c r="BK6" s="7" t="s">
        <v>67</v>
      </c>
      <c r="BL6" s="7" t="s">
        <v>68</v>
      </c>
      <c r="BM6" s="7" t="s">
        <v>69</v>
      </c>
      <c r="BN6" s="7" t="s">
        <v>70</v>
      </c>
      <c r="BO6" s="7" t="s">
        <v>71</v>
      </c>
      <c r="BP6" s="7" t="s">
        <v>72</v>
      </c>
      <c r="BQ6" s="7" t="s">
        <v>73</v>
      </c>
      <c r="BR6" s="7" t="s">
        <v>74</v>
      </c>
      <c r="BS6" s="7" t="s">
        <v>75</v>
      </c>
      <c r="BT6" s="7" t="s">
        <v>95</v>
      </c>
      <c r="BU6" s="12" t="s">
        <v>157</v>
      </c>
      <c r="BV6" s="7" t="s">
        <v>77</v>
      </c>
      <c r="BW6" s="7" t="s">
        <v>78</v>
      </c>
      <c r="BX6" s="7" t="s">
        <v>79</v>
      </c>
      <c r="BY6" s="7" t="s">
        <v>80</v>
      </c>
      <c r="BZ6" s="7" t="s">
        <v>81</v>
      </c>
      <c r="CA6" s="7" t="s">
        <v>82</v>
      </c>
      <c r="CB6" s="7" t="s">
        <v>83</v>
      </c>
      <c r="CC6" s="7" t="s">
        <v>84</v>
      </c>
      <c r="CD6" s="7" t="s">
        <v>85</v>
      </c>
      <c r="CE6" s="7" t="s">
        <v>86</v>
      </c>
      <c r="CF6" s="7" t="s">
        <v>87</v>
      </c>
      <c r="CG6" s="7" t="s">
        <v>88</v>
      </c>
      <c r="CH6" s="7" t="s">
        <v>89</v>
      </c>
      <c r="CI6" s="7" t="s">
        <v>90</v>
      </c>
      <c r="CJ6" s="7" t="s">
        <v>91</v>
      </c>
      <c r="CK6" s="7" t="s">
        <v>92</v>
      </c>
      <c r="CL6" s="7" t="s">
        <v>93</v>
      </c>
      <c r="CM6" s="8" t="s">
        <v>56</v>
      </c>
      <c r="CN6" s="7" t="s">
        <v>57</v>
      </c>
      <c r="CO6" s="7" t="s">
        <v>96</v>
      </c>
      <c r="CP6" s="7" t="s">
        <v>97</v>
      </c>
      <c r="CQ6" s="7" t="s">
        <v>60</v>
      </c>
      <c r="CR6" s="7" t="s">
        <v>61</v>
      </c>
      <c r="CS6" s="7" t="s">
        <v>62</v>
      </c>
      <c r="CT6" s="7" t="s">
        <v>63</v>
      </c>
      <c r="CU6" s="7" t="s">
        <v>64</v>
      </c>
      <c r="CV6" s="7" t="s">
        <v>65</v>
      </c>
      <c r="CW6" s="7" t="s">
        <v>66</v>
      </c>
      <c r="CX6" s="7" t="s">
        <v>67</v>
      </c>
      <c r="CY6" s="7" t="s">
        <v>68</v>
      </c>
      <c r="CZ6" s="7" t="s">
        <v>69</v>
      </c>
      <c r="DA6" s="7" t="s">
        <v>70</v>
      </c>
      <c r="DB6" s="7" t="s">
        <v>71</v>
      </c>
      <c r="DC6" s="7" t="s">
        <v>72</v>
      </c>
      <c r="DD6" s="7" t="s">
        <v>73</v>
      </c>
      <c r="DE6" s="7" t="s">
        <v>74</v>
      </c>
      <c r="DF6" s="7" t="s">
        <v>75</v>
      </c>
      <c r="DG6" s="7" t="s">
        <v>76</v>
      </c>
      <c r="DH6" s="12" t="s">
        <v>158</v>
      </c>
      <c r="DI6" s="7" t="s">
        <v>77</v>
      </c>
      <c r="DJ6" s="7" t="s">
        <v>78</v>
      </c>
      <c r="DK6" s="7" t="s">
        <v>79</v>
      </c>
      <c r="DL6" s="7" t="s">
        <v>80</v>
      </c>
      <c r="DM6" s="7" t="s">
        <v>81</v>
      </c>
      <c r="DN6" s="7" t="s">
        <v>82</v>
      </c>
      <c r="DO6" s="7" t="s">
        <v>83</v>
      </c>
      <c r="DP6" s="7" t="s">
        <v>84</v>
      </c>
      <c r="DQ6" s="7" t="s">
        <v>85</v>
      </c>
      <c r="DR6" s="7" t="s">
        <v>86</v>
      </c>
      <c r="DS6" s="7" t="s">
        <v>87</v>
      </c>
      <c r="DT6" s="7" t="s">
        <v>88</v>
      </c>
      <c r="DU6" s="7" t="s">
        <v>89</v>
      </c>
      <c r="DV6" s="7" t="s">
        <v>90</v>
      </c>
      <c r="DW6" s="7" t="s">
        <v>91</v>
      </c>
      <c r="DX6" s="7" t="s">
        <v>92</v>
      </c>
      <c r="DY6" s="7" t="s">
        <v>93</v>
      </c>
      <c r="DZ6" s="8" t="s">
        <v>56</v>
      </c>
      <c r="EA6" s="7" t="s">
        <v>57</v>
      </c>
      <c r="EB6" s="7" t="s">
        <v>98</v>
      </c>
      <c r="EC6" s="7" t="s">
        <v>59</v>
      </c>
      <c r="ED6" s="7" t="s">
        <v>60</v>
      </c>
      <c r="EE6" s="7" t="s">
        <v>61</v>
      </c>
      <c r="EF6" s="7" t="s">
        <v>62</v>
      </c>
      <c r="EG6" s="7" t="s">
        <v>63</v>
      </c>
      <c r="EH6" s="7" t="s">
        <v>64</v>
      </c>
      <c r="EI6" s="7" t="s">
        <v>65</v>
      </c>
      <c r="EJ6" s="7" t="s">
        <v>66</v>
      </c>
      <c r="EK6" s="7" t="s">
        <v>67</v>
      </c>
      <c r="EL6" s="7" t="s">
        <v>68</v>
      </c>
      <c r="EM6" s="7" t="s">
        <v>69</v>
      </c>
      <c r="EN6" s="7" t="s">
        <v>70</v>
      </c>
      <c r="EO6" s="7" t="s">
        <v>71</v>
      </c>
      <c r="EP6" s="7" t="s">
        <v>72</v>
      </c>
      <c r="EQ6" s="7" t="s">
        <v>73</v>
      </c>
      <c r="ER6" s="7" t="s">
        <v>74</v>
      </c>
      <c r="ES6" s="7" t="s">
        <v>75</v>
      </c>
      <c r="ET6" s="7" t="s">
        <v>76</v>
      </c>
      <c r="EU6" s="12" t="s">
        <v>159</v>
      </c>
      <c r="EV6" s="7" t="s">
        <v>77</v>
      </c>
      <c r="EW6" s="7" t="s">
        <v>78</v>
      </c>
      <c r="EX6" s="7" t="s">
        <v>79</v>
      </c>
      <c r="EY6" s="7" t="s">
        <v>80</v>
      </c>
      <c r="EZ6" s="7" t="s">
        <v>81</v>
      </c>
      <c r="FA6" s="7" t="s">
        <v>82</v>
      </c>
      <c r="FB6" s="7" t="s">
        <v>83</v>
      </c>
      <c r="FC6" s="7" t="s">
        <v>84</v>
      </c>
      <c r="FD6" s="7" t="s">
        <v>85</v>
      </c>
      <c r="FE6" s="7" t="s">
        <v>86</v>
      </c>
      <c r="FF6" s="7" t="s">
        <v>87</v>
      </c>
      <c r="FG6" s="7" t="s">
        <v>88</v>
      </c>
      <c r="FH6" s="7" t="s">
        <v>89</v>
      </c>
      <c r="FI6" s="7" t="s">
        <v>90</v>
      </c>
      <c r="FJ6" s="7" t="s">
        <v>91</v>
      </c>
      <c r="FK6" s="7" t="s">
        <v>92</v>
      </c>
      <c r="FL6" s="7" t="s">
        <v>93</v>
      </c>
      <c r="FM6" s="7" t="s">
        <v>99</v>
      </c>
      <c r="FN6" s="7" t="s">
        <v>100</v>
      </c>
      <c r="FO6" s="7" t="s">
        <v>101</v>
      </c>
      <c r="FP6" s="7" t="s">
        <v>102</v>
      </c>
      <c r="FQ6" s="7" t="s">
        <v>103</v>
      </c>
      <c r="FR6" s="7" t="s">
        <v>104</v>
      </c>
    </row>
    <row r="7" spans="1:218">
      <c r="A7" s="7">
        <f>'AS400'!A7</f>
        <v>1</v>
      </c>
      <c r="B7" s="7">
        <f>'AS400'!B7</f>
        <v>20190301</v>
      </c>
      <c r="C7" s="7">
        <f>'AS400'!C7</f>
        <v>0</v>
      </c>
      <c r="D7" s="7" t="str">
        <f>'AS400'!D7</f>
        <v>N</v>
      </c>
      <c r="E7" s="7" t="str">
        <f>'AS400'!E7</f>
        <v>N</v>
      </c>
      <c r="F7" s="7" t="str">
        <f>'AS400'!F7</f>
        <v>Y</v>
      </c>
      <c r="G7" s="7">
        <f>'AS400'!G7</f>
        <v>0</v>
      </c>
      <c r="H7" s="14"/>
      <c r="I7" s="7" t="str">
        <f>'AS400'!I7</f>
        <v>RSA</v>
      </c>
      <c r="J7" s="7" t="str">
        <f>'AS400'!J7</f>
        <v>METR</v>
      </c>
      <c r="K7" s="7" t="str">
        <f>'AS400'!K7</f>
        <v>N</v>
      </c>
      <c r="L7" s="7">
        <f>'AS400'!L7</f>
        <v>4</v>
      </c>
      <c r="M7" s="8">
        <f>'AS400'!M7</f>
        <v>1</v>
      </c>
      <c r="N7" s="7">
        <f>'AS400'!N7</f>
        <v>1</v>
      </c>
      <c r="O7" s="7" t="str">
        <f>'AS400'!O7</f>
        <v>MFMM</v>
      </c>
      <c r="P7" s="7">
        <f>'AS400'!P7</f>
        <v>100</v>
      </c>
      <c r="Q7" s="7">
        <f>'AS400'!Q7</f>
        <v>20180301</v>
      </c>
      <c r="R7" s="7">
        <f>'AS400'!R7</f>
        <v>20180301</v>
      </c>
      <c r="S7" s="7" t="str">
        <f>'AS400'!S7</f>
        <v>M</v>
      </c>
      <c r="T7" s="7" t="str">
        <f>'AS400'!T7</f>
        <v>MN</v>
      </c>
      <c r="U7" s="7">
        <f>'AS400'!U7</f>
        <v>20180301</v>
      </c>
      <c r="V7" s="7">
        <f>'AS400'!V7</f>
        <v>10</v>
      </c>
      <c r="W7" s="7">
        <f>'AS400'!W7</f>
        <v>10</v>
      </c>
      <c r="X7" s="7" t="str">
        <f>'AS400'!X7</f>
        <v>MFIX</v>
      </c>
      <c r="Y7" s="7">
        <f>'AS400'!Y7</f>
        <v>0</v>
      </c>
      <c r="Z7" s="7" t="str">
        <f>'AS400'!Z7</f>
        <v>STLV</v>
      </c>
      <c r="AA7" s="7">
        <f>'AS400'!AA7</f>
        <v>818</v>
      </c>
      <c r="AB7" s="7">
        <f>'AS400'!AB7</f>
        <v>0</v>
      </c>
      <c r="AC7" s="7">
        <f>'AS400'!AC7</f>
        <v>12</v>
      </c>
      <c r="AD7" s="7">
        <f>'AS400'!AD7</f>
        <v>20180201</v>
      </c>
      <c r="AE7" s="7">
        <f>'AS400'!AE7</f>
        <v>0</v>
      </c>
      <c r="AF7" s="7">
        <f>'AS400'!AF7</f>
        <v>10000</v>
      </c>
      <c r="AG7" s="7">
        <f>'AS400'!AG7</f>
        <v>50</v>
      </c>
      <c r="AH7" s="15"/>
      <c r="AI7" s="7">
        <f>'AS400'!AH7</f>
        <v>60</v>
      </c>
      <c r="AJ7" s="7">
        <f>'AS400'!AI7</f>
        <v>0</v>
      </c>
      <c r="AK7" s="7">
        <f>'AS400'!AJ7</f>
        <v>0</v>
      </c>
      <c r="AL7" s="7">
        <f>'AS400'!AK7</f>
        <v>0</v>
      </c>
      <c r="AM7" s="7">
        <f>'AS400'!AL7</f>
        <v>0</v>
      </c>
      <c r="AN7" s="7">
        <f>'AS400'!AM7</f>
        <v>0</v>
      </c>
      <c r="AO7" s="7">
        <f>'AS400'!AN7</f>
        <v>0</v>
      </c>
      <c r="AP7" s="7">
        <f>'AS400'!AO7</f>
        <v>0</v>
      </c>
      <c r="AQ7" s="7">
        <f>'AS400'!AP7</f>
        <v>0</v>
      </c>
      <c r="AR7" s="7">
        <f>'AS400'!AQ7</f>
        <v>0</v>
      </c>
      <c r="AS7" s="7">
        <f>'AS400'!AR7</f>
        <v>0</v>
      </c>
      <c r="AT7" s="7">
        <f>'AS400'!AS7</f>
        <v>0</v>
      </c>
      <c r="AU7" s="7">
        <f>'AS400'!AT7</f>
        <v>0</v>
      </c>
      <c r="AV7" s="7">
        <f>'AS400'!AU7</f>
        <v>0</v>
      </c>
      <c r="AW7" s="7">
        <f>'AS400'!AV7</f>
        <v>0</v>
      </c>
      <c r="AX7" s="7">
        <f>'AS400'!AW7</f>
        <v>0</v>
      </c>
      <c r="AY7" s="7">
        <f>'AS400'!AX7</f>
        <v>0</v>
      </c>
      <c r="AZ7" s="8">
        <f>'AS400'!AY7</f>
        <v>1</v>
      </c>
      <c r="BA7" s="7">
        <f>'AS400'!AZ7</f>
        <v>2</v>
      </c>
      <c r="BB7" s="7" t="str">
        <f>'AS400'!BA7</f>
        <v>PURO</v>
      </c>
      <c r="BC7" s="7">
        <f>'AS400'!BB7</f>
        <v>100</v>
      </c>
      <c r="BD7" s="7">
        <f>'AS400'!BC7</f>
        <v>20180301</v>
      </c>
      <c r="BE7" s="7">
        <f>'AS400'!BD7</f>
        <v>20180301</v>
      </c>
      <c r="BF7" s="7" t="str">
        <f>'AS400'!BE7</f>
        <v>S</v>
      </c>
      <c r="BG7" s="7" t="str">
        <f>'AS400'!BF7</f>
        <v>ME</v>
      </c>
      <c r="BH7" s="7">
        <f>'AS400'!BG7</f>
        <v>20180301</v>
      </c>
      <c r="BI7" s="7">
        <f>'AS400'!BH7</f>
        <v>0</v>
      </c>
      <c r="BJ7" s="7">
        <f>'AS400'!BI7</f>
        <v>0</v>
      </c>
      <c r="BK7" s="7" t="str">
        <f>'AS400'!BJ7</f>
        <v xml:space="preserve"> </v>
      </c>
      <c r="BL7" s="7">
        <f>'AS400'!BK7</f>
        <v>0</v>
      </c>
      <c r="BM7" s="7" t="str">
        <f>'AS400'!BL7</f>
        <v>STLV</v>
      </c>
      <c r="BN7" s="7">
        <f>'AS400'!BM7</f>
        <v>818</v>
      </c>
      <c r="BO7" s="7">
        <f>'AS400'!BN7</f>
        <v>0</v>
      </c>
      <c r="BP7" s="7">
        <f>'AS400'!BO7</f>
        <v>12</v>
      </c>
      <c r="BQ7" s="7">
        <f>'AS400'!BP7</f>
        <v>20180201</v>
      </c>
      <c r="BR7" s="7">
        <f>'AS400'!BQ7</f>
        <v>0</v>
      </c>
      <c r="BS7" s="7">
        <f>'AS400'!BR7</f>
        <v>0</v>
      </c>
      <c r="BT7" s="7">
        <f>'AS400'!BS7</f>
        <v>28</v>
      </c>
      <c r="BU7" s="15"/>
      <c r="BV7" s="7">
        <f>'AS400'!BT7</f>
        <v>60</v>
      </c>
      <c r="BW7" s="7">
        <f>'AS400'!BU7</f>
        <v>0</v>
      </c>
      <c r="BX7" s="7">
        <f>'AS400'!BV7</f>
        <v>0</v>
      </c>
      <c r="BY7" s="7">
        <f>'AS400'!BW7</f>
        <v>0</v>
      </c>
      <c r="BZ7" s="7">
        <f>'AS400'!BX7</f>
        <v>0</v>
      </c>
      <c r="CA7" s="7">
        <f>'AS400'!BY7</f>
        <v>0</v>
      </c>
      <c r="CB7" s="7">
        <f>'AS400'!BZ7</f>
        <v>0</v>
      </c>
      <c r="CC7" s="7">
        <f>'AS400'!CA7</f>
        <v>0</v>
      </c>
      <c r="CD7" s="7">
        <f>'AS400'!CB7</f>
        <v>0</v>
      </c>
      <c r="CE7" s="7">
        <f>'AS400'!CC7</f>
        <v>0</v>
      </c>
      <c r="CF7" s="7">
        <f>'AS400'!CD7</f>
        <v>0</v>
      </c>
      <c r="CG7" s="7">
        <f>'AS400'!CE7</f>
        <v>0</v>
      </c>
      <c r="CH7" s="7">
        <f>'AS400'!CF7</f>
        <v>0</v>
      </c>
      <c r="CI7" s="7">
        <f>'AS400'!CG7</f>
        <v>0</v>
      </c>
      <c r="CJ7" s="7">
        <f>'AS400'!CH7</f>
        <v>0</v>
      </c>
      <c r="CK7" s="7">
        <f>'AS400'!CI7</f>
        <v>0</v>
      </c>
      <c r="CL7" s="7">
        <f>'AS400'!CJ7</f>
        <v>0</v>
      </c>
      <c r="CM7" s="8">
        <f>'AS400'!CK7</f>
        <v>1</v>
      </c>
      <c r="CN7" s="7">
        <f>'AS400'!CL7</f>
        <v>3</v>
      </c>
      <c r="CO7" s="7" t="str">
        <f>'AS400'!CM7</f>
        <v>PUDS</v>
      </c>
      <c r="CP7" s="7">
        <f>'AS400'!CN7</f>
        <v>100</v>
      </c>
      <c r="CQ7" s="7">
        <f>'AS400'!CO7</f>
        <v>20180301</v>
      </c>
      <c r="CR7" s="7">
        <f>'AS400'!CP7</f>
        <v>20180301</v>
      </c>
      <c r="CS7" s="7" t="str">
        <f>'AS400'!CQ7</f>
        <v>S</v>
      </c>
      <c r="CT7" s="7" t="str">
        <f>'AS400'!CR7</f>
        <v>MT</v>
      </c>
      <c r="CU7" s="7">
        <f>'AS400'!CS7</f>
        <v>20180301</v>
      </c>
      <c r="CV7" s="7">
        <f>'AS400'!CT7</f>
        <v>0</v>
      </c>
      <c r="CW7" s="7">
        <f>'AS400'!CU7</f>
        <v>0</v>
      </c>
      <c r="CX7" s="7" t="str">
        <f>'AS400'!CV7</f>
        <v xml:space="preserve"> </v>
      </c>
      <c r="CY7" s="7">
        <f>'AS400'!CW7</f>
        <v>0</v>
      </c>
      <c r="CZ7" s="7" t="str">
        <f>'AS400'!CX7</f>
        <v>STLV</v>
      </c>
      <c r="DA7" s="7">
        <f>'AS400'!CY7</f>
        <v>818</v>
      </c>
      <c r="DB7" s="7">
        <f>'AS400'!CZ7</f>
        <v>0</v>
      </c>
      <c r="DC7" s="7">
        <f>'AS400'!DA7</f>
        <v>12</v>
      </c>
      <c r="DD7" s="7">
        <f>'AS400'!DB7</f>
        <v>20180201</v>
      </c>
      <c r="DE7" s="7">
        <f>'AS400'!DC7</f>
        <v>0</v>
      </c>
      <c r="DF7" s="7">
        <f>'AS400'!DD7</f>
        <v>0</v>
      </c>
      <c r="DG7" s="7">
        <f>'AS400'!DE7</f>
        <v>8</v>
      </c>
      <c r="DI7" s="7">
        <f>'AS400'!DF7</f>
        <v>60</v>
      </c>
      <c r="DJ7" s="7">
        <f>'AS400'!DG7</f>
        <v>0</v>
      </c>
      <c r="DK7" s="7">
        <f>'AS400'!DH7</f>
        <v>0</v>
      </c>
      <c r="DL7" s="7">
        <f>'AS400'!DI7</f>
        <v>0</v>
      </c>
      <c r="DM7" s="7">
        <f>'AS400'!DJ7</f>
        <v>0</v>
      </c>
      <c r="DN7" s="7">
        <f>'AS400'!DK7</f>
        <v>0</v>
      </c>
      <c r="DO7" s="7">
        <f>'AS400'!DL7</f>
        <v>0</v>
      </c>
      <c r="DP7" s="7">
        <f>'AS400'!DM7</f>
        <v>0</v>
      </c>
      <c r="DQ7" s="7">
        <f>'AS400'!DN7</f>
        <v>0</v>
      </c>
      <c r="DR7" s="7">
        <f>'AS400'!DO7</f>
        <v>0</v>
      </c>
      <c r="DS7" s="7">
        <f>'AS400'!DP7</f>
        <v>0</v>
      </c>
      <c r="DT7" s="7">
        <f>'AS400'!DQ7</f>
        <v>0</v>
      </c>
      <c r="DU7" s="7">
        <f>'AS400'!DR7</f>
        <v>0</v>
      </c>
      <c r="DV7" s="7">
        <f>'AS400'!DS7</f>
        <v>0</v>
      </c>
      <c r="DW7" s="7">
        <f>'AS400'!DT7</f>
        <v>0</v>
      </c>
      <c r="DX7" s="7">
        <f>'AS400'!DU7</f>
        <v>0</v>
      </c>
      <c r="DY7" s="7">
        <f>'AS400'!DV7</f>
        <v>0</v>
      </c>
      <c r="DZ7" s="8">
        <f>'AS400'!DW7</f>
        <v>1</v>
      </c>
      <c r="EA7" s="7">
        <f>'AS400'!DX7</f>
        <v>4</v>
      </c>
      <c r="EB7" s="7">
        <f>'AS400'!DY7</f>
        <v>0</v>
      </c>
      <c r="EC7" s="7">
        <f>'AS400'!DZ7</f>
        <v>100</v>
      </c>
      <c r="ED7" s="7">
        <f>'AS400'!EA7</f>
        <v>20180301</v>
      </c>
      <c r="EE7" s="7">
        <f>'AS400'!EB7</f>
        <v>20180301</v>
      </c>
      <c r="EF7" s="7" t="str">
        <f>'AS400'!EC7</f>
        <v>S</v>
      </c>
      <c r="EG7" s="7" t="str">
        <f>'AS400'!ED7</f>
        <v>MS</v>
      </c>
      <c r="EH7" s="7">
        <f>'AS400'!EE7</f>
        <v>20180301</v>
      </c>
      <c r="EI7" s="7">
        <f>'AS400'!EF7</f>
        <v>0</v>
      </c>
      <c r="EJ7" s="7">
        <f>'AS400'!EG7</f>
        <v>0</v>
      </c>
      <c r="EK7" s="7" t="str">
        <f>'AS400'!EH7</f>
        <v xml:space="preserve"> </v>
      </c>
      <c r="EL7" s="7">
        <f>'AS400'!EI7</f>
        <v>0</v>
      </c>
      <c r="EM7" s="7" t="str">
        <f>'AS400'!EJ7</f>
        <v>STLV</v>
      </c>
      <c r="EN7" s="7">
        <f>'AS400'!EK7</f>
        <v>818</v>
      </c>
      <c r="EO7" s="7">
        <f>'AS400'!EL7</f>
        <v>0</v>
      </c>
      <c r="EP7" s="7">
        <f>'AS400'!EM7</f>
        <v>12</v>
      </c>
      <c r="EQ7" s="7">
        <f>'AS400'!EN7</f>
        <v>20180201</v>
      </c>
      <c r="ER7" s="7">
        <f>'AS400'!EO7</f>
        <v>0</v>
      </c>
      <c r="ES7" s="7">
        <f>'AS400'!EP7</f>
        <v>0</v>
      </c>
      <c r="ET7" s="7">
        <f>'AS400'!EQ7</f>
        <v>0</v>
      </c>
      <c r="EV7" s="7">
        <f>'AS400'!ER7</f>
        <v>0</v>
      </c>
      <c r="EW7" s="7">
        <f>'AS400'!ES7</f>
        <v>0</v>
      </c>
      <c r="EX7" s="7">
        <f>'AS400'!ET7</f>
        <v>0</v>
      </c>
      <c r="EY7" s="7">
        <f>'AS400'!EU7</f>
        <v>0</v>
      </c>
      <c r="EZ7" s="7">
        <f>'AS400'!EV7</f>
        <v>0</v>
      </c>
      <c r="FA7" s="7">
        <f>'AS400'!EW7</f>
        <v>0</v>
      </c>
      <c r="FB7" s="7">
        <f>'AS400'!EX7</f>
        <v>0</v>
      </c>
      <c r="FC7" s="7">
        <f>'AS400'!EY7</f>
        <v>0</v>
      </c>
      <c r="FD7" s="7">
        <f>'AS400'!EZ7</f>
        <v>0</v>
      </c>
      <c r="FE7" s="7">
        <f>'AS400'!FA7</f>
        <v>0</v>
      </c>
      <c r="FF7" s="7">
        <f>'AS400'!FB7</f>
        <v>0</v>
      </c>
      <c r="FG7" s="7">
        <f>'AS400'!FC7</f>
        <v>0</v>
      </c>
      <c r="FH7" s="7">
        <f>'AS400'!FD7</f>
        <v>0</v>
      </c>
      <c r="FI7" s="7">
        <f>'AS400'!FE7</f>
        <v>0</v>
      </c>
      <c r="FJ7" s="7">
        <f>'AS400'!FF7</f>
        <v>0</v>
      </c>
      <c r="FK7" s="7">
        <f>'AS400'!FG7</f>
        <v>0</v>
      </c>
      <c r="FL7" s="7">
        <f>'AS400'!FH7</f>
        <v>0</v>
      </c>
      <c r="FM7" s="7">
        <f>'AS400'!FI7</f>
        <v>1</v>
      </c>
      <c r="FN7" s="7">
        <f>'AS400'!FJ7</f>
        <v>1</v>
      </c>
      <c r="FO7" s="7">
        <f>'AS400'!FO7</f>
        <v>0</v>
      </c>
      <c r="FP7" s="7">
        <f>'AS400'!FP7</f>
        <v>4</v>
      </c>
      <c r="FQ7" s="7">
        <f>'AS400'!FQ7</f>
        <v>1</v>
      </c>
      <c r="FR7" s="7">
        <f>'AS400'!FR7</f>
        <v>1</v>
      </c>
      <c r="FS7" s="13">
        <f>'AS400'!FO7</f>
        <v>0</v>
      </c>
    </row>
    <row r="8" spans="1:218">
      <c r="A8" s="7">
        <f>'AS400'!A8</f>
        <v>2</v>
      </c>
      <c r="B8" s="7">
        <f>'AS400'!B8</f>
        <v>20190301</v>
      </c>
      <c r="C8" s="7">
        <f>'AS400'!C8</f>
        <v>0</v>
      </c>
      <c r="D8" s="7" t="str">
        <f>'AS400'!D8</f>
        <v>N</v>
      </c>
      <c r="E8" s="7" t="str">
        <f>'AS400'!E8</f>
        <v>N</v>
      </c>
      <c r="F8" s="7" t="str">
        <f>'AS400'!F8</f>
        <v>Y</v>
      </c>
      <c r="G8" s="7">
        <f>'AS400'!G8</f>
        <v>0</v>
      </c>
      <c r="H8" s="14"/>
      <c r="I8" s="7" t="str">
        <f>'AS400'!I8</f>
        <v>RSA</v>
      </c>
      <c r="J8" s="7" t="str">
        <f>'AS400'!J8</f>
        <v>METR</v>
      </c>
      <c r="K8" s="7" t="str">
        <f>'AS400'!K8</f>
        <v>N</v>
      </c>
      <c r="L8" s="7">
        <f>'AS400'!L8</f>
        <v>4</v>
      </c>
      <c r="M8" s="8">
        <f>'AS400'!M8</f>
        <v>1</v>
      </c>
      <c r="N8" s="7">
        <f>'AS400'!N8</f>
        <v>1</v>
      </c>
      <c r="O8" s="7" t="str">
        <f>'AS400'!O8</f>
        <v>MFMM</v>
      </c>
      <c r="P8" s="7">
        <f>'AS400'!P8</f>
        <v>100</v>
      </c>
      <c r="Q8" s="7">
        <f>'AS400'!Q8</f>
        <v>20180301</v>
      </c>
      <c r="R8" s="7">
        <f>'AS400'!R8</f>
        <v>20180301</v>
      </c>
      <c r="S8" s="7" t="str">
        <f>'AS400'!S8</f>
        <v>M</v>
      </c>
      <c r="T8" s="7" t="str">
        <f>'AS400'!T8</f>
        <v>MN</v>
      </c>
      <c r="U8" s="7">
        <f>'AS400'!U8</f>
        <v>20180301</v>
      </c>
      <c r="V8" s="7">
        <f>'AS400'!V8</f>
        <v>10</v>
      </c>
      <c r="W8" s="7">
        <f>'AS400'!W8</f>
        <v>10</v>
      </c>
      <c r="X8" s="7" t="str">
        <f>'AS400'!X8</f>
        <v>MFIX</v>
      </c>
      <c r="Y8" s="7">
        <f>'AS400'!Y8</f>
        <v>0</v>
      </c>
      <c r="Z8" s="7" t="str">
        <f>'AS400'!Z8</f>
        <v>STLV</v>
      </c>
      <c r="AA8" s="7">
        <f>'AS400'!AA8</f>
        <v>818</v>
      </c>
      <c r="AB8" s="7">
        <f>'AS400'!AB8</f>
        <v>0</v>
      </c>
      <c r="AC8" s="7">
        <f>'AS400'!AC8</f>
        <v>12</v>
      </c>
      <c r="AD8" s="7">
        <f>'AS400'!AD8</f>
        <v>20180201</v>
      </c>
      <c r="AE8" s="7">
        <f>'AS400'!AE8</f>
        <v>0</v>
      </c>
      <c r="AF8" s="7">
        <f>'AS400'!AF8</f>
        <v>15000</v>
      </c>
      <c r="AG8" s="7">
        <f>'AS400'!AG8</f>
        <v>64</v>
      </c>
      <c r="AI8" s="7">
        <f>'AS400'!AH8</f>
        <v>59</v>
      </c>
      <c r="AJ8" s="7">
        <f>'AS400'!AI8</f>
        <v>0</v>
      </c>
      <c r="AK8" s="7">
        <f>'AS400'!AJ8</f>
        <v>0</v>
      </c>
      <c r="AL8" s="7">
        <f>'AS400'!AK8</f>
        <v>0</v>
      </c>
      <c r="AM8" s="7">
        <f>'AS400'!AL8</f>
        <v>0</v>
      </c>
      <c r="AN8" s="7">
        <f>'AS400'!AM8</f>
        <v>0</v>
      </c>
      <c r="AO8" s="7">
        <f>'AS400'!AN8</f>
        <v>0</v>
      </c>
      <c r="AP8" s="7">
        <f>'AS400'!AO8</f>
        <v>0</v>
      </c>
      <c r="AQ8" s="7">
        <f>'AS400'!AP8</f>
        <v>0</v>
      </c>
      <c r="AR8" s="7">
        <f>'AS400'!AQ8</f>
        <v>0</v>
      </c>
      <c r="AS8" s="7">
        <f>'AS400'!AR8</f>
        <v>0</v>
      </c>
      <c r="AT8" s="7">
        <f>'AS400'!AS8</f>
        <v>0</v>
      </c>
      <c r="AU8" s="7">
        <f>'AS400'!AT8</f>
        <v>0</v>
      </c>
      <c r="AV8" s="7">
        <f>'AS400'!AU8</f>
        <v>0</v>
      </c>
      <c r="AW8" s="7">
        <f>'AS400'!AV8</f>
        <v>0</v>
      </c>
      <c r="AX8" s="7">
        <f>'AS400'!AW8</f>
        <v>0</v>
      </c>
      <c r="AY8" s="7">
        <f>'AS400'!AX8</f>
        <v>0</v>
      </c>
      <c r="AZ8" s="8">
        <f>'AS400'!AY8</f>
        <v>1</v>
      </c>
      <c r="BA8" s="7">
        <f>'AS400'!AZ8</f>
        <v>2</v>
      </c>
      <c r="BB8" s="7" t="str">
        <f>'AS400'!BA8</f>
        <v>PURO</v>
      </c>
      <c r="BC8" s="7">
        <f>'AS400'!BB8</f>
        <v>100</v>
      </c>
      <c r="BD8" s="7">
        <f>'AS400'!BC8</f>
        <v>20180301</v>
      </c>
      <c r="BE8" s="7">
        <f>'AS400'!BD8</f>
        <v>20180301</v>
      </c>
      <c r="BF8" s="7" t="str">
        <f>'AS400'!BE8</f>
        <v>S</v>
      </c>
      <c r="BG8" s="7" t="str">
        <f>'AS400'!BF8</f>
        <v>ME</v>
      </c>
      <c r="BH8" s="7">
        <f>'AS400'!BG8</f>
        <v>20180301</v>
      </c>
      <c r="BI8" s="7">
        <f>'AS400'!BH8</f>
        <v>0</v>
      </c>
      <c r="BJ8" s="7">
        <f>'AS400'!BI8</f>
        <v>0</v>
      </c>
      <c r="BK8" s="7" t="str">
        <f>'AS400'!BJ8</f>
        <v xml:space="preserve"> </v>
      </c>
      <c r="BL8" s="7">
        <f>'AS400'!BK8</f>
        <v>0</v>
      </c>
      <c r="BM8" s="7" t="str">
        <f>'AS400'!BL8</f>
        <v>STLV</v>
      </c>
      <c r="BN8" s="7">
        <f>'AS400'!BM8</f>
        <v>818</v>
      </c>
      <c r="BO8" s="7">
        <f>'AS400'!BN8</f>
        <v>0</v>
      </c>
      <c r="BP8" s="7">
        <f>'AS400'!BO8</f>
        <v>12</v>
      </c>
      <c r="BQ8" s="7">
        <f>'AS400'!BP8</f>
        <v>20180201</v>
      </c>
      <c r="BR8" s="7">
        <f>'AS400'!BQ8</f>
        <v>0</v>
      </c>
      <c r="BS8" s="7">
        <f>'AS400'!BR8</f>
        <v>0</v>
      </c>
      <c r="BT8" s="7">
        <f>'AS400'!BS8</f>
        <v>34</v>
      </c>
      <c r="BV8" s="7">
        <f>'AS400'!BT8</f>
        <v>59</v>
      </c>
      <c r="BW8" s="7">
        <f>'AS400'!BU8</f>
        <v>0</v>
      </c>
      <c r="BX8" s="7">
        <f>'AS400'!BV8</f>
        <v>0</v>
      </c>
      <c r="BY8" s="7">
        <f>'AS400'!BW8</f>
        <v>0</v>
      </c>
      <c r="BZ8" s="7">
        <f>'AS400'!BX8</f>
        <v>0</v>
      </c>
      <c r="CA8" s="7">
        <f>'AS400'!BY8</f>
        <v>0</v>
      </c>
      <c r="CB8" s="7">
        <f>'AS400'!BZ8</f>
        <v>0</v>
      </c>
      <c r="CC8" s="7">
        <f>'AS400'!CA8</f>
        <v>0</v>
      </c>
      <c r="CD8" s="7">
        <f>'AS400'!CB8</f>
        <v>0</v>
      </c>
      <c r="CE8" s="7">
        <f>'AS400'!CC8</f>
        <v>0</v>
      </c>
      <c r="CF8" s="7">
        <f>'AS400'!CD8</f>
        <v>0</v>
      </c>
      <c r="CG8" s="7">
        <f>'AS400'!CE8</f>
        <v>0</v>
      </c>
      <c r="CH8" s="7">
        <f>'AS400'!CF8</f>
        <v>0</v>
      </c>
      <c r="CI8" s="7">
        <f>'AS400'!CG8</f>
        <v>0</v>
      </c>
      <c r="CJ8" s="7">
        <f>'AS400'!CH8</f>
        <v>0</v>
      </c>
      <c r="CK8" s="7">
        <f>'AS400'!CI8</f>
        <v>0</v>
      </c>
      <c r="CL8" s="7">
        <f>'AS400'!CJ8</f>
        <v>0</v>
      </c>
      <c r="CM8" s="8">
        <f>'AS400'!CK8</f>
        <v>1</v>
      </c>
      <c r="CN8" s="7">
        <f>'AS400'!CL8</f>
        <v>3</v>
      </c>
      <c r="CO8" s="7" t="str">
        <f>'AS400'!CM8</f>
        <v>PUDS</v>
      </c>
      <c r="CP8" s="7">
        <f>'AS400'!CN8</f>
        <v>100</v>
      </c>
      <c r="CQ8" s="7">
        <f>'AS400'!CO8</f>
        <v>20180301</v>
      </c>
      <c r="CR8" s="7">
        <f>'AS400'!CP8</f>
        <v>20180301</v>
      </c>
      <c r="CS8" s="7" t="str">
        <f>'AS400'!CQ8</f>
        <v>S</v>
      </c>
      <c r="CT8" s="7" t="str">
        <f>'AS400'!CR8</f>
        <v>MT</v>
      </c>
      <c r="CU8" s="7">
        <f>'AS400'!CS8</f>
        <v>20180301</v>
      </c>
      <c r="CV8" s="7">
        <f>'AS400'!CT8</f>
        <v>0</v>
      </c>
      <c r="CW8" s="7">
        <f>'AS400'!CU8</f>
        <v>0</v>
      </c>
      <c r="CX8" s="7" t="str">
        <f>'AS400'!CV8</f>
        <v xml:space="preserve"> </v>
      </c>
      <c r="CY8" s="7">
        <f>'AS400'!CW8</f>
        <v>0</v>
      </c>
      <c r="CZ8" s="7" t="str">
        <f>'AS400'!CX8</f>
        <v>STLV</v>
      </c>
      <c r="DA8" s="7">
        <f>'AS400'!CY8</f>
        <v>818</v>
      </c>
      <c r="DB8" s="7">
        <f>'AS400'!CZ8</f>
        <v>0</v>
      </c>
      <c r="DC8" s="7">
        <f>'AS400'!DA8</f>
        <v>12</v>
      </c>
      <c r="DD8" s="7">
        <f>'AS400'!DB8</f>
        <v>20180201</v>
      </c>
      <c r="DE8" s="7">
        <f>'AS400'!DC8</f>
        <v>0</v>
      </c>
      <c r="DF8" s="7">
        <f>'AS400'!DD8</f>
        <v>0</v>
      </c>
      <c r="DG8" s="7">
        <f>'AS400'!DE8</f>
        <v>10</v>
      </c>
      <c r="DI8" s="7">
        <f>'AS400'!DF8</f>
        <v>59</v>
      </c>
      <c r="DJ8" s="7">
        <f>'AS400'!DG8</f>
        <v>0</v>
      </c>
      <c r="DK8" s="7">
        <f>'AS400'!DH8</f>
        <v>0</v>
      </c>
      <c r="DL8" s="7">
        <f>'AS400'!DI8</f>
        <v>0</v>
      </c>
      <c r="DM8" s="7">
        <f>'AS400'!DJ8</f>
        <v>0</v>
      </c>
      <c r="DN8" s="7">
        <f>'AS400'!DK8</f>
        <v>0</v>
      </c>
      <c r="DO8" s="7">
        <f>'AS400'!DL8</f>
        <v>0</v>
      </c>
      <c r="DP8" s="7">
        <f>'AS400'!DM8</f>
        <v>0</v>
      </c>
      <c r="DQ8" s="7">
        <f>'AS400'!DN8</f>
        <v>0</v>
      </c>
      <c r="DR8" s="7">
        <f>'AS400'!DO8</f>
        <v>0</v>
      </c>
      <c r="DS8" s="7">
        <f>'AS400'!DP8</f>
        <v>0</v>
      </c>
      <c r="DT8" s="7">
        <f>'AS400'!DQ8</f>
        <v>0</v>
      </c>
      <c r="DU8" s="7">
        <f>'AS400'!DR8</f>
        <v>0</v>
      </c>
      <c r="DV8" s="7">
        <f>'AS400'!DS8</f>
        <v>0</v>
      </c>
      <c r="DW8" s="7">
        <f>'AS400'!DT8</f>
        <v>0</v>
      </c>
      <c r="DX8" s="7">
        <f>'AS400'!DU8</f>
        <v>0</v>
      </c>
      <c r="DY8" s="7">
        <f>'AS400'!DV8</f>
        <v>0</v>
      </c>
      <c r="DZ8" s="8">
        <f>'AS400'!DW8</f>
        <v>1</v>
      </c>
      <c r="EA8" s="7">
        <f>'AS400'!DX8</f>
        <v>4</v>
      </c>
      <c r="EB8" s="7">
        <f>'AS400'!DY8</f>
        <v>0</v>
      </c>
      <c r="EC8" s="7">
        <f>'AS400'!DZ8</f>
        <v>100</v>
      </c>
      <c r="ED8" s="7">
        <f>'AS400'!EA8</f>
        <v>20180301</v>
      </c>
      <c r="EE8" s="7">
        <f>'AS400'!EB8</f>
        <v>20180301</v>
      </c>
      <c r="EF8" s="7" t="str">
        <f>'AS400'!EC8</f>
        <v>S</v>
      </c>
      <c r="EG8" s="7" t="str">
        <f>'AS400'!ED8</f>
        <v>MS</v>
      </c>
      <c r="EH8" s="7">
        <f>'AS400'!EE8</f>
        <v>20180301</v>
      </c>
      <c r="EI8" s="7">
        <f>'AS400'!EF8</f>
        <v>0</v>
      </c>
      <c r="EJ8" s="7">
        <f>'AS400'!EG8</f>
        <v>0</v>
      </c>
      <c r="EK8" s="7" t="str">
        <f>'AS400'!EH8</f>
        <v xml:space="preserve"> </v>
      </c>
      <c r="EL8" s="7">
        <f>'AS400'!EI8</f>
        <v>0</v>
      </c>
      <c r="EM8" s="7" t="str">
        <f>'AS400'!EJ8</f>
        <v>STLV</v>
      </c>
      <c r="EN8" s="7">
        <f>'AS400'!EK8</f>
        <v>818</v>
      </c>
      <c r="EO8" s="7">
        <f>'AS400'!EL8</f>
        <v>0</v>
      </c>
      <c r="EP8" s="7">
        <f>'AS400'!EM8</f>
        <v>12</v>
      </c>
      <c r="EQ8" s="7">
        <f>'AS400'!EN8</f>
        <v>20180201</v>
      </c>
      <c r="ER8" s="7">
        <f>'AS400'!EO8</f>
        <v>0</v>
      </c>
      <c r="ES8" s="7">
        <f>'AS400'!EP8</f>
        <v>0</v>
      </c>
      <c r="ET8" s="7">
        <f>'AS400'!EQ8</f>
        <v>0</v>
      </c>
      <c r="EV8" s="7">
        <f>'AS400'!ER8</f>
        <v>0</v>
      </c>
      <c r="EW8" s="7">
        <f>'AS400'!ES8</f>
        <v>0</v>
      </c>
      <c r="EX8" s="7">
        <f>'AS400'!ET8</f>
        <v>0</v>
      </c>
      <c r="EY8" s="7">
        <f>'AS400'!EU8</f>
        <v>0</v>
      </c>
      <c r="EZ8" s="7">
        <f>'AS400'!EV8</f>
        <v>0</v>
      </c>
      <c r="FA8" s="7">
        <f>'AS400'!EW8</f>
        <v>0</v>
      </c>
      <c r="FB8" s="7">
        <f>'AS400'!EX8</f>
        <v>0</v>
      </c>
      <c r="FC8" s="7">
        <f>'AS400'!EY8</f>
        <v>0</v>
      </c>
      <c r="FD8" s="7">
        <f>'AS400'!EZ8</f>
        <v>0</v>
      </c>
      <c r="FE8" s="7">
        <f>'AS400'!FA8</f>
        <v>0</v>
      </c>
      <c r="FF8" s="7">
        <f>'AS400'!FB8</f>
        <v>0</v>
      </c>
      <c r="FG8" s="7">
        <f>'AS400'!FC8</f>
        <v>0</v>
      </c>
      <c r="FH8" s="7">
        <f>'AS400'!FD8</f>
        <v>0</v>
      </c>
      <c r="FI8" s="7">
        <f>'AS400'!FE8</f>
        <v>0</v>
      </c>
      <c r="FJ8" s="7">
        <f>'AS400'!FF8</f>
        <v>0</v>
      </c>
      <c r="FK8" s="7">
        <f>'AS400'!FG8</f>
        <v>0</v>
      </c>
      <c r="FL8" s="7">
        <f>'AS400'!FH8</f>
        <v>0</v>
      </c>
      <c r="FM8" s="7">
        <f>'AS400'!FI8</f>
        <v>1</v>
      </c>
      <c r="FN8" s="7">
        <f>'AS400'!FJ8</f>
        <v>1</v>
      </c>
      <c r="FO8" s="7">
        <f>'AS400'!FO8</f>
        <v>0</v>
      </c>
      <c r="FP8" s="7">
        <f>'AS400'!FP8</f>
        <v>4</v>
      </c>
      <c r="FQ8" s="7">
        <f>'AS400'!FQ8</f>
        <v>1</v>
      </c>
      <c r="FR8" s="7">
        <f>'AS400'!FR8</f>
        <v>1</v>
      </c>
      <c r="FS8" s="13">
        <f>'AS400'!FO8</f>
        <v>0</v>
      </c>
    </row>
    <row r="9" spans="1:218">
      <c r="A9" s="7">
        <f>'AS400'!A9</f>
        <v>3</v>
      </c>
      <c r="B9" s="7">
        <f>'AS400'!B9</f>
        <v>20190301</v>
      </c>
      <c r="C9" s="7">
        <f>'AS400'!C9</f>
        <v>0</v>
      </c>
      <c r="D9" s="7" t="str">
        <f>'AS400'!D9</f>
        <v>N</v>
      </c>
      <c r="E9" s="7" t="str">
        <f>'AS400'!E9</f>
        <v>N</v>
      </c>
      <c r="F9" s="7" t="str">
        <f>'AS400'!F9</f>
        <v>Y</v>
      </c>
      <c r="G9" s="7">
        <f>'AS400'!G9</f>
        <v>0</v>
      </c>
      <c r="H9" s="14"/>
      <c r="I9" s="7" t="str">
        <f>'AS400'!I9</f>
        <v>RSA</v>
      </c>
      <c r="J9" s="7" t="str">
        <f>'AS400'!J9</f>
        <v>METR</v>
      </c>
      <c r="K9" s="7" t="str">
        <f>'AS400'!K9</f>
        <v>N</v>
      </c>
      <c r="L9" s="7">
        <f>'AS400'!L9</f>
        <v>4</v>
      </c>
      <c r="M9" s="8">
        <f>'AS400'!M9</f>
        <v>1</v>
      </c>
      <c r="N9" s="7">
        <f>'AS400'!N9</f>
        <v>1</v>
      </c>
      <c r="O9" s="7" t="s">
        <v>141</v>
      </c>
      <c r="P9" s="7">
        <f>'AS400'!P9</f>
        <v>100</v>
      </c>
      <c r="Q9" s="7">
        <f>'AS400'!Q9</f>
        <v>20180301</v>
      </c>
      <c r="R9" s="7">
        <f>'AS400'!R9</f>
        <v>20180301</v>
      </c>
      <c r="S9" s="7" t="str">
        <f>'AS400'!S9</f>
        <v>M</v>
      </c>
      <c r="T9" s="7" t="str">
        <f>'AS400'!T9</f>
        <v>MM</v>
      </c>
      <c r="U9" s="7">
        <f>'AS400'!U9</f>
        <v>20190301</v>
      </c>
      <c r="V9" s="7">
        <f>'AS400'!V9</f>
        <v>10</v>
      </c>
      <c r="W9" s="7">
        <f>'AS400'!W9</f>
        <v>10</v>
      </c>
      <c r="X9" s="7" t="str">
        <f>'AS400'!X9</f>
        <v>MFIX</v>
      </c>
      <c r="Y9" s="7">
        <f>'AS400'!Y9</f>
        <v>0</v>
      </c>
      <c r="Z9" s="7" t="str">
        <f>'AS400'!Z9</f>
        <v>STLV</v>
      </c>
      <c r="AA9" s="7">
        <f>'AS400'!AA9</f>
        <v>818</v>
      </c>
      <c r="AB9" s="7">
        <f>'AS400'!AB9</f>
        <v>0</v>
      </c>
      <c r="AC9" s="7">
        <f>'AS400'!AC9</f>
        <v>12</v>
      </c>
      <c r="AD9" s="7">
        <f>'AS400'!AD9</f>
        <v>20180201</v>
      </c>
      <c r="AE9" s="7">
        <f>'AS400'!AE9</f>
        <v>0</v>
      </c>
      <c r="AF9" s="7">
        <f>'AS400'!AF9</f>
        <v>20000</v>
      </c>
      <c r="AG9" s="7">
        <f>'AS400'!AG9</f>
        <v>78</v>
      </c>
      <c r="AI9" s="7">
        <f>'AS400'!AH9</f>
        <v>60</v>
      </c>
      <c r="AJ9" s="7">
        <f>'AS400'!AI9</f>
        <v>0</v>
      </c>
      <c r="AK9" s="7">
        <f>'AS400'!AJ9</f>
        <v>0</v>
      </c>
      <c r="AL9" s="7">
        <f>'AS400'!AK9</f>
        <v>0</v>
      </c>
      <c r="AM9" s="7">
        <f>'AS400'!AL9</f>
        <v>0</v>
      </c>
      <c r="AN9" s="7">
        <f>'AS400'!AM9</f>
        <v>0</v>
      </c>
      <c r="AO9" s="7">
        <f>'AS400'!AN9</f>
        <v>0</v>
      </c>
      <c r="AP9" s="7">
        <f>'AS400'!AO9</f>
        <v>0</v>
      </c>
      <c r="AQ9" s="7">
        <f>'AS400'!AP9</f>
        <v>0</v>
      </c>
      <c r="AR9" s="7">
        <f>'AS400'!AQ9</f>
        <v>0</v>
      </c>
      <c r="AS9" s="7">
        <f>'AS400'!AR9</f>
        <v>0</v>
      </c>
      <c r="AT9" s="7">
        <f>'AS400'!AS9</f>
        <v>0</v>
      </c>
      <c r="AU9" s="7">
        <f>'AS400'!AT9</f>
        <v>0</v>
      </c>
      <c r="AV9" s="7">
        <f>'AS400'!AU9</f>
        <v>0</v>
      </c>
      <c r="AW9" s="7">
        <f>'AS400'!AV9</f>
        <v>0</v>
      </c>
      <c r="AX9" s="7">
        <f>'AS400'!AW9</f>
        <v>0</v>
      </c>
      <c r="AY9" s="7">
        <f>'AS400'!AX9</f>
        <v>0</v>
      </c>
      <c r="AZ9" s="8">
        <f>'AS400'!AY9</f>
        <v>1</v>
      </c>
      <c r="BA9" s="7">
        <f>'AS400'!AZ9</f>
        <v>2</v>
      </c>
      <c r="BB9" s="44" t="str">
        <f>'AS400'!BA9</f>
        <v>PURO</v>
      </c>
      <c r="BC9" s="7">
        <f>'AS400'!BB9</f>
        <v>100</v>
      </c>
      <c r="BD9" s="7">
        <f>'AS400'!BC9</f>
        <v>20180301</v>
      </c>
      <c r="BE9" s="7">
        <f>'AS400'!BD9</f>
        <v>20180301</v>
      </c>
      <c r="BF9" s="7" t="str">
        <f>'AS400'!BE9</f>
        <v>S</v>
      </c>
      <c r="BG9" s="7" t="str">
        <f>'AS400'!BF9</f>
        <v>ME</v>
      </c>
      <c r="BH9" s="7">
        <f>'AS400'!BG9</f>
        <v>20180301</v>
      </c>
      <c r="BI9" s="7">
        <f>'AS400'!BH9</f>
        <v>0</v>
      </c>
      <c r="BJ9" s="7">
        <f>'AS400'!BI9</f>
        <v>0</v>
      </c>
      <c r="BK9" s="7">
        <f>'AS400'!BJ9</f>
        <v>0</v>
      </c>
      <c r="BL9" s="7">
        <f>'AS400'!BK9</f>
        <v>0</v>
      </c>
      <c r="BM9" s="7" t="str">
        <f>'AS400'!BL9</f>
        <v>STLV</v>
      </c>
      <c r="BN9" s="7">
        <f>'AS400'!BM9</f>
        <v>818</v>
      </c>
      <c r="BO9" s="7">
        <f>'AS400'!BN9</f>
        <v>0</v>
      </c>
      <c r="BP9" s="7">
        <f>'AS400'!BO9</f>
        <v>12</v>
      </c>
      <c r="BQ9" s="7">
        <f>'AS400'!BP9</f>
        <v>20180201</v>
      </c>
      <c r="BR9" s="7">
        <f>'AS400'!BQ9</f>
        <v>0</v>
      </c>
      <c r="BS9" s="7">
        <f>'AS400'!BR9</f>
        <v>0</v>
      </c>
      <c r="BT9" s="7">
        <f>'AS400'!BS9</f>
        <v>41</v>
      </c>
      <c r="BV9" s="7">
        <f>'AS400'!BT9</f>
        <v>60</v>
      </c>
      <c r="BW9" s="7">
        <f>'AS400'!BU9</f>
        <v>0</v>
      </c>
      <c r="BX9" s="7">
        <f>'AS400'!BV9</f>
        <v>0</v>
      </c>
      <c r="BY9" s="7">
        <f>'AS400'!BW9</f>
        <v>0</v>
      </c>
      <c r="BZ9" s="7">
        <f>'AS400'!BX9</f>
        <v>0</v>
      </c>
      <c r="CA9" s="7">
        <f>'AS400'!BY9</f>
        <v>0</v>
      </c>
      <c r="CB9" s="7">
        <f>'AS400'!BZ9</f>
        <v>0</v>
      </c>
      <c r="CC9" s="7">
        <f>'AS400'!CA9</f>
        <v>0</v>
      </c>
      <c r="CD9" s="7">
        <f>'AS400'!CB9</f>
        <v>0</v>
      </c>
      <c r="CE9" s="7">
        <f>'AS400'!CC9</f>
        <v>0</v>
      </c>
      <c r="CF9" s="7">
        <f>'AS400'!CD9</f>
        <v>0</v>
      </c>
      <c r="CG9" s="7">
        <f>'AS400'!CE9</f>
        <v>0</v>
      </c>
      <c r="CH9" s="7">
        <f>'AS400'!CF9</f>
        <v>0</v>
      </c>
      <c r="CI9" s="7">
        <f>'AS400'!CG9</f>
        <v>0</v>
      </c>
      <c r="CJ9" s="7">
        <f>'AS400'!CH9</f>
        <v>0</v>
      </c>
      <c r="CK9" s="7">
        <f>'AS400'!CI9</f>
        <v>0</v>
      </c>
      <c r="CL9" s="7">
        <f>'AS400'!CJ9</f>
        <v>0</v>
      </c>
      <c r="CM9" s="8">
        <f>'AS400'!CK9</f>
        <v>1</v>
      </c>
      <c r="CN9" s="7">
        <f>'AS400'!CL9</f>
        <v>3</v>
      </c>
      <c r="CO9" s="44" t="str">
        <f>'AS400'!CM9</f>
        <v>PUDS</v>
      </c>
      <c r="CP9" s="7">
        <f>'AS400'!CN9</f>
        <v>100</v>
      </c>
      <c r="CQ9" s="7">
        <f>'AS400'!CO9</f>
        <v>20180301</v>
      </c>
      <c r="CR9" s="7">
        <f>'AS400'!CP9</f>
        <v>20180301</v>
      </c>
      <c r="CS9" s="7" t="str">
        <f>'AS400'!CQ9</f>
        <v>S</v>
      </c>
      <c r="CT9" s="7" t="str">
        <f>'AS400'!CR9</f>
        <v>MT</v>
      </c>
      <c r="CU9" s="7">
        <f>'AS400'!CS9</f>
        <v>20180301</v>
      </c>
      <c r="CV9" s="7">
        <f>'AS400'!CT9</f>
        <v>0</v>
      </c>
      <c r="CW9" s="7">
        <f>'AS400'!CU9</f>
        <v>0</v>
      </c>
      <c r="CX9" s="7">
        <f>'AS400'!CV9</f>
        <v>0</v>
      </c>
      <c r="CY9" s="7">
        <f>'AS400'!CW9</f>
        <v>0</v>
      </c>
      <c r="CZ9" s="7" t="str">
        <f>'AS400'!CX9</f>
        <v>STLV</v>
      </c>
      <c r="DA9" s="7">
        <f>'AS400'!CY9</f>
        <v>818</v>
      </c>
      <c r="DB9" s="7">
        <f>'AS400'!CZ9</f>
        <v>0</v>
      </c>
      <c r="DC9" s="7">
        <f>'AS400'!DA9</f>
        <v>12</v>
      </c>
      <c r="DD9" s="7">
        <f>'AS400'!DB9</f>
        <v>20180201</v>
      </c>
      <c r="DE9" s="7">
        <f>'AS400'!DC9</f>
        <v>0</v>
      </c>
      <c r="DF9" s="7">
        <f>'AS400'!DD9</f>
        <v>0</v>
      </c>
      <c r="DG9" s="7">
        <f>'AS400'!DE9</f>
        <v>12</v>
      </c>
      <c r="DI9" s="7">
        <f>'AS400'!DF9</f>
        <v>60</v>
      </c>
      <c r="DJ9" s="7">
        <f>'AS400'!DG9</f>
        <v>0</v>
      </c>
      <c r="DK9" s="7">
        <f>'AS400'!DH9</f>
        <v>0</v>
      </c>
      <c r="DL9" s="7">
        <f>'AS400'!DI9</f>
        <v>0</v>
      </c>
      <c r="DM9" s="7">
        <f>'AS400'!DJ9</f>
        <v>0</v>
      </c>
      <c r="DN9" s="7">
        <f>'AS400'!DK9</f>
        <v>0</v>
      </c>
      <c r="DO9" s="7">
        <f>'AS400'!DL9</f>
        <v>0</v>
      </c>
      <c r="DP9" s="7">
        <f>'AS400'!DM9</f>
        <v>0</v>
      </c>
      <c r="DQ9" s="7">
        <f>'AS400'!DN9</f>
        <v>0</v>
      </c>
      <c r="DR9" s="7">
        <f>'AS400'!DO9</f>
        <v>0</v>
      </c>
      <c r="DS9" s="7">
        <f>'AS400'!DP9</f>
        <v>0</v>
      </c>
      <c r="DT9" s="7">
        <f>'AS400'!DQ9</f>
        <v>0</v>
      </c>
      <c r="DU9" s="7">
        <f>'AS400'!DR9</f>
        <v>0</v>
      </c>
      <c r="DV9" s="7">
        <f>'AS400'!DS9</f>
        <v>0</v>
      </c>
      <c r="DW9" s="7">
        <f>'AS400'!DT9</f>
        <v>0</v>
      </c>
      <c r="DX9" s="7">
        <f>'AS400'!DU9</f>
        <v>0</v>
      </c>
      <c r="DY9" s="7">
        <f>'AS400'!DV9</f>
        <v>0</v>
      </c>
      <c r="DZ9" s="8">
        <f>'AS400'!DW9</f>
        <v>1</v>
      </c>
      <c r="EA9" s="7">
        <f>'AS400'!DX9</f>
        <v>4</v>
      </c>
      <c r="EB9" s="7">
        <f>'AS400'!DY9</f>
        <v>0</v>
      </c>
      <c r="EC9" s="7">
        <f>'AS400'!DZ9</f>
        <v>100</v>
      </c>
      <c r="ED9" s="7">
        <f>'AS400'!EA9</f>
        <v>20180301</v>
      </c>
      <c r="EE9" s="7">
        <f>'AS400'!EB9</f>
        <v>20180301</v>
      </c>
      <c r="EF9" s="7" t="str">
        <f>'AS400'!EC9</f>
        <v>S</v>
      </c>
      <c r="EG9" s="7" t="str">
        <f>'AS400'!ED9</f>
        <v>MS</v>
      </c>
      <c r="EH9" s="7">
        <f>'AS400'!EE9</f>
        <v>20180301</v>
      </c>
      <c r="EI9" s="7">
        <f>'AS400'!EF9</f>
        <v>0</v>
      </c>
      <c r="EJ9" s="7">
        <f>'AS400'!EG9</f>
        <v>0</v>
      </c>
      <c r="EK9" s="7">
        <f>'AS400'!EH9</f>
        <v>0</v>
      </c>
      <c r="EL9" s="7">
        <f>'AS400'!EI9</f>
        <v>0</v>
      </c>
      <c r="EM9" s="7" t="str">
        <f>'AS400'!EJ9</f>
        <v>STLV</v>
      </c>
      <c r="EN9" s="7">
        <f>'AS400'!EK9</f>
        <v>818</v>
      </c>
      <c r="EO9" s="7">
        <f>'AS400'!EL9</f>
        <v>0</v>
      </c>
      <c r="EP9" s="7">
        <f>'AS400'!EM9</f>
        <v>12</v>
      </c>
      <c r="EQ9" s="7">
        <f>'AS400'!EN9</f>
        <v>20180201</v>
      </c>
      <c r="ER9" s="7">
        <f>'AS400'!EO9</f>
        <v>0</v>
      </c>
      <c r="ES9" s="7">
        <f>'AS400'!EP9</f>
        <v>0</v>
      </c>
      <c r="ET9" s="7">
        <f>'AS400'!EQ9</f>
        <v>0</v>
      </c>
      <c r="EV9" s="7">
        <f>'AS400'!ER9</f>
        <v>0</v>
      </c>
      <c r="EW9" s="7">
        <f>'AS400'!ES9</f>
        <v>0</v>
      </c>
      <c r="EX9" s="7">
        <f>'AS400'!ET9</f>
        <v>0</v>
      </c>
      <c r="EY9" s="7">
        <f>'AS400'!EU9</f>
        <v>0</v>
      </c>
      <c r="EZ9" s="7">
        <f>'AS400'!EV9</f>
        <v>0</v>
      </c>
      <c r="FA9" s="7">
        <f>'AS400'!EW9</f>
        <v>0</v>
      </c>
      <c r="FB9" s="7">
        <f>'AS400'!EX9</f>
        <v>0</v>
      </c>
      <c r="FC9" s="7">
        <f>'AS400'!EY9</f>
        <v>0</v>
      </c>
      <c r="FD9" s="7">
        <f>'AS400'!EZ9</f>
        <v>0</v>
      </c>
      <c r="FE9" s="7">
        <f>'AS400'!FA9</f>
        <v>0</v>
      </c>
      <c r="FF9" s="7">
        <f>'AS400'!FB9</f>
        <v>0</v>
      </c>
      <c r="FG9" s="7">
        <f>'AS400'!FC9</f>
        <v>0</v>
      </c>
      <c r="FH9" s="7">
        <f>'AS400'!FD9</f>
        <v>0</v>
      </c>
      <c r="FI9" s="7">
        <f>'AS400'!FE9</f>
        <v>0</v>
      </c>
      <c r="FJ9" s="7">
        <f>'AS400'!FF9</f>
        <v>0</v>
      </c>
      <c r="FK9" s="7">
        <f>'AS400'!FG9</f>
        <v>0</v>
      </c>
      <c r="FL9" s="7">
        <f>'AS400'!FH9</f>
        <v>0</v>
      </c>
      <c r="FM9" s="7">
        <f>'AS400'!FI9</f>
        <v>1</v>
      </c>
      <c r="FN9" s="7">
        <f>'AS400'!FJ9</f>
        <v>1</v>
      </c>
      <c r="FO9" s="7">
        <f>'AS400'!FO9</f>
        <v>0</v>
      </c>
      <c r="FP9" s="7">
        <f>'AS400'!FP9</f>
        <v>4</v>
      </c>
      <c r="FQ9" s="7">
        <f>'AS400'!FQ9</f>
        <v>1</v>
      </c>
      <c r="FR9" s="7">
        <f>'AS400'!FR9</f>
        <v>1</v>
      </c>
      <c r="FS9" s="13">
        <f>'AS400'!FO9</f>
        <v>0</v>
      </c>
    </row>
    <row r="10" spans="1:218">
      <c r="A10" s="7">
        <f>'AS400'!A10</f>
        <v>4</v>
      </c>
      <c r="B10" s="7">
        <f>'AS400'!B10</f>
        <v>20190301</v>
      </c>
      <c r="C10" s="7">
        <f>'AS400'!C10</f>
        <v>0</v>
      </c>
      <c r="D10" s="7" t="str">
        <f>'AS400'!D10</f>
        <v>N</v>
      </c>
      <c r="E10" s="7" t="str">
        <f>'AS400'!E10</f>
        <v>N</v>
      </c>
      <c r="F10" s="7" t="str">
        <f>'AS400'!F10</f>
        <v>Y</v>
      </c>
      <c r="G10" s="7">
        <f>'AS400'!G10</f>
        <v>0</v>
      </c>
      <c r="H10" s="14"/>
      <c r="I10" s="7" t="str">
        <f>'AS400'!I10</f>
        <v>RSA</v>
      </c>
      <c r="J10" s="7" t="str">
        <f>'AS400'!J10</f>
        <v>METR</v>
      </c>
      <c r="K10" s="7" t="str">
        <f>'AS400'!K10</f>
        <v>N</v>
      </c>
      <c r="L10" s="7">
        <f>'AS400'!L10</f>
        <v>4</v>
      </c>
      <c r="M10" s="8">
        <f>'AS400'!M10</f>
        <v>1</v>
      </c>
      <c r="N10" s="7">
        <f>'AS400'!N10</f>
        <v>1</v>
      </c>
      <c r="O10" s="7" t="str">
        <f>'AS400'!O10</f>
        <v>MFMM</v>
      </c>
      <c r="P10" s="7">
        <f>'AS400'!P10</f>
        <v>100</v>
      </c>
      <c r="Q10" s="7">
        <f>'AS400'!Q10</f>
        <v>20180301</v>
      </c>
      <c r="R10" s="7">
        <f>'AS400'!R10</f>
        <v>20180301</v>
      </c>
      <c r="S10" s="7" t="str">
        <f>'AS400'!S10</f>
        <v>M</v>
      </c>
      <c r="T10" s="7" t="str">
        <f>'AS400'!T10</f>
        <v>MM</v>
      </c>
      <c r="U10" s="7">
        <f>'AS400'!U10</f>
        <v>20190301</v>
      </c>
      <c r="V10" s="7">
        <f>'AS400'!V10</f>
        <v>10</v>
      </c>
      <c r="W10" s="7">
        <f>'AS400'!W10</f>
        <v>10</v>
      </c>
      <c r="X10" s="7" t="str">
        <f>'AS400'!X10</f>
        <v>MFIX</v>
      </c>
      <c r="Y10" s="7">
        <f>'AS400'!Y10</f>
        <v>0</v>
      </c>
      <c r="Z10" s="7" t="str">
        <f>'AS400'!Z10</f>
        <v>STLV</v>
      </c>
      <c r="AA10" s="7">
        <f>'AS400'!AA10</f>
        <v>818</v>
      </c>
      <c r="AB10" s="7">
        <f>'AS400'!AB10</f>
        <v>0</v>
      </c>
      <c r="AC10" s="7">
        <f>'AS400'!AC10</f>
        <v>12</v>
      </c>
      <c r="AD10" s="7">
        <f>'AS400'!AD10</f>
        <v>20180201</v>
      </c>
      <c r="AE10" s="7">
        <f>'AS400'!AE10</f>
        <v>0</v>
      </c>
      <c r="AF10" s="7">
        <f>'AS400'!AF10</f>
        <v>25000</v>
      </c>
      <c r="AG10" s="7">
        <f>'AS400'!AG10</f>
        <v>92</v>
      </c>
      <c r="AI10" s="7">
        <f>'AS400'!AH10</f>
        <v>59</v>
      </c>
      <c r="AJ10" s="7">
        <f>'AS400'!AI10</f>
        <v>0</v>
      </c>
      <c r="AK10" s="7">
        <f>'AS400'!AJ10</f>
        <v>0</v>
      </c>
      <c r="AL10" s="7">
        <f>'AS400'!AK10</f>
        <v>0</v>
      </c>
      <c r="AM10" s="7">
        <f>'AS400'!AL10</f>
        <v>0</v>
      </c>
      <c r="AN10" s="7">
        <f>'AS400'!AM10</f>
        <v>0</v>
      </c>
      <c r="AO10" s="7">
        <f>'AS400'!AN10</f>
        <v>0</v>
      </c>
      <c r="AP10" s="7">
        <f>'AS400'!AO10</f>
        <v>0</v>
      </c>
      <c r="AQ10" s="7">
        <f>'AS400'!AP10</f>
        <v>0</v>
      </c>
      <c r="AR10" s="7">
        <f>'AS400'!AQ10</f>
        <v>0</v>
      </c>
      <c r="AS10" s="7">
        <f>'AS400'!AR10</f>
        <v>0</v>
      </c>
      <c r="AT10" s="7">
        <f>'AS400'!AS10</f>
        <v>0</v>
      </c>
      <c r="AU10" s="7">
        <f>'AS400'!AT10</f>
        <v>0</v>
      </c>
      <c r="AV10" s="7">
        <f>'AS400'!AU10</f>
        <v>0</v>
      </c>
      <c r="AW10" s="7">
        <f>'AS400'!AV10</f>
        <v>0</v>
      </c>
      <c r="AX10" s="7">
        <f>'AS400'!AW10</f>
        <v>0</v>
      </c>
      <c r="AY10" s="7">
        <f>'AS400'!AX10</f>
        <v>0</v>
      </c>
      <c r="AZ10" s="8">
        <f>'AS400'!AY10</f>
        <v>1</v>
      </c>
      <c r="BA10" s="7">
        <f>'AS400'!AZ10</f>
        <v>2</v>
      </c>
      <c r="BB10" s="7" t="str">
        <f>'AS400'!BA10</f>
        <v>PURO</v>
      </c>
      <c r="BC10" s="7">
        <f>'AS400'!BB10</f>
        <v>100</v>
      </c>
      <c r="BD10" s="7">
        <f>'AS400'!BC10</f>
        <v>20180301</v>
      </c>
      <c r="BE10" s="7">
        <f>'AS400'!BD10</f>
        <v>20180301</v>
      </c>
      <c r="BF10" s="7" t="str">
        <f>'AS400'!BE10</f>
        <v>S</v>
      </c>
      <c r="BG10" s="7" t="str">
        <f>'AS400'!BF10</f>
        <v>ME</v>
      </c>
      <c r="BH10" s="7">
        <f>'AS400'!BG10</f>
        <v>20180301</v>
      </c>
      <c r="BI10" s="7">
        <f>'AS400'!BH10</f>
        <v>0</v>
      </c>
      <c r="BJ10" s="7">
        <f>'AS400'!BI10</f>
        <v>0</v>
      </c>
      <c r="BK10" s="7">
        <f>'AS400'!BJ10</f>
        <v>0</v>
      </c>
      <c r="BL10" s="7">
        <f>'AS400'!BK10</f>
        <v>0</v>
      </c>
      <c r="BM10" s="7" t="str">
        <f>'AS400'!BL10</f>
        <v>STLV</v>
      </c>
      <c r="BN10" s="7">
        <f>'AS400'!BM10</f>
        <v>818</v>
      </c>
      <c r="BO10" s="7">
        <f>'AS400'!BN10</f>
        <v>0</v>
      </c>
      <c r="BP10" s="7">
        <f>'AS400'!BO10</f>
        <v>12</v>
      </c>
      <c r="BQ10" s="7">
        <f>'AS400'!BP10</f>
        <v>20180201</v>
      </c>
      <c r="BR10" s="7">
        <f>'AS400'!BQ10</f>
        <v>0</v>
      </c>
      <c r="BS10" s="7">
        <f>'AS400'!BR10</f>
        <v>0</v>
      </c>
      <c r="BT10" s="7">
        <f>'AS400'!BS10</f>
        <v>47</v>
      </c>
      <c r="BV10" s="7">
        <f>'AS400'!BT10</f>
        <v>59</v>
      </c>
      <c r="BW10" s="7">
        <f>'AS400'!BU10</f>
        <v>0</v>
      </c>
      <c r="BX10" s="7">
        <f>'AS400'!BV10</f>
        <v>0</v>
      </c>
      <c r="BY10" s="7">
        <f>'AS400'!BW10</f>
        <v>0</v>
      </c>
      <c r="BZ10" s="7">
        <f>'AS400'!BX10</f>
        <v>0</v>
      </c>
      <c r="CA10" s="7">
        <f>'AS400'!BY10</f>
        <v>0</v>
      </c>
      <c r="CB10" s="7">
        <f>'AS400'!BZ10</f>
        <v>0</v>
      </c>
      <c r="CC10" s="7">
        <f>'AS400'!CA10</f>
        <v>0</v>
      </c>
      <c r="CD10" s="7">
        <f>'AS400'!CB10</f>
        <v>0</v>
      </c>
      <c r="CE10" s="7">
        <f>'AS400'!CC10</f>
        <v>0</v>
      </c>
      <c r="CF10" s="7">
        <f>'AS400'!CD10</f>
        <v>0</v>
      </c>
      <c r="CG10" s="7">
        <f>'AS400'!CE10</f>
        <v>0</v>
      </c>
      <c r="CH10" s="7">
        <f>'AS400'!CF10</f>
        <v>0</v>
      </c>
      <c r="CI10" s="7">
        <f>'AS400'!CG10</f>
        <v>0</v>
      </c>
      <c r="CJ10" s="7">
        <f>'AS400'!CH10</f>
        <v>0</v>
      </c>
      <c r="CK10" s="7">
        <f>'AS400'!CI10</f>
        <v>0</v>
      </c>
      <c r="CL10" s="7">
        <f>'AS400'!CJ10</f>
        <v>0</v>
      </c>
      <c r="CM10" s="8">
        <f>'AS400'!CK10</f>
        <v>1</v>
      </c>
      <c r="CN10" s="7">
        <f>'AS400'!CL10</f>
        <v>3</v>
      </c>
      <c r="CO10" s="7" t="str">
        <f>'AS400'!CM10</f>
        <v>PUDS</v>
      </c>
      <c r="CP10" s="7">
        <f>'AS400'!CN10</f>
        <v>100</v>
      </c>
      <c r="CQ10" s="7">
        <f>'AS400'!CO10</f>
        <v>20180301</v>
      </c>
      <c r="CR10" s="7">
        <f>'AS400'!CP10</f>
        <v>20180301</v>
      </c>
      <c r="CS10" s="7" t="str">
        <f>'AS400'!CQ10</f>
        <v>S</v>
      </c>
      <c r="CT10" s="7" t="str">
        <f>'AS400'!CR10</f>
        <v>MT</v>
      </c>
      <c r="CU10" s="7">
        <f>'AS400'!CS10</f>
        <v>20180301</v>
      </c>
      <c r="CV10" s="7">
        <f>'AS400'!CT10</f>
        <v>0</v>
      </c>
      <c r="CW10" s="7">
        <f>'AS400'!CU10</f>
        <v>0</v>
      </c>
      <c r="CX10" s="7">
        <f>'AS400'!CV10</f>
        <v>0</v>
      </c>
      <c r="CY10" s="7">
        <f>'AS400'!CW10</f>
        <v>0</v>
      </c>
      <c r="CZ10" s="7" t="str">
        <f>'AS400'!CX10</f>
        <v>STLV</v>
      </c>
      <c r="DA10" s="7">
        <f>'AS400'!CY10</f>
        <v>818</v>
      </c>
      <c r="DB10" s="7">
        <f>'AS400'!CZ10</f>
        <v>0</v>
      </c>
      <c r="DC10" s="7">
        <f>'AS400'!DA10</f>
        <v>12</v>
      </c>
      <c r="DD10" s="7">
        <f>'AS400'!DB10</f>
        <v>20180201</v>
      </c>
      <c r="DE10" s="7">
        <f>'AS400'!DC10</f>
        <v>0</v>
      </c>
      <c r="DF10" s="7">
        <f>'AS400'!DD10</f>
        <v>0</v>
      </c>
      <c r="DG10" s="7">
        <f>'AS400'!DE10</f>
        <v>14</v>
      </c>
      <c r="DI10" s="7">
        <f>'AS400'!DF10</f>
        <v>59</v>
      </c>
      <c r="DJ10" s="7">
        <f>'AS400'!DG10</f>
        <v>0</v>
      </c>
      <c r="DK10" s="7">
        <f>'AS400'!DH10</f>
        <v>0</v>
      </c>
      <c r="DL10" s="7">
        <f>'AS400'!DI10</f>
        <v>0</v>
      </c>
      <c r="DM10" s="7">
        <f>'AS400'!DJ10</f>
        <v>0</v>
      </c>
      <c r="DN10" s="7">
        <f>'AS400'!DK10</f>
        <v>0</v>
      </c>
      <c r="DO10" s="7">
        <f>'AS400'!DL10</f>
        <v>0</v>
      </c>
      <c r="DP10" s="7">
        <f>'AS400'!DM10</f>
        <v>0</v>
      </c>
      <c r="DQ10" s="7">
        <f>'AS400'!DN10</f>
        <v>0</v>
      </c>
      <c r="DR10" s="7">
        <f>'AS400'!DO10</f>
        <v>0</v>
      </c>
      <c r="DS10" s="7">
        <f>'AS400'!DP10</f>
        <v>0</v>
      </c>
      <c r="DT10" s="7">
        <f>'AS400'!DQ10</f>
        <v>0</v>
      </c>
      <c r="DU10" s="7">
        <f>'AS400'!DR10</f>
        <v>0</v>
      </c>
      <c r="DV10" s="7">
        <f>'AS400'!DS10</f>
        <v>0</v>
      </c>
      <c r="DW10" s="7">
        <f>'AS400'!DT10</f>
        <v>0</v>
      </c>
      <c r="DX10" s="7">
        <f>'AS400'!DU10</f>
        <v>0</v>
      </c>
      <c r="DY10" s="7">
        <f>'AS400'!DV10</f>
        <v>0</v>
      </c>
      <c r="DZ10" s="8">
        <f>'AS400'!DW10</f>
        <v>1</v>
      </c>
      <c r="EA10" s="7">
        <f>'AS400'!DX10</f>
        <v>4</v>
      </c>
      <c r="EB10" s="7">
        <f>'AS400'!DY10</f>
        <v>0</v>
      </c>
      <c r="EC10" s="7">
        <f>'AS400'!DZ10</f>
        <v>100</v>
      </c>
      <c r="ED10" s="7">
        <f>'AS400'!EA10</f>
        <v>20180301</v>
      </c>
      <c r="EE10" s="7">
        <f>'AS400'!EB10</f>
        <v>20180301</v>
      </c>
      <c r="EF10" s="7" t="str">
        <f>'AS400'!EC10</f>
        <v>S</v>
      </c>
      <c r="EG10" s="7" t="str">
        <f>'AS400'!ED10</f>
        <v>MS</v>
      </c>
      <c r="EH10" s="7">
        <f>'AS400'!EE10</f>
        <v>20180301</v>
      </c>
      <c r="EI10" s="7">
        <f>'AS400'!EF10</f>
        <v>0</v>
      </c>
      <c r="EJ10" s="7">
        <f>'AS400'!EG10</f>
        <v>0</v>
      </c>
      <c r="EK10" s="7">
        <f>'AS400'!EH10</f>
        <v>0</v>
      </c>
      <c r="EL10" s="7">
        <f>'AS400'!EI10</f>
        <v>0</v>
      </c>
      <c r="EM10" s="7" t="str">
        <f>'AS400'!EJ10</f>
        <v>STLV</v>
      </c>
      <c r="EN10" s="7">
        <f>'AS400'!EK10</f>
        <v>818</v>
      </c>
      <c r="EO10" s="7">
        <f>'AS400'!EL10</f>
        <v>0</v>
      </c>
      <c r="EP10" s="7">
        <f>'AS400'!EM10</f>
        <v>12</v>
      </c>
      <c r="EQ10" s="7">
        <f>'AS400'!EN10</f>
        <v>20180201</v>
      </c>
      <c r="ER10" s="7">
        <f>'AS400'!EO10</f>
        <v>0</v>
      </c>
      <c r="ES10" s="7">
        <f>'AS400'!EP10</f>
        <v>0</v>
      </c>
      <c r="ET10" s="7">
        <f>'AS400'!EQ10</f>
        <v>0</v>
      </c>
      <c r="EV10" s="7">
        <f>'AS400'!ER10</f>
        <v>0</v>
      </c>
      <c r="EW10" s="7">
        <f>'AS400'!ES10</f>
        <v>0</v>
      </c>
      <c r="EX10" s="7">
        <f>'AS400'!ET10</f>
        <v>0</v>
      </c>
      <c r="EY10" s="7">
        <f>'AS400'!EU10</f>
        <v>0</v>
      </c>
      <c r="EZ10" s="7">
        <f>'AS400'!EV10</f>
        <v>0</v>
      </c>
      <c r="FA10" s="7">
        <f>'AS400'!EW10</f>
        <v>0</v>
      </c>
      <c r="FB10" s="7">
        <f>'AS400'!EX10</f>
        <v>0</v>
      </c>
      <c r="FC10" s="7">
        <f>'AS400'!EY10</f>
        <v>0</v>
      </c>
      <c r="FD10" s="7">
        <f>'AS400'!EZ10</f>
        <v>0</v>
      </c>
      <c r="FE10" s="7">
        <f>'AS400'!FA10</f>
        <v>0</v>
      </c>
      <c r="FF10" s="7">
        <f>'AS400'!FB10</f>
        <v>0</v>
      </c>
      <c r="FG10" s="7">
        <f>'AS400'!FC10</f>
        <v>0</v>
      </c>
      <c r="FH10" s="7">
        <f>'AS400'!FD10</f>
        <v>0</v>
      </c>
      <c r="FI10" s="7">
        <f>'AS400'!FE10</f>
        <v>0</v>
      </c>
      <c r="FJ10" s="7">
        <f>'AS400'!FF10</f>
        <v>0</v>
      </c>
      <c r="FK10" s="7">
        <f>'AS400'!FG10</f>
        <v>0</v>
      </c>
      <c r="FL10" s="7">
        <f>'AS400'!FH10</f>
        <v>0</v>
      </c>
      <c r="FM10" s="7">
        <f>'AS400'!FI10</f>
        <v>1</v>
      </c>
      <c r="FN10" s="7">
        <f>'AS400'!FJ10</f>
        <v>1</v>
      </c>
      <c r="FO10" s="7">
        <f>'AS400'!FO10</f>
        <v>0</v>
      </c>
      <c r="FP10" s="7">
        <f>'AS400'!FP10</f>
        <v>4</v>
      </c>
      <c r="FQ10" s="7">
        <f>'AS400'!FQ10</f>
        <v>1</v>
      </c>
      <c r="FR10" s="7">
        <f>'AS400'!FR10</f>
        <v>1</v>
      </c>
      <c r="FS10" s="13">
        <f>'AS400'!FO10</f>
        <v>0</v>
      </c>
    </row>
    <row r="11" spans="1:218">
      <c r="A11" s="7">
        <f>'AS400'!A11</f>
        <v>5</v>
      </c>
      <c r="B11" s="7">
        <f>'AS400'!B11</f>
        <v>20190301</v>
      </c>
      <c r="C11" s="7">
        <f>'AS400'!C11</f>
        <v>0</v>
      </c>
      <c r="D11" s="7" t="str">
        <f>'AS400'!D11</f>
        <v>N</v>
      </c>
      <c r="E11" s="7" t="str">
        <f>'AS400'!E11</f>
        <v>N</v>
      </c>
      <c r="F11" s="7" t="str">
        <f>'AS400'!F11</f>
        <v>Y</v>
      </c>
      <c r="G11" s="7">
        <f>'AS400'!G11</f>
        <v>0</v>
      </c>
      <c r="H11" s="14"/>
      <c r="I11" s="7" t="str">
        <f>'AS400'!I11</f>
        <v>RSA</v>
      </c>
      <c r="J11" s="7" t="str">
        <f>'AS400'!J11</f>
        <v>METR</v>
      </c>
      <c r="K11" s="7" t="str">
        <f>'AS400'!K11</f>
        <v>N</v>
      </c>
      <c r="L11" s="7">
        <f>'AS400'!L11</f>
        <v>4</v>
      </c>
      <c r="M11" s="8">
        <f>'AS400'!M11</f>
        <v>1</v>
      </c>
      <c r="N11" s="7">
        <f>'AS400'!N11</f>
        <v>1</v>
      </c>
      <c r="O11" s="7" t="str">
        <f>'AS400'!O11</f>
        <v>MFMM</v>
      </c>
      <c r="P11" s="7">
        <f>'AS400'!P11</f>
        <v>100</v>
      </c>
      <c r="Q11" s="7">
        <f>'AS400'!Q11</f>
        <v>20180301</v>
      </c>
      <c r="R11" s="7">
        <f>'AS400'!R11</f>
        <v>20180301</v>
      </c>
      <c r="S11" s="7" t="str">
        <f>'AS400'!S11</f>
        <v>M</v>
      </c>
      <c r="T11" s="7" t="str">
        <f>'AS400'!T11</f>
        <v>MM</v>
      </c>
      <c r="U11" s="7">
        <f>'AS400'!U11</f>
        <v>20190301</v>
      </c>
      <c r="V11" s="7">
        <f>'AS400'!V11</f>
        <v>10</v>
      </c>
      <c r="W11" s="7">
        <f>'AS400'!W11</f>
        <v>10</v>
      </c>
      <c r="X11" s="7" t="str">
        <f>'AS400'!X11</f>
        <v>MFIX</v>
      </c>
      <c r="Y11" s="7">
        <f>'AS400'!Y11</f>
        <v>0</v>
      </c>
      <c r="Z11" s="7" t="str">
        <f>'AS400'!Z11</f>
        <v>STLV</v>
      </c>
      <c r="AA11" s="7">
        <f>'AS400'!AA11</f>
        <v>818</v>
      </c>
      <c r="AB11" s="7">
        <f>'AS400'!AB11</f>
        <v>0</v>
      </c>
      <c r="AC11" s="7">
        <f>'AS400'!AC11</f>
        <v>12</v>
      </c>
      <c r="AD11" s="7">
        <f>'AS400'!AD11</f>
        <v>20180201</v>
      </c>
      <c r="AE11" s="7">
        <f>'AS400'!AE11</f>
        <v>0</v>
      </c>
      <c r="AF11" s="7">
        <f>'AS400'!AF11</f>
        <v>30000</v>
      </c>
      <c r="AG11" s="7">
        <f>'AS400'!AG11</f>
        <v>106</v>
      </c>
      <c r="AI11" s="7">
        <f>'AS400'!AH11</f>
        <v>58</v>
      </c>
      <c r="AJ11" s="7">
        <f>'AS400'!AI11</f>
        <v>0</v>
      </c>
      <c r="AK11" s="7">
        <f>'AS400'!AJ11</f>
        <v>0</v>
      </c>
      <c r="AL11" s="7">
        <f>'AS400'!AK11</f>
        <v>0</v>
      </c>
      <c r="AM11" s="7">
        <f>'AS400'!AL11</f>
        <v>0</v>
      </c>
      <c r="AN11" s="7">
        <f>'AS400'!AM11</f>
        <v>0</v>
      </c>
      <c r="AO11" s="7">
        <f>'AS400'!AN11</f>
        <v>0</v>
      </c>
      <c r="AP11" s="7">
        <f>'AS400'!AO11</f>
        <v>0</v>
      </c>
      <c r="AQ11" s="7">
        <f>'AS400'!AP11</f>
        <v>0</v>
      </c>
      <c r="AR11" s="7">
        <f>'AS400'!AQ11</f>
        <v>0</v>
      </c>
      <c r="AS11" s="7">
        <f>'AS400'!AR11</f>
        <v>0</v>
      </c>
      <c r="AT11" s="7">
        <f>'AS400'!AS11</f>
        <v>0</v>
      </c>
      <c r="AU11" s="7">
        <f>'AS400'!AT11</f>
        <v>0</v>
      </c>
      <c r="AV11" s="7">
        <f>'AS400'!AU11</f>
        <v>0</v>
      </c>
      <c r="AW11" s="7">
        <f>'AS400'!AV11</f>
        <v>0</v>
      </c>
      <c r="AX11" s="7">
        <f>'AS400'!AW11</f>
        <v>0</v>
      </c>
      <c r="AY11" s="7">
        <f>'AS400'!AX11</f>
        <v>0</v>
      </c>
      <c r="AZ11" s="8">
        <f>'AS400'!AY11</f>
        <v>1</v>
      </c>
      <c r="BA11" s="7">
        <f>'AS400'!AZ11</f>
        <v>2</v>
      </c>
      <c r="BB11" s="7" t="str">
        <f>'AS400'!BA11</f>
        <v>PURO</v>
      </c>
      <c r="BC11" s="7">
        <f>'AS400'!BB11</f>
        <v>100</v>
      </c>
      <c r="BD11" s="7">
        <f>'AS400'!BC11</f>
        <v>20180301</v>
      </c>
      <c r="BE11" s="7">
        <f>'AS400'!BD11</f>
        <v>20180301</v>
      </c>
      <c r="BF11" s="7" t="str">
        <f>'AS400'!BE11</f>
        <v>S</v>
      </c>
      <c r="BG11" s="7" t="str">
        <f>'AS400'!BF11</f>
        <v>ME</v>
      </c>
      <c r="BH11" s="7">
        <f>'AS400'!BG11</f>
        <v>20180301</v>
      </c>
      <c r="BI11" s="7">
        <f>'AS400'!BH11</f>
        <v>0</v>
      </c>
      <c r="BJ11" s="7">
        <f>'AS400'!BI11</f>
        <v>0</v>
      </c>
      <c r="BK11" s="7">
        <f>'AS400'!BJ11</f>
        <v>0</v>
      </c>
      <c r="BL11" s="7">
        <f>'AS400'!BK11</f>
        <v>0</v>
      </c>
      <c r="BM11" s="7" t="str">
        <f>'AS400'!BL11</f>
        <v>STLV</v>
      </c>
      <c r="BN11" s="7">
        <f>'AS400'!BM11</f>
        <v>818</v>
      </c>
      <c r="BO11" s="7">
        <f>'AS400'!BN11</f>
        <v>0</v>
      </c>
      <c r="BP11" s="7">
        <f>'AS400'!BO11</f>
        <v>12</v>
      </c>
      <c r="BQ11" s="7">
        <f>'AS400'!BP11</f>
        <v>20180201</v>
      </c>
      <c r="BR11" s="7">
        <f>'AS400'!BQ11</f>
        <v>0</v>
      </c>
      <c r="BS11" s="7">
        <f>'AS400'!BR11</f>
        <v>0</v>
      </c>
      <c r="BT11" s="7">
        <f>'AS400'!BS11</f>
        <v>54</v>
      </c>
      <c r="BV11" s="7">
        <f>'AS400'!BT11</f>
        <v>58</v>
      </c>
      <c r="BW11" s="7">
        <f>'AS400'!BU11</f>
        <v>0</v>
      </c>
      <c r="BX11" s="7">
        <f>'AS400'!BV11</f>
        <v>0</v>
      </c>
      <c r="BY11" s="7">
        <f>'AS400'!BW11</f>
        <v>0</v>
      </c>
      <c r="BZ11" s="7">
        <f>'AS400'!BX11</f>
        <v>0</v>
      </c>
      <c r="CA11" s="7">
        <f>'AS400'!BY11</f>
        <v>0</v>
      </c>
      <c r="CB11" s="7">
        <f>'AS400'!BZ11</f>
        <v>0</v>
      </c>
      <c r="CC11" s="7">
        <f>'AS400'!CA11</f>
        <v>0</v>
      </c>
      <c r="CD11" s="7">
        <f>'AS400'!CB11</f>
        <v>0</v>
      </c>
      <c r="CE11" s="7">
        <f>'AS400'!CC11</f>
        <v>0</v>
      </c>
      <c r="CF11" s="7">
        <f>'AS400'!CD11</f>
        <v>0</v>
      </c>
      <c r="CG11" s="7">
        <f>'AS400'!CE11</f>
        <v>0</v>
      </c>
      <c r="CH11" s="7">
        <f>'AS400'!CF11</f>
        <v>0</v>
      </c>
      <c r="CI11" s="7">
        <f>'AS400'!CG11</f>
        <v>0</v>
      </c>
      <c r="CJ11" s="7">
        <f>'AS400'!CH11</f>
        <v>0</v>
      </c>
      <c r="CK11" s="7">
        <f>'AS400'!CI11</f>
        <v>0</v>
      </c>
      <c r="CL11" s="7">
        <f>'AS400'!CJ11</f>
        <v>0</v>
      </c>
      <c r="CM11" s="8">
        <f>'AS400'!CK11</f>
        <v>1</v>
      </c>
      <c r="CN11" s="7">
        <f>'AS400'!CL11</f>
        <v>3</v>
      </c>
      <c r="CO11" s="7" t="str">
        <f>'AS400'!CM11</f>
        <v>PUDS</v>
      </c>
      <c r="CP11" s="7">
        <f>'AS400'!CN11</f>
        <v>100</v>
      </c>
      <c r="CQ11" s="7">
        <f>'AS400'!CO11</f>
        <v>20180301</v>
      </c>
      <c r="CR11" s="7">
        <f>'AS400'!CP11</f>
        <v>20180301</v>
      </c>
      <c r="CS11" s="7" t="str">
        <f>'AS400'!CQ11</f>
        <v>S</v>
      </c>
      <c r="CT11" s="7" t="str">
        <f>'AS400'!CR11</f>
        <v>MT</v>
      </c>
      <c r="CU11" s="7">
        <f>'AS400'!CS11</f>
        <v>20180301</v>
      </c>
      <c r="CV11" s="7">
        <f>'AS400'!CT11</f>
        <v>0</v>
      </c>
      <c r="CW11" s="7">
        <f>'AS400'!CU11</f>
        <v>0</v>
      </c>
      <c r="CX11" s="7">
        <f>'AS400'!CV11</f>
        <v>0</v>
      </c>
      <c r="CY11" s="7">
        <f>'AS400'!CW11</f>
        <v>0</v>
      </c>
      <c r="CZ11" s="7" t="str">
        <f>'AS400'!CX11</f>
        <v>STLV</v>
      </c>
      <c r="DA11" s="7">
        <f>'AS400'!CY11</f>
        <v>818</v>
      </c>
      <c r="DB11" s="7">
        <f>'AS400'!CZ11</f>
        <v>0</v>
      </c>
      <c r="DC11" s="7">
        <f>'AS400'!DA11</f>
        <v>12</v>
      </c>
      <c r="DD11" s="7">
        <f>'AS400'!DB11</f>
        <v>20180201</v>
      </c>
      <c r="DE11" s="7">
        <f>'AS400'!DC11</f>
        <v>0</v>
      </c>
      <c r="DF11" s="7">
        <f>'AS400'!DD11</f>
        <v>0</v>
      </c>
      <c r="DG11" s="7">
        <f>'AS400'!DE11</f>
        <v>15</v>
      </c>
      <c r="DI11" s="7">
        <f>'AS400'!DF11</f>
        <v>58</v>
      </c>
      <c r="DJ11" s="7">
        <f>'AS400'!DG11</f>
        <v>0</v>
      </c>
      <c r="DK11" s="7">
        <f>'AS400'!DH11</f>
        <v>0</v>
      </c>
      <c r="DL11" s="7">
        <f>'AS400'!DI11</f>
        <v>0</v>
      </c>
      <c r="DM11" s="7">
        <f>'AS400'!DJ11</f>
        <v>0</v>
      </c>
      <c r="DN11" s="7">
        <f>'AS400'!DK11</f>
        <v>0</v>
      </c>
      <c r="DO11" s="7">
        <f>'AS400'!DL11</f>
        <v>0</v>
      </c>
      <c r="DP11" s="7">
        <f>'AS400'!DM11</f>
        <v>0</v>
      </c>
      <c r="DQ11" s="7">
        <f>'AS400'!DN11</f>
        <v>0</v>
      </c>
      <c r="DR11" s="7">
        <f>'AS400'!DO11</f>
        <v>0</v>
      </c>
      <c r="DS11" s="7">
        <f>'AS400'!DP11</f>
        <v>0</v>
      </c>
      <c r="DT11" s="7">
        <f>'AS400'!DQ11</f>
        <v>0</v>
      </c>
      <c r="DU11" s="7">
        <f>'AS400'!DR11</f>
        <v>0</v>
      </c>
      <c r="DV11" s="7">
        <f>'AS400'!DS11</f>
        <v>0</v>
      </c>
      <c r="DW11" s="7">
        <f>'AS400'!DT11</f>
        <v>0</v>
      </c>
      <c r="DX11" s="7">
        <f>'AS400'!DU11</f>
        <v>0</v>
      </c>
      <c r="DY11" s="7">
        <f>'AS400'!DV11</f>
        <v>0</v>
      </c>
      <c r="DZ11" s="8">
        <f>'AS400'!DW11</f>
        <v>1</v>
      </c>
      <c r="EA11" s="7">
        <f>'AS400'!DX11</f>
        <v>4</v>
      </c>
      <c r="EB11" s="7">
        <f>'AS400'!DY11</f>
        <v>0</v>
      </c>
      <c r="EC11" s="7">
        <f>'AS400'!DZ11</f>
        <v>100</v>
      </c>
      <c r="ED11" s="7">
        <f>'AS400'!EA11</f>
        <v>20180301</v>
      </c>
      <c r="EE11" s="7">
        <f>'AS400'!EB11</f>
        <v>20180301</v>
      </c>
      <c r="EF11" s="7" t="str">
        <f>'AS400'!EC11</f>
        <v>S</v>
      </c>
      <c r="EG11" s="7" t="str">
        <f>'AS400'!ED11</f>
        <v>MS</v>
      </c>
      <c r="EH11" s="7">
        <f>'AS400'!EE11</f>
        <v>20180301</v>
      </c>
      <c r="EI11" s="7">
        <f>'AS400'!EF11</f>
        <v>0</v>
      </c>
      <c r="EJ11" s="7">
        <f>'AS400'!EG11</f>
        <v>0</v>
      </c>
      <c r="EK11" s="7">
        <f>'AS400'!EH11</f>
        <v>0</v>
      </c>
      <c r="EL11" s="7">
        <f>'AS400'!EI11</f>
        <v>0</v>
      </c>
      <c r="EM11" s="7" t="str">
        <f>'AS400'!EJ11</f>
        <v>STLV</v>
      </c>
      <c r="EN11" s="7">
        <f>'AS400'!EK11</f>
        <v>818</v>
      </c>
      <c r="EO11" s="7">
        <f>'AS400'!EL11</f>
        <v>0</v>
      </c>
      <c r="EP11" s="7">
        <f>'AS400'!EM11</f>
        <v>12</v>
      </c>
      <c r="EQ11" s="7">
        <f>'AS400'!EN11</f>
        <v>20180201</v>
      </c>
      <c r="ER11" s="7">
        <f>'AS400'!EO11</f>
        <v>0</v>
      </c>
      <c r="ES11" s="7">
        <f>'AS400'!EP11</f>
        <v>0</v>
      </c>
      <c r="ET11" s="7">
        <f>'AS400'!EQ11</f>
        <v>0</v>
      </c>
      <c r="EV11" s="7">
        <f>'AS400'!ER11</f>
        <v>0</v>
      </c>
      <c r="EW11" s="7">
        <f>'AS400'!ES11</f>
        <v>0</v>
      </c>
      <c r="EX11" s="7">
        <f>'AS400'!ET11</f>
        <v>0</v>
      </c>
      <c r="EY11" s="7">
        <f>'AS400'!EU11</f>
        <v>0</v>
      </c>
      <c r="EZ11" s="7">
        <f>'AS400'!EV11</f>
        <v>0</v>
      </c>
      <c r="FA11" s="7">
        <f>'AS400'!EW11</f>
        <v>0</v>
      </c>
      <c r="FB11" s="7">
        <f>'AS400'!EX11</f>
        <v>0</v>
      </c>
      <c r="FC11" s="7">
        <f>'AS400'!EY11</f>
        <v>0</v>
      </c>
      <c r="FD11" s="7">
        <f>'AS400'!EZ11</f>
        <v>0</v>
      </c>
      <c r="FE11" s="7">
        <f>'AS400'!FA11</f>
        <v>0</v>
      </c>
      <c r="FF11" s="7">
        <f>'AS400'!FB11</f>
        <v>0</v>
      </c>
      <c r="FG11" s="7">
        <f>'AS400'!FC11</f>
        <v>0</v>
      </c>
      <c r="FH11" s="7">
        <f>'AS400'!FD11</f>
        <v>0</v>
      </c>
      <c r="FI11" s="7">
        <f>'AS400'!FE11</f>
        <v>0</v>
      </c>
      <c r="FJ11" s="7">
        <f>'AS400'!FF11</f>
        <v>0</v>
      </c>
      <c r="FK11" s="7">
        <f>'AS400'!FG11</f>
        <v>0</v>
      </c>
      <c r="FL11" s="7">
        <f>'AS400'!FH11</f>
        <v>0</v>
      </c>
      <c r="FM11" s="7">
        <f>'AS400'!FI11</f>
        <v>1</v>
      </c>
      <c r="FN11" s="7">
        <f>'AS400'!FJ11</f>
        <v>1</v>
      </c>
      <c r="FO11" s="7">
        <f>'AS400'!FO11</f>
        <v>0</v>
      </c>
      <c r="FP11" s="7">
        <f>'AS400'!FP11</f>
        <v>4</v>
      </c>
      <c r="FQ11" s="7">
        <f>'AS400'!FQ11</f>
        <v>1</v>
      </c>
      <c r="FR11" s="7">
        <f>'AS400'!FR11</f>
        <v>1</v>
      </c>
      <c r="FS11" s="13">
        <f>'AS400'!FO11</f>
        <v>0</v>
      </c>
    </row>
    <row r="12" spans="1:218">
      <c r="A12" s="7">
        <f>'AS400'!A12</f>
        <v>6</v>
      </c>
      <c r="B12" s="7">
        <f>'AS400'!B12</f>
        <v>20190301</v>
      </c>
      <c r="C12" s="7">
        <f>'AS400'!C12</f>
        <v>0</v>
      </c>
      <c r="D12" s="7" t="str">
        <f>'AS400'!D12</f>
        <v>N</v>
      </c>
      <c r="E12" s="7" t="str">
        <f>'AS400'!E12</f>
        <v>N</v>
      </c>
      <c r="F12" s="7" t="str">
        <f>'AS400'!F12</f>
        <v>Y</v>
      </c>
      <c r="G12" s="7">
        <f>'AS400'!G12</f>
        <v>0</v>
      </c>
      <c r="H12" s="14"/>
      <c r="I12" s="7" t="str">
        <f>'AS400'!I12</f>
        <v>RSA</v>
      </c>
      <c r="J12" s="7" t="str">
        <f>'AS400'!J12</f>
        <v>METR</v>
      </c>
      <c r="K12" s="7" t="str">
        <f>'AS400'!K12</f>
        <v>N</v>
      </c>
      <c r="L12" s="7">
        <f>'AS400'!L12</f>
        <v>4</v>
      </c>
      <c r="M12" s="8">
        <f>'AS400'!M12</f>
        <v>1</v>
      </c>
      <c r="N12" s="7">
        <f>'AS400'!N12</f>
        <v>1</v>
      </c>
      <c r="O12" s="7" t="str">
        <f>'AS400'!O12</f>
        <v>MFMM</v>
      </c>
      <c r="P12" s="7">
        <f>'AS400'!P12</f>
        <v>100</v>
      </c>
      <c r="Q12" s="7">
        <f>'AS400'!Q12</f>
        <v>20180301</v>
      </c>
      <c r="R12" s="7">
        <f>'AS400'!R12</f>
        <v>20180301</v>
      </c>
      <c r="S12" s="7" t="str">
        <f>'AS400'!S12</f>
        <v>M</v>
      </c>
      <c r="T12" s="7" t="str">
        <f>'AS400'!T12</f>
        <v>MN</v>
      </c>
      <c r="U12" s="7">
        <f>'AS400'!U12</f>
        <v>20190301</v>
      </c>
      <c r="V12" s="7">
        <f>'AS400'!V12</f>
        <v>10</v>
      </c>
      <c r="W12" s="7">
        <f>'AS400'!W12</f>
        <v>10</v>
      </c>
      <c r="X12" s="7" t="str">
        <f>'AS400'!X12</f>
        <v>MFIX</v>
      </c>
      <c r="Y12" s="7">
        <f>'AS400'!Y12</f>
        <v>0</v>
      </c>
      <c r="Z12" s="7" t="str">
        <f>'AS400'!Z12</f>
        <v>STLV</v>
      </c>
      <c r="AA12" s="7">
        <f>'AS400'!AA12</f>
        <v>818</v>
      </c>
      <c r="AB12" s="7">
        <f>'AS400'!AB12</f>
        <v>0</v>
      </c>
      <c r="AC12" s="7">
        <f>'AS400'!AC12</f>
        <v>12</v>
      </c>
      <c r="AD12" s="7">
        <f>'AS400'!AD12</f>
        <v>20180201</v>
      </c>
      <c r="AE12" s="7">
        <f>'AS400'!AE12</f>
        <v>0</v>
      </c>
      <c r="AF12" s="7">
        <f>'AS400'!AF12</f>
        <v>35000</v>
      </c>
      <c r="AG12" s="7">
        <f>'AS400'!AG12</f>
        <v>120</v>
      </c>
      <c r="AI12" s="7">
        <f>'AS400'!AH12</f>
        <v>57</v>
      </c>
      <c r="AJ12" s="7">
        <f>'AS400'!AI12</f>
        <v>0</v>
      </c>
      <c r="AK12" s="7">
        <f>'AS400'!AJ12</f>
        <v>0</v>
      </c>
      <c r="AL12" s="7">
        <f>'AS400'!AK12</f>
        <v>0</v>
      </c>
      <c r="AM12" s="7">
        <f>'AS400'!AL12</f>
        <v>0</v>
      </c>
      <c r="AN12" s="7">
        <f>'AS400'!AM12</f>
        <v>0</v>
      </c>
      <c r="AO12" s="7">
        <f>'AS400'!AN12</f>
        <v>0</v>
      </c>
      <c r="AP12" s="7">
        <f>'AS400'!AO12</f>
        <v>0</v>
      </c>
      <c r="AQ12" s="7">
        <f>'AS400'!AP12</f>
        <v>0</v>
      </c>
      <c r="AR12" s="7">
        <f>'AS400'!AQ12</f>
        <v>0</v>
      </c>
      <c r="AS12" s="7">
        <f>'AS400'!AR12</f>
        <v>0</v>
      </c>
      <c r="AT12" s="7">
        <f>'AS400'!AS12</f>
        <v>0</v>
      </c>
      <c r="AU12" s="7">
        <f>'AS400'!AT12</f>
        <v>0</v>
      </c>
      <c r="AV12" s="7">
        <f>'AS400'!AU12</f>
        <v>0</v>
      </c>
      <c r="AW12" s="7">
        <f>'AS400'!AV12</f>
        <v>0</v>
      </c>
      <c r="AX12" s="7">
        <f>'AS400'!AW12</f>
        <v>0</v>
      </c>
      <c r="AY12" s="7">
        <f>'AS400'!AX12</f>
        <v>0</v>
      </c>
      <c r="AZ12" s="8">
        <f>'AS400'!AY12</f>
        <v>1</v>
      </c>
      <c r="BA12" s="7">
        <f>'AS400'!AZ12</f>
        <v>2</v>
      </c>
      <c r="BB12" s="7" t="str">
        <f>'AS400'!BA12</f>
        <v>PURO</v>
      </c>
      <c r="BC12" s="7">
        <f>'AS400'!BB12</f>
        <v>100</v>
      </c>
      <c r="BD12" s="7">
        <f>'AS400'!BC12</f>
        <v>20180301</v>
      </c>
      <c r="BE12" s="7">
        <f>'AS400'!BD12</f>
        <v>20180301</v>
      </c>
      <c r="BF12" s="7" t="str">
        <f>'AS400'!BE12</f>
        <v>S</v>
      </c>
      <c r="BG12" s="7" t="str">
        <f>'AS400'!BF12</f>
        <v>ME</v>
      </c>
      <c r="BH12" s="7">
        <f>'AS400'!BG12</f>
        <v>20180301</v>
      </c>
      <c r="BI12" s="7">
        <f>'AS400'!BH12</f>
        <v>0</v>
      </c>
      <c r="BJ12" s="7">
        <f>'AS400'!BI12</f>
        <v>0</v>
      </c>
      <c r="BK12" s="7">
        <f>'AS400'!BJ12</f>
        <v>0</v>
      </c>
      <c r="BL12" s="7">
        <f>'AS400'!BK12</f>
        <v>0</v>
      </c>
      <c r="BM12" s="7" t="str">
        <f>'AS400'!BL12</f>
        <v>STLV</v>
      </c>
      <c r="BN12" s="7">
        <f>'AS400'!BM12</f>
        <v>818</v>
      </c>
      <c r="BO12" s="7">
        <f>'AS400'!BN12</f>
        <v>0</v>
      </c>
      <c r="BP12" s="7">
        <f>'AS400'!BO12</f>
        <v>12</v>
      </c>
      <c r="BQ12" s="7">
        <f>'AS400'!BP12</f>
        <v>20180201</v>
      </c>
      <c r="BR12" s="7">
        <f>'AS400'!BQ12</f>
        <v>0</v>
      </c>
      <c r="BS12" s="7">
        <f>'AS400'!BR12</f>
        <v>0</v>
      </c>
      <c r="BT12" s="7">
        <f>'AS400'!BS12</f>
        <v>60</v>
      </c>
      <c r="BV12" s="7">
        <f>'AS400'!BT12</f>
        <v>57</v>
      </c>
      <c r="BW12" s="7">
        <f>'AS400'!BU12</f>
        <v>0</v>
      </c>
      <c r="BX12" s="7">
        <f>'AS400'!BV12</f>
        <v>0</v>
      </c>
      <c r="BY12" s="7">
        <f>'AS400'!BW12</f>
        <v>0</v>
      </c>
      <c r="BZ12" s="7">
        <f>'AS400'!BX12</f>
        <v>0</v>
      </c>
      <c r="CA12" s="7">
        <f>'AS400'!BY12</f>
        <v>0</v>
      </c>
      <c r="CB12" s="7">
        <f>'AS400'!BZ12</f>
        <v>0</v>
      </c>
      <c r="CC12" s="7">
        <f>'AS400'!CA12</f>
        <v>0</v>
      </c>
      <c r="CD12" s="7">
        <f>'AS400'!CB12</f>
        <v>0</v>
      </c>
      <c r="CE12" s="7">
        <f>'AS400'!CC12</f>
        <v>0</v>
      </c>
      <c r="CF12" s="7">
        <f>'AS400'!CD12</f>
        <v>0</v>
      </c>
      <c r="CG12" s="7">
        <f>'AS400'!CE12</f>
        <v>0</v>
      </c>
      <c r="CH12" s="7">
        <f>'AS400'!CF12</f>
        <v>0</v>
      </c>
      <c r="CI12" s="7">
        <f>'AS400'!CG12</f>
        <v>0</v>
      </c>
      <c r="CJ12" s="7">
        <f>'AS400'!CH12</f>
        <v>0</v>
      </c>
      <c r="CK12" s="7">
        <f>'AS400'!CI12</f>
        <v>0</v>
      </c>
      <c r="CL12" s="7">
        <f>'AS400'!CJ12</f>
        <v>0</v>
      </c>
      <c r="CM12" s="8">
        <f>'AS400'!CK12</f>
        <v>1</v>
      </c>
      <c r="CN12" s="7">
        <f>'AS400'!CL12</f>
        <v>3</v>
      </c>
      <c r="CO12" s="7" t="str">
        <f>'AS400'!CM12</f>
        <v>PUDS</v>
      </c>
      <c r="CP12" s="7">
        <f>'AS400'!CN12</f>
        <v>100</v>
      </c>
      <c r="CQ12" s="7">
        <f>'AS400'!CO12</f>
        <v>20180301</v>
      </c>
      <c r="CR12" s="7">
        <f>'AS400'!CP12</f>
        <v>20180301</v>
      </c>
      <c r="CS12" s="7" t="str">
        <f>'AS400'!CQ12</f>
        <v>S</v>
      </c>
      <c r="CT12" s="7" t="str">
        <f>'AS400'!CR12</f>
        <v>MT</v>
      </c>
      <c r="CU12" s="7">
        <f>'AS400'!CS12</f>
        <v>20180301</v>
      </c>
      <c r="CV12" s="7">
        <f>'AS400'!CT12</f>
        <v>0</v>
      </c>
      <c r="CW12" s="7">
        <f>'AS400'!CU12</f>
        <v>0</v>
      </c>
      <c r="CX12" s="7">
        <f>'AS400'!CV12</f>
        <v>0</v>
      </c>
      <c r="CY12" s="7">
        <f>'AS400'!CW12</f>
        <v>0</v>
      </c>
      <c r="CZ12" s="7" t="str">
        <f>'AS400'!CX12</f>
        <v>STLV</v>
      </c>
      <c r="DA12" s="7">
        <f>'AS400'!CY12</f>
        <v>818</v>
      </c>
      <c r="DB12" s="7">
        <f>'AS400'!CZ12</f>
        <v>0</v>
      </c>
      <c r="DC12" s="7">
        <f>'AS400'!DA12</f>
        <v>12</v>
      </c>
      <c r="DD12" s="7">
        <f>'AS400'!DB12</f>
        <v>20180201</v>
      </c>
      <c r="DE12" s="7">
        <f>'AS400'!DC12</f>
        <v>0</v>
      </c>
      <c r="DF12" s="7">
        <f>'AS400'!DD12</f>
        <v>0</v>
      </c>
      <c r="DG12" s="7">
        <f>'AS400'!DE12</f>
        <v>17</v>
      </c>
      <c r="DI12" s="7">
        <f>'AS400'!DF12</f>
        <v>57</v>
      </c>
      <c r="DJ12" s="7">
        <f>'AS400'!DG12</f>
        <v>0</v>
      </c>
      <c r="DK12" s="7">
        <f>'AS400'!DH12</f>
        <v>0</v>
      </c>
      <c r="DL12" s="7">
        <f>'AS400'!DI12</f>
        <v>0</v>
      </c>
      <c r="DM12" s="7">
        <f>'AS400'!DJ12</f>
        <v>0</v>
      </c>
      <c r="DN12" s="7">
        <f>'AS400'!DK12</f>
        <v>0</v>
      </c>
      <c r="DO12" s="7">
        <f>'AS400'!DL12</f>
        <v>0</v>
      </c>
      <c r="DP12" s="7">
        <f>'AS400'!DM12</f>
        <v>0</v>
      </c>
      <c r="DQ12" s="7">
        <f>'AS400'!DN12</f>
        <v>0</v>
      </c>
      <c r="DR12" s="7">
        <f>'AS400'!DO12</f>
        <v>0</v>
      </c>
      <c r="DS12" s="7">
        <f>'AS400'!DP12</f>
        <v>0</v>
      </c>
      <c r="DT12" s="7">
        <f>'AS400'!DQ12</f>
        <v>0</v>
      </c>
      <c r="DU12" s="7">
        <f>'AS400'!DR12</f>
        <v>0</v>
      </c>
      <c r="DV12" s="7">
        <f>'AS400'!DS12</f>
        <v>0</v>
      </c>
      <c r="DW12" s="7">
        <f>'AS400'!DT12</f>
        <v>0</v>
      </c>
      <c r="DX12" s="7">
        <f>'AS400'!DU12</f>
        <v>0</v>
      </c>
      <c r="DY12" s="7">
        <f>'AS400'!DV12</f>
        <v>0</v>
      </c>
      <c r="DZ12" s="8">
        <f>'AS400'!DW12</f>
        <v>1</v>
      </c>
      <c r="EA12" s="7">
        <f>'AS400'!DX12</f>
        <v>4</v>
      </c>
      <c r="EB12" s="7">
        <f>'AS400'!DY12</f>
        <v>0</v>
      </c>
      <c r="EC12" s="7">
        <f>'AS400'!DZ12</f>
        <v>100</v>
      </c>
      <c r="ED12" s="7">
        <f>'AS400'!EA12</f>
        <v>20180301</v>
      </c>
      <c r="EE12" s="7">
        <f>'AS400'!EB12</f>
        <v>20180301</v>
      </c>
      <c r="EF12" s="7" t="str">
        <f>'AS400'!EC12</f>
        <v>S</v>
      </c>
      <c r="EG12" s="7" t="str">
        <f>'AS400'!ED12</f>
        <v>MS</v>
      </c>
      <c r="EH12" s="7">
        <f>'AS400'!EE12</f>
        <v>20180301</v>
      </c>
      <c r="EI12" s="7">
        <f>'AS400'!EF12</f>
        <v>0</v>
      </c>
      <c r="EJ12" s="7">
        <f>'AS400'!EG12</f>
        <v>0</v>
      </c>
      <c r="EK12" s="7">
        <f>'AS400'!EH12</f>
        <v>0</v>
      </c>
      <c r="EL12" s="7">
        <f>'AS400'!EI12</f>
        <v>0</v>
      </c>
      <c r="EM12" s="7" t="str">
        <f>'AS400'!EJ12</f>
        <v>STLV</v>
      </c>
      <c r="EN12" s="7">
        <f>'AS400'!EK12</f>
        <v>818</v>
      </c>
      <c r="EO12" s="7">
        <f>'AS400'!EL12</f>
        <v>0</v>
      </c>
      <c r="EP12" s="7">
        <f>'AS400'!EM12</f>
        <v>12</v>
      </c>
      <c r="EQ12" s="7">
        <f>'AS400'!EN12</f>
        <v>20180201</v>
      </c>
      <c r="ER12" s="7">
        <f>'AS400'!EO12</f>
        <v>0</v>
      </c>
      <c r="ES12" s="7">
        <f>'AS400'!EP12</f>
        <v>0</v>
      </c>
      <c r="ET12" s="7">
        <f>'AS400'!EQ12</f>
        <v>0</v>
      </c>
      <c r="EV12" s="7">
        <f>'AS400'!ER12</f>
        <v>0</v>
      </c>
      <c r="EW12" s="7">
        <f>'AS400'!ES12</f>
        <v>0</v>
      </c>
      <c r="EX12" s="7">
        <f>'AS400'!ET12</f>
        <v>0</v>
      </c>
      <c r="EY12" s="7">
        <f>'AS400'!EU12</f>
        <v>0</v>
      </c>
      <c r="EZ12" s="7">
        <f>'AS400'!EV12</f>
        <v>0</v>
      </c>
      <c r="FA12" s="7">
        <f>'AS400'!EW12</f>
        <v>0</v>
      </c>
      <c r="FB12" s="7">
        <f>'AS400'!EX12</f>
        <v>0</v>
      </c>
      <c r="FC12" s="7">
        <f>'AS400'!EY12</f>
        <v>0</v>
      </c>
      <c r="FD12" s="7">
        <f>'AS400'!EZ12</f>
        <v>0</v>
      </c>
      <c r="FE12" s="7">
        <f>'AS400'!FA12</f>
        <v>0</v>
      </c>
      <c r="FF12" s="7">
        <f>'AS400'!FB12</f>
        <v>0</v>
      </c>
      <c r="FG12" s="7">
        <f>'AS400'!FC12</f>
        <v>0</v>
      </c>
      <c r="FH12" s="7">
        <f>'AS400'!FD12</f>
        <v>0</v>
      </c>
      <c r="FI12" s="7">
        <f>'AS400'!FE12</f>
        <v>0</v>
      </c>
      <c r="FJ12" s="7">
        <f>'AS400'!FF12</f>
        <v>0</v>
      </c>
      <c r="FK12" s="7">
        <f>'AS400'!FG12</f>
        <v>0</v>
      </c>
      <c r="FL12" s="7">
        <f>'AS400'!FH12</f>
        <v>0</v>
      </c>
      <c r="FM12" s="7">
        <f>'AS400'!FI12</f>
        <v>1</v>
      </c>
      <c r="FN12" s="7">
        <f>'AS400'!FJ12</f>
        <v>1</v>
      </c>
      <c r="FO12" s="7">
        <f>'AS400'!FO12</f>
        <v>0</v>
      </c>
      <c r="FP12" s="7">
        <f>'AS400'!FP12</f>
        <v>4</v>
      </c>
      <c r="FQ12" s="7">
        <f>'AS400'!FQ12</f>
        <v>1</v>
      </c>
      <c r="FR12" s="7">
        <f>'AS400'!FR12</f>
        <v>1</v>
      </c>
      <c r="FS12" s="13">
        <f>'AS400'!FO12</f>
        <v>0</v>
      </c>
    </row>
    <row r="13" spans="1:218">
      <c r="A13" s="7">
        <f>'AS400'!A13</f>
        <v>7</v>
      </c>
      <c r="B13" s="7">
        <f>'AS400'!B13</f>
        <v>20190301</v>
      </c>
      <c r="C13" s="7">
        <f>'AS400'!C13</f>
        <v>0</v>
      </c>
      <c r="D13" s="7" t="str">
        <f>'AS400'!D13</f>
        <v>N</v>
      </c>
      <c r="E13" s="7" t="str">
        <f>'AS400'!E13</f>
        <v>N</v>
      </c>
      <c r="F13" s="7" t="str">
        <f>'AS400'!F13</f>
        <v>Y</v>
      </c>
      <c r="G13" s="7">
        <f>'AS400'!G13</f>
        <v>0</v>
      </c>
      <c r="H13" s="14"/>
      <c r="I13" s="7" t="str">
        <f>'AS400'!I13</f>
        <v>RSA</v>
      </c>
      <c r="J13" s="7" t="str">
        <f>'AS400'!J13</f>
        <v>METR</v>
      </c>
      <c r="K13" s="7" t="str">
        <f>'AS400'!K13</f>
        <v>N</v>
      </c>
      <c r="L13" s="7">
        <f>'AS400'!L13</f>
        <v>4</v>
      </c>
      <c r="M13" s="8">
        <f>'AS400'!M13</f>
        <v>1</v>
      </c>
      <c r="N13" s="7">
        <f>'AS400'!N13</f>
        <v>1</v>
      </c>
      <c r="O13" s="7" t="str">
        <f>'AS400'!O13</f>
        <v>MFMM</v>
      </c>
      <c r="P13" s="7">
        <f>'AS400'!P13</f>
        <v>100</v>
      </c>
      <c r="Q13" s="7">
        <f>'AS400'!Q13</f>
        <v>20180301</v>
      </c>
      <c r="R13" s="7">
        <f>'AS400'!R13</f>
        <v>20180301</v>
      </c>
      <c r="S13" s="7" t="str">
        <f>'AS400'!S13</f>
        <v>M</v>
      </c>
      <c r="T13" s="7" t="str">
        <f>'AS400'!T13</f>
        <v>MN</v>
      </c>
      <c r="U13" s="7">
        <f>'AS400'!U13</f>
        <v>20190301</v>
      </c>
      <c r="V13" s="7">
        <f>'AS400'!V13</f>
        <v>10</v>
      </c>
      <c r="W13" s="7">
        <f>'AS400'!W13</f>
        <v>10</v>
      </c>
      <c r="X13" s="7" t="str">
        <f>'AS400'!X13</f>
        <v>MFIX</v>
      </c>
      <c r="Y13" s="7">
        <f>'AS400'!Y13</f>
        <v>0</v>
      </c>
      <c r="Z13" s="7" t="str">
        <f>'AS400'!Z13</f>
        <v>STLV</v>
      </c>
      <c r="AA13" s="7">
        <f>'AS400'!AA13</f>
        <v>818</v>
      </c>
      <c r="AB13" s="7">
        <f>'AS400'!AB13</f>
        <v>0</v>
      </c>
      <c r="AC13" s="7">
        <f>'AS400'!AC13</f>
        <v>12</v>
      </c>
      <c r="AD13" s="7">
        <f>'AS400'!AD13</f>
        <v>20180201</v>
      </c>
      <c r="AE13" s="7">
        <f>'AS400'!AE13</f>
        <v>0</v>
      </c>
      <c r="AF13" s="7">
        <f>'AS400'!AF13</f>
        <v>40000</v>
      </c>
      <c r="AG13" s="7">
        <f>'AS400'!AG13</f>
        <v>134</v>
      </c>
      <c r="AI13" s="7">
        <f>'AS400'!AH13</f>
        <v>56</v>
      </c>
      <c r="AJ13" s="7">
        <f>'AS400'!AI13</f>
        <v>0</v>
      </c>
      <c r="AK13" s="7">
        <f>'AS400'!AJ13</f>
        <v>0</v>
      </c>
      <c r="AL13" s="7">
        <f>'AS400'!AK13</f>
        <v>0</v>
      </c>
      <c r="AM13" s="7">
        <f>'AS400'!AL13</f>
        <v>0</v>
      </c>
      <c r="AN13" s="7">
        <f>'AS400'!AM13</f>
        <v>0</v>
      </c>
      <c r="AO13" s="7">
        <f>'AS400'!AN13</f>
        <v>0</v>
      </c>
      <c r="AP13" s="7">
        <f>'AS400'!AO13</f>
        <v>0</v>
      </c>
      <c r="AQ13" s="7">
        <f>'AS400'!AP13</f>
        <v>0</v>
      </c>
      <c r="AR13" s="7">
        <f>'AS400'!AQ13</f>
        <v>0</v>
      </c>
      <c r="AS13" s="7">
        <f>'AS400'!AR13</f>
        <v>0</v>
      </c>
      <c r="AT13" s="7">
        <f>'AS400'!AS13</f>
        <v>0</v>
      </c>
      <c r="AU13" s="7">
        <f>'AS400'!AT13</f>
        <v>0</v>
      </c>
      <c r="AV13" s="7">
        <f>'AS400'!AU13</f>
        <v>0</v>
      </c>
      <c r="AW13" s="7">
        <f>'AS400'!AV13</f>
        <v>0</v>
      </c>
      <c r="AX13" s="7">
        <f>'AS400'!AW13</f>
        <v>0</v>
      </c>
      <c r="AY13" s="7">
        <f>'AS400'!AX13</f>
        <v>0</v>
      </c>
      <c r="AZ13" s="8">
        <f>'AS400'!AY13</f>
        <v>1</v>
      </c>
      <c r="BA13" s="7">
        <f>'AS400'!AZ13</f>
        <v>2</v>
      </c>
      <c r="BB13" s="7" t="str">
        <f>'AS400'!BA13</f>
        <v>PURO</v>
      </c>
      <c r="BC13" s="7">
        <f>'AS400'!BB13</f>
        <v>100</v>
      </c>
      <c r="BD13" s="7">
        <f>'AS400'!BC13</f>
        <v>20180301</v>
      </c>
      <c r="BE13" s="7">
        <f>'AS400'!BD13</f>
        <v>20180301</v>
      </c>
      <c r="BF13" s="7" t="str">
        <f>'AS400'!BE13</f>
        <v>S</v>
      </c>
      <c r="BG13" s="7" t="str">
        <f>'AS400'!BF13</f>
        <v>ME</v>
      </c>
      <c r="BH13" s="7">
        <f>'AS400'!BG13</f>
        <v>20180301</v>
      </c>
      <c r="BI13" s="7">
        <f>'AS400'!BH13</f>
        <v>0</v>
      </c>
      <c r="BJ13" s="7">
        <f>'AS400'!BI13</f>
        <v>0</v>
      </c>
      <c r="BK13" s="7">
        <f>'AS400'!BJ13</f>
        <v>0</v>
      </c>
      <c r="BL13" s="7">
        <f>'AS400'!BK13</f>
        <v>0</v>
      </c>
      <c r="BM13" s="7" t="str">
        <f>'AS400'!BL13</f>
        <v>STLV</v>
      </c>
      <c r="BN13" s="7">
        <f>'AS400'!BM13</f>
        <v>818</v>
      </c>
      <c r="BO13" s="7">
        <f>'AS400'!BN13</f>
        <v>0</v>
      </c>
      <c r="BP13" s="7">
        <f>'AS400'!BO13</f>
        <v>12</v>
      </c>
      <c r="BQ13" s="7">
        <f>'AS400'!BP13</f>
        <v>20180201</v>
      </c>
      <c r="BR13" s="7">
        <f>'AS400'!BQ13</f>
        <v>0</v>
      </c>
      <c r="BS13" s="7">
        <f>'AS400'!BR13</f>
        <v>0</v>
      </c>
      <c r="BT13" s="7">
        <f>'AS400'!BS13</f>
        <v>66</v>
      </c>
      <c r="BV13" s="7">
        <f>'AS400'!BT13</f>
        <v>56</v>
      </c>
      <c r="BW13" s="7">
        <f>'AS400'!BU13</f>
        <v>0</v>
      </c>
      <c r="BX13" s="7">
        <f>'AS400'!BV13</f>
        <v>0</v>
      </c>
      <c r="BY13" s="7">
        <f>'AS400'!BW13</f>
        <v>0</v>
      </c>
      <c r="BZ13" s="7">
        <f>'AS400'!BX13</f>
        <v>0</v>
      </c>
      <c r="CA13" s="7">
        <f>'AS400'!BY13</f>
        <v>0</v>
      </c>
      <c r="CB13" s="7">
        <f>'AS400'!BZ13</f>
        <v>0</v>
      </c>
      <c r="CC13" s="7">
        <f>'AS400'!CA13</f>
        <v>0</v>
      </c>
      <c r="CD13" s="7">
        <f>'AS400'!CB13</f>
        <v>0</v>
      </c>
      <c r="CE13" s="7">
        <f>'AS400'!CC13</f>
        <v>0</v>
      </c>
      <c r="CF13" s="7">
        <f>'AS400'!CD13</f>
        <v>0</v>
      </c>
      <c r="CG13" s="7">
        <f>'AS400'!CE13</f>
        <v>0</v>
      </c>
      <c r="CH13" s="7">
        <f>'AS400'!CF13</f>
        <v>0</v>
      </c>
      <c r="CI13" s="7">
        <f>'AS400'!CG13</f>
        <v>0</v>
      </c>
      <c r="CJ13" s="7">
        <f>'AS400'!CH13</f>
        <v>0</v>
      </c>
      <c r="CK13" s="7">
        <f>'AS400'!CI13</f>
        <v>0</v>
      </c>
      <c r="CL13" s="7">
        <f>'AS400'!CJ13</f>
        <v>0</v>
      </c>
      <c r="CM13" s="8">
        <f>'AS400'!CK13</f>
        <v>1</v>
      </c>
      <c r="CN13" s="7">
        <f>'AS400'!CL13</f>
        <v>3</v>
      </c>
      <c r="CO13" s="7" t="str">
        <f>'AS400'!CM13</f>
        <v>PUDS</v>
      </c>
      <c r="CP13" s="7">
        <f>'AS400'!CN13</f>
        <v>100</v>
      </c>
      <c r="CQ13" s="7">
        <f>'AS400'!CO13</f>
        <v>20180301</v>
      </c>
      <c r="CR13" s="7">
        <f>'AS400'!CP13</f>
        <v>20180301</v>
      </c>
      <c r="CS13" s="7" t="str">
        <f>'AS400'!CQ13</f>
        <v>S</v>
      </c>
      <c r="CT13" s="7" t="str">
        <f>'AS400'!CR13</f>
        <v>MT</v>
      </c>
      <c r="CU13" s="7">
        <f>'AS400'!CS13</f>
        <v>20180301</v>
      </c>
      <c r="CV13" s="7">
        <f>'AS400'!CT13</f>
        <v>0</v>
      </c>
      <c r="CW13" s="7">
        <f>'AS400'!CU13</f>
        <v>0</v>
      </c>
      <c r="CX13" s="7">
        <f>'AS400'!CV13</f>
        <v>0</v>
      </c>
      <c r="CY13" s="7">
        <f>'AS400'!CW13</f>
        <v>0</v>
      </c>
      <c r="CZ13" s="7" t="str">
        <f>'AS400'!CX13</f>
        <v>STLV</v>
      </c>
      <c r="DA13" s="7">
        <f>'AS400'!CY13</f>
        <v>818</v>
      </c>
      <c r="DB13" s="7">
        <f>'AS400'!CZ13</f>
        <v>0</v>
      </c>
      <c r="DC13" s="7">
        <f>'AS400'!DA13</f>
        <v>12</v>
      </c>
      <c r="DD13" s="7">
        <f>'AS400'!DB13</f>
        <v>20180201</v>
      </c>
      <c r="DE13" s="7">
        <f>'AS400'!DC13</f>
        <v>0</v>
      </c>
      <c r="DF13" s="7">
        <f>'AS400'!DD13</f>
        <v>0</v>
      </c>
      <c r="DG13" s="7">
        <f>'AS400'!DE13</f>
        <v>19</v>
      </c>
      <c r="DI13" s="7">
        <f>'AS400'!DF13</f>
        <v>56</v>
      </c>
      <c r="DJ13" s="7">
        <f>'AS400'!DG13</f>
        <v>0</v>
      </c>
      <c r="DK13" s="7">
        <f>'AS400'!DH13</f>
        <v>0</v>
      </c>
      <c r="DL13" s="7">
        <f>'AS400'!DI13</f>
        <v>0</v>
      </c>
      <c r="DM13" s="7">
        <f>'AS400'!DJ13</f>
        <v>0</v>
      </c>
      <c r="DN13" s="7">
        <f>'AS400'!DK13</f>
        <v>0</v>
      </c>
      <c r="DO13" s="7">
        <f>'AS400'!DL13</f>
        <v>0</v>
      </c>
      <c r="DP13" s="7">
        <f>'AS400'!DM13</f>
        <v>0</v>
      </c>
      <c r="DQ13" s="7">
        <f>'AS400'!DN13</f>
        <v>0</v>
      </c>
      <c r="DR13" s="7">
        <f>'AS400'!DO13</f>
        <v>0</v>
      </c>
      <c r="DS13" s="7">
        <f>'AS400'!DP13</f>
        <v>0</v>
      </c>
      <c r="DT13" s="7">
        <f>'AS400'!DQ13</f>
        <v>0</v>
      </c>
      <c r="DU13" s="7">
        <f>'AS400'!DR13</f>
        <v>0</v>
      </c>
      <c r="DV13" s="7">
        <f>'AS400'!DS13</f>
        <v>0</v>
      </c>
      <c r="DW13" s="7">
        <f>'AS400'!DT13</f>
        <v>0</v>
      </c>
      <c r="DX13" s="7">
        <f>'AS400'!DU13</f>
        <v>0</v>
      </c>
      <c r="DY13" s="7">
        <f>'AS400'!DV13</f>
        <v>0</v>
      </c>
      <c r="DZ13" s="8">
        <f>'AS400'!DW13</f>
        <v>1</v>
      </c>
      <c r="EA13" s="7">
        <f>'AS400'!DX13</f>
        <v>4</v>
      </c>
      <c r="EB13" s="7">
        <f>'AS400'!DY13</f>
        <v>0</v>
      </c>
      <c r="EC13" s="7">
        <f>'AS400'!DZ13</f>
        <v>100</v>
      </c>
      <c r="ED13" s="7">
        <f>'AS400'!EA13</f>
        <v>20180301</v>
      </c>
      <c r="EE13" s="7">
        <f>'AS400'!EB13</f>
        <v>20180301</v>
      </c>
      <c r="EF13" s="7" t="str">
        <f>'AS400'!EC13</f>
        <v>S</v>
      </c>
      <c r="EG13" s="7" t="str">
        <f>'AS400'!ED13</f>
        <v>MS</v>
      </c>
      <c r="EH13" s="7">
        <f>'AS400'!EE13</f>
        <v>20180301</v>
      </c>
      <c r="EI13" s="7">
        <f>'AS400'!EF13</f>
        <v>0</v>
      </c>
      <c r="EJ13" s="7">
        <f>'AS400'!EG13</f>
        <v>0</v>
      </c>
      <c r="EK13" s="7">
        <f>'AS400'!EH13</f>
        <v>0</v>
      </c>
      <c r="EL13" s="7">
        <f>'AS400'!EI13</f>
        <v>0</v>
      </c>
      <c r="EM13" s="7" t="str">
        <f>'AS400'!EJ13</f>
        <v>STLV</v>
      </c>
      <c r="EN13" s="7">
        <f>'AS400'!EK13</f>
        <v>818</v>
      </c>
      <c r="EO13" s="7">
        <f>'AS400'!EL13</f>
        <v>0</v>
      </c>
      <c r="EP13" s="7">
        <f>'AS400'!EM13</f>
        <v>12</v>
      </c>
      <c r="EQ13" s="7">
        <f>'AS400'!EN13</f>
        <v>20180201</v>
      </c>
      <c r="ER13" s="7">
        <f>'AS400'!EO13</f>
        <v>0</v>
      </c>
      <c r="ES13" s="7">
        <f>'AS400'!EP13</f>
        <v>0</v>
      </c>
      <c r="ET13" s="7">
        <f>'AS400'!EQ13</f>
        <v>0</v>
      </c>
      <c r="EV13" s="7">
        <f>'AS400'!ER13</f>
        <v>0</v>
      </c>
      <c r="EW13" s="7">
        <f>'AS400'!ES13</f>
        <v>0</v>
      </c>
      <c r="EX13" s="7">
        <f>'AS400'!ET13</f>
        <v>0</v>
      </c>
      <c r="EY13" s="7">
        <f>'AS400'!EU13</f>
        <v>0</v>
      </c>
      <c r="EZ13" s="7">
        <f>'AS400'!EV13</f>
        <v>0</v>
      </c>
      <c r="FA13" s="7">
        <f>'AS400'!EW13</f>
        <v>0</v>
      </c>
      <c r="FB13" s="7">
        <f>'AS400'!EX13</f>
        <v>0</v>
      </c>
      <c r="FC13" s="7">
        <f>'AS400'!EY13</f>
        <v>0</v>
      </c>
      <c r="FD13" s="7">
        <f>'AS400'!EZ13</f>
        <v>0</v>
      </c>
      <c r="FE13" s="7">
        <f>'AS400'!FA13</f>
        <v>0</v>
      </c>
      <c r="FF13" s="7">
        <f>'AS400'!FB13</f>
        <v>0</v>
      </c>
      <c r="FG13" s="7">
        <f>'AS400'!FC13</f>
        <v>0</v>
      </c>
      <c r="FH13" s="7">
        <f>'AS400'!FD13</f>
        <v>0</v>
      </c>
      <c r="FI13" s="7">
        <f>'AS400'!FE13</f>
        <v>0</v>
      </c>
      <c r="FJ13" s="7">
        <f>'AS400'!FF13</f>
        <v>0</v>
      </c>
      <c r="FK13" s="7">
        <f>'AS400'!FG13</f>
        <v>0</v>
      </c>
      <c r="FL13" s="7">
        <f>'AS400'!FH13</f>
        <v>0</v>
      </c>
      <c r="FM13" s="7">
        <f>'AS400'!FI13</f>
        <v>1</v>
      </c>
      <c r="FN13" s="7">
        <f>'AS400'!FJ13</f>
        <v>1</v>
      </c>
      <c r="FO13" s="7">
        <f>'AS400'!FO13</f>
        <v>0</v>
      </c>
      <c r="FP13" s="7">
        <f>'AS400'!FP13</f>
        <v>4</v>
      </c>
      <c r="FQ13" s="7">
        <f>'AS400'!FQ13</f>
        <v>1</v>
      </c>
      <c r="FR13" s="7">
        <f>'AS400'!FR13</f>
        <v>1</v>
      </c>
      <c r="FS13" s="13">
        <f>'AS400'!FO13</f>
        <v>0</v>
      </c>
    </row>
    <row r="14" spans="1:218">
      <c r="A14" s="7">
        <f>'AS400'!A14</f>
        <v>8</v>
      </c>
      <c r="B14" s="7">
        <f>'AS400'!B14</f>
        <v>20190301</v>
      </c>
      <c r="C14" s="7">
        <f>'AS400'!C14</f>
        <v>0</v>
      </c>
      <c r="D14" s="7" t="str">
        <f>'AS400'!D14</f>
        <v>N</v>
      </c>
      <c r="E14" s="7" t="str">
        <f>'AS400'!E14</f>
        <v>N</v>
      </c>
      <c r="F14" s="7" t="str">
        <f>'AS400'!F14</f>
        <v>Y</v>
      </c>
      <c r="G14" s="7">
        <f>'AS400'!G14</f>
        <v>0</v>
      </c>
      <c r="H14" s="14"/>
      <c r="I14" s="7" t="str">
        <f>'AS400'!I14</f>
        <v>RSA</v>
      </c>
      <c r="J14" s="7" t="str">
        <f>'AS400'!J14</f>
        <v>METR</v>
      </c>
      <c r="K14" s="7" t="str">
        <f>'AS400'!K14</f>
        <v>N</v>
      </c>
      <c r="L14" s="7">
        <f>'AS400'!L14</f>
        <v>4</v>
      </c>
      <c r="M14" s="8">
        <f>'AS400'!M14</f>
        <v>1</v>
      </c>
      <c r="N14" s="7">
        <f>'AS400'!N14</f>
        <v>1</v>
      </c>
      <c r="O14" s="7" t="str">
        <f>'AS400'!O14</f>
        <v>MFMM</v>
      </c>
      <c r="P14" s="7">
        <f>'AS400'!P14</f>
        <v>100</v>
      </c>
      <c r="Q14" s="7">
        <f>'AS400'!Q14</f>
        <v>20180301</v>
      </c>
      <c r="R14" s="7">
        <f>'AS400'!R14</f>
        <v>20180301</v>
      </c>
      <c r="S14" s="7" t="str">
        <f>'AS400'!S14</f>
        <v>M</v>
      </c>
      <c r="T14" s="7" t="str">
        <f>'AS400'!T14</f>
        <v>MN</v>
      </c>
      <c r="U14" s="7">
        <f>'AS400'!U14</f>
        <v>20190301</v>
      </c>
      <c r="V14" s="7">
        <f>'AS400'!V14</f>
        <v>6</v>
      </c>
      <c r="W14" s="7">
        <f>'AS400'!W14</f>
        <v>6</v>
      </c>
      <c r="X14" s="7" t="str">
        <f>'AS400'!X14</f>
        <v>MFIX</v>
      </c>
      <c r="Y14" s="7">
        <f>'AS400'!Y14</f>
        <v>0</v>
      </c>
      <c r="Z14" s="7" t="str">
        <f>'AS400'!Z14</f>
        <v>STLV</v>
      </c>
      <c r="AA14" s="7">
        <f>'AS400'!AA14</f>
        <v>818</v>
      </c>
      <c r="AB14" s="7">
        <f>'AS400'!AB14</f>
        <v>0</v>
      </c>
      <c r="AC14" s="7">
        <f>'AS400'!AC14</f>
        <v>12</v>
      </c>
      <c r="AD14" s="7">
        <f>'AS400'!AD14</f>
        <v>20180201</v>
      </c>
      <c r="AE14" s="7">
        <f>'AS400'!AE14</f>
        <v>0</v>
      </c>
      <c r="AF14" s="7">
        <f>'AS400'!AF14</f>
        <v>45000</v>
      </c>
      <c r="AG14" s="7">
        <f>'AS400'!AG14</f>
        <v>99</v>
      </c>
      <c r="AI14" s="7">
        <f>'AS400'!AH14</f>
        <v>40</v>
      </c>
      <c r="AJ14" s="7">
        <f>'AS400'!AI14</f>
        <v>0</v>
      </c>
      <c r="AK14" s="7">
        <f>'AS400'!AJ14</f>
        <v>0</v>
      </c>
      <c r="AL14" s="7">
        <f>'AS400'!AK14</f>
        <v>0</v>
      </c>
      <c r="AM14" s="7">
        <f>'AS400'!AL14</f>
        <v>0</v>
      </c>
      <c r="AN14" s="7">
        <f>'AS400'!AM14</f>
        <v>0</v>
      </c>
      <c r="AO14" s="7">
        <f>'AS400'!AN14</f>
        <v>0</v>
      </c>
      <c r="AP14" s="7">
        <f>'AS400'!AO14</f>
        <v>0</v>
      </c>
      <c r="AQ14" s="7">
        <f>'AS400'!AP14</f>
        <v>0</v>
      </c>
      <c r="AR14" s="7">
        <f>'AS400'!AQ14</f>
        <v>0</v>
      </c>
      <c r="AS14" s="7">
        <f>'AS400'!AR14</f>
        <v>0</v>
      </c>
      <c r="AT14" s="7">
        <f>'AS400'!AS14</f>
        <v>0</v>
      </c>
      <c r="AU14" s="7">
        <f>'AS400'!AT14</f>
        <v>0</v>
      </c>
      <c r="AV14" s="7">
        <f>'AS400'!AU14</f>
        <v>0</v>
      </c>
      <c r="AW14" s="7">
        <f>'AS400'!AV14</f>
        <v>0</v>
      </c>
      <c r="AX14" s="7">
        <f>'AS400'!AW14</f>
        <v>0</v>
      </c>
      <c r="AY14" s="7">
        <f>'AS400'!AX14</f>
        <v>0</v>
      </c>
      <c r="AZ14" s="8">
        <f>'AS400'!AY14</f>
        <v>1</v>
      </c>
      <c r="BA14" s="7">
        <f>'AS400'!AZ14</f>
        <v>2</v>
      </c>
      <c r="BB14" s="7" t="str">
        <f>'AS400'!BA14</f>
        <v>PURO</v>
      </c>
      <c r="BC14" s="7">
        <f>'AS400'!BB14</f>
        <v>100</v>
      </c>
      <c r="BD14" s="7">
        <f>'AS400'!BC14</f>
        <v>20180301</v>
      </c>
      <c r="BE14" s="7">
        <f>'AS400'!BD14</f>
        <v>20180301</v>
      </c>
      <c r="BF14" s="7" t="str">
        <f>'AS400'!BE14</f>
        <v>S</v>
      </c>
      <c r="BG14" s="7" t="str">
        <f>'AS400'!BF14</f>
        <v>ME</v>
      </c>
      <c r="BH14" s="7">
        <f>'AS400'!BG14</f>
        <v>20180301</v>
      </c>
      <c r="BI14" s="7">
        <f>'AS400'!BH14</f>
        <v>0</v>
      </c>
      <c r="BJ14" s="7">
        <f>'AS400'!BI14</f>
        <v>0</v>
      </c>
      <c r="BK14" s="7">
        <f>'AS400'!BJ14</f>
        <v>0</v>
      </c>
      <c r="BL14" s="7">
        <f>'AS400'!BK14</f>
        <v>0</v>
      </c>
      <c r="BM14" s="7" t="str">
        <f>'AS400'!BL14</f>
        <v>STLV</v>
      </c>
      <c r="BN14" s="7">
        <f>'AS400'!BM14</f>
        <v>818</v>
      </c>
      <c r="BO14" s="7">
        <f>'AS400'!BN14</f>
        <v>0</v>
      </c>
      <c r="BP14" s="7">
        <f>'AS400'!BO14</f>
        <v>12</v>
      </c>
      <c r="BQ14" s="7">
        <f>'AS400'!BP14</f>
        <v>20180201</v>
      </c>
      <c r="BR14" s="7">
        <f>'AS400'!BQ14</f>
        <v>0</v>
      </c>
      <c r="BS14" s="7">
        <f>'AS400'!BR14</f>
        <v>0</v>
      </c>
      <c r="BT14" s="7">
        <f>'AS400'!BS14</f>
        <v>21</v>
      </c>
      <c r="BV14" s="7">
        <f>'AS400'!BT14</f>
        <v>40</v>
      </c>
      <c r="BW14" s="7">
        <f>'AS400'!BU14</f>
        <v>0</v>
      </c>
      <c r="BX14" s="7">
        <f>'AS400'!BV14</f>
        <v>0</v>
      </c>
      <c r="BY14" s="7">
        <f>'AS400'!BW14</f>
        <v>0</v>
      </c>
      <c r="BZ14" s="7">
        <f>'AS400'!BX14</f>
        <v>0</v>
      </c>
      <c r="CA14" s="7">
        <f>'AS400'!BY14</f>
        <v>0</v>
      </c>
      <c r="CB14" s="7">
        <f>'AS400'!BZ14</f>
        <v>0</v>
      </c>
      <c r="CC14" s="7">
        <f>'AS400'!CA14</f>
        <v>0</v>
      </c>
      <c r="CD14" s="7">
        <f>'AS400'!CB14</f>
        <v>0</v>
      </c>
      <c r="CE14" s="7">
        <f>'AS400'!CC14</f>
        <v>0</v>
      </c>
      <c r="CF14" s="7">
        <f>'AS400'!CD14</f>
        <v>0</v>
      </c>
      <c r="CG14" s="7">
        <f>'AS400'!CE14</f>
        <v>0</v>
      </c>
      <c r="CH14" s="7">
        <f>'AS400'!CF14</f>
        <v>0</v>
      </c>
      <c r="CI14" s="7">
        <f>'AS400'!CG14</f>
        <v>0</v>
      </c>
      <c r="CJ14" s="7">
        <f>'AS400'!CH14</f>
        <v>0</v>
      </c>
      <c r="CK14" s="7">
        <f>'AS400'!CI14</f>
        <v>0</v>
      </c>
      <c r="CL14" s="7">
        <f>'AS400'!CJ14</f>
        <v>0</v>
      </c>
      <c r="CM14" s="8">
        <f>'AS400'!CK14</f>
        <v>1</v>
      </c>
      <c r="CN14" s="7">
        <f>'AS400'!CL14</f>
        <v>3</v>
      </c>
      <c r="CO14" s="7" t="str">
        <f>'AS400'!CM14</f>
        <v>PUDS</v>
      </c>
      <c r="CP14" s="7">
        <f>'AS400'!CN14</f>
        <v>100</v>
      </c>
      <c r="CQ14" s="7">
        <f>'AS400'!CO14</f>
        <v>20180301</v>
      </c>
      <c r="CR14" s="7">
        <f>'AS400'!CP14</f>
        <v>20180301</v>
      </c>
      <c r="CS14" s="7" t="str">
        <f>'AS400'!CQ14</f>
        <v>S</v>
      </c>
      <c r="CT14" s="7" t="str">
        <f>'AS400'!CR14</f>
        <v>MT</v>
      </c>
      <c r="CU14" s="7">
        <f>'AS400'!CS14</f>
        <v>20180301</v>
      </c>
      <c r="CV14" s="7">
        <f>'AS400'!CT14</f>
        <v>0</v>
      </c>
      <c r="CW14" s="7">
        <f>'AS400'!CU14</f>
        <v>0</v>
      </c>
      <c r="CX14" s="7">
        <f>'AS400'!CV14</f>
        <v>0</v>
      </c>
      <c r="CY14" s="7">
        <f>'AS400'!CW14</f>
        <v>0</v>
      </c>
      <c r="CZ14" s="7" t="str">
        <f>'AS400'!CX14</f>
        <v>STLV</v>
      </c>
      <c r="DA14" s="7">
        <f>'AS400'!CY14</f>
        <v>818</v>
      </c>
      <c r="DB14" s="7">
        <f>'AS400'!CZ14</f>
        <v>0</v>
      </c>
      <c r="DC14" s="7">
        <f>'AS400'!DA14</f>
        <v>12</v>
      </c>
      <c r="DD14" s="7">
        <f>'AS400'!DB14</f>
        <v>20180201</v>
      </c>
      <c r="DE14" s="7">
        <f>'AS400'!DC14</f>
        <v>0</v>
      </c>
      <c r="DF14" s="7">
        <f>'AS400'!DD14</f>
        <v>0</v>
      </c>
      <c r="DG14" s="7">
        <f>'AS400'!DE14</f>
        <v>10</v>
      </c>
      <c r="DI14" s="7">
        <f>'AS400'!DF14</f>
        <v>40</v>
      </c>
      <c r="DJ14" s="7">
        <f>'AS400'!DG14</f>
        <v>0</v>
      </c>
      <c r="DK14" s="7">
        <f>'AS400'!DH14</f>
        <v>0</v>
      </c>
      <c r="DL14" s="7">
        <f>'AS400'!DI14</f>
        <v>0</v>
      </c>
      <c r="DM14" s="7">
        <f>'AS400'!DJ14</f>
        <v>0</v>
      </c>
      <c r="DN14" s="7">
        <f>'AS400'!DK14</f>
        <v>0</v>
      </c>
      <c r="DO14" s="7">
        <f>'AS400'!DL14</f>
        <v>0</v>
      </c>
      <c r="DP14" s="7">
        <f>'AS400'!DM14</f>
        <v>0</v>
      </c>
      <c r="DQ14" s="7">
        <f>'AS400'!DN14</f>
        <v>0</v>
      </c>
      <c r="DR14" s="7">
        <f>'AS400'!DO14</f>
        <v>0</v>
      </c>
      <c r="DS14" s="7">
        <f>'AS400'!DP14</f>
        <v>0</v>
      </c>
      <c r="DT14" s="7">
        <f>'AS400'!DQ14</f>
        <v>0</v>
      </c>
      <c r="DU14" s="7">
        <f>'AS400'!DR14</f>
        <v>0</v>
      </c>
      <c r="DV14" s="7">
        <f>'AS400'!DS14</f>
        <v>0</v>
      </c>
      <c r="DW14" s="7">
        <f>'AS400'!DT14</f>
        <v>0</v>
      </c>
      <c r="DX14" s="7">
        <f>'AS400'!DU14</f>
        <v>0</v>
      </c>
      <c r="DY14" s="7">
        <f>'AS400'!DV14</f>
        <v>0</v>
      </c>
      <c r="DZ14" s="8">
        <f>'AS400'!DW14</f>
        <v>1</v>
      </c>
      <c r="EA14" s="7">
        <f>'AS400'!DX14</f>
        <v>4</v>
      </c>
      <c r="EB14" s="7">
        <f>'AS400'!DY14</f>
        <v>0</v>
      </c>
      <c r="EC14" s="7">
        <f>'AS400'!DZ14</f>
        <v>100</v>
      </c>
      <c r="ED14" s="7">
        <f>'AS400'!EA14</f>
        <v>20180301</v>
      </c>
      <c r="EE14" s="7">
        <f>'AS400'!EB14</f>
        <v>20180301</v>
      </c>
      <c r="EF14" s="7" t="str">
        <f>'AS400'!EC14</f>
        <v>S</v>
      </c>
      <c r="EG14" s="7" t="str">
        <f>'AS400'!ED14</f>
        <v>MS</v>
      </c>
      <c r="EH14" s="7">
        <f>'AS400'!EE14</f>
        <v>20180301</v>
      </c>
      <c r="EI14" s="7">
        <f>'AS400'!EF14</f>
        <v>0</v>
      </c>
      <c r="EJ14" s="7">
        <f>'AS400'!EG14</f>
        <v>0</v>
      </c>
      <c r="EK14" s="7">
        <f>'AS400'!EH14</f>
        <v>0</v>
      </c>
      <c r="EL14" s="7">
        <f>'AS400'!EI14</f>
        <v>0</v>
      </c>
      <c r="EM14" s="7" t="str">
        <f>'AS400'!EJ14</f>
        <v>STLV</v>
      </c>
      <c r="EN14" s="7">
        <f>'AS400'!EK14</f>
        <v>818</v>
      </c>
      <c r="EO14" s="7">
        <f>'AS400'!EL14</f>
        <v>0</v>
      </c>
      <c r="EP14" s="7">
        <f>'AS400'!EM14</f>
        <v>12</v>
      </c>
      <c r="EQ14" s="7">
        <f>'AS400'!EN14</f>
        <v>20180201</v>
      </c>
      <c r="ER14" s="7">
        <f>'AS400'!EO14</f>
        <v>0</v>
      </c>
      <c r="ES14" s="7">
        <f>'AS400'!EP14</f>
        <v>0</v>
      </c>
      <c r="ET14" s="7">
        <f>'AS400'!EQ14</f>
        <v>0</v>
      </c>
      <c r="EV14" s="7">
        <f>'AS400'!ER14</f>
        <v>0</v>
      </c>
      <c r="EW14" s="7">
        <f>'AS400'!ES14</f>
        <v>0</v>
      </c>
      <c r="EX14" s="7">
        <f>'AS400'!ET14</f>
        <v>0</v>
      </c>
      <c r="EY14" s="7">
        <f>'AS400'!EU14</f>
        <v>0</v>
      </c>
      <c r="EZ14" s="7">
        <f>'AS400'!EV14</f>
        <v>0</v>
      </c>
      <c r="FA14" s="7">
        <f>'AS400'!EW14</f>
        <v>0</v>
      </c>
      <c r="FB14" s="7">
        <f>'AS400'!EX14</f>
        <v>0</v>
      </c>
      <c r="FC14" s="7">
        <f>'AS400'!EY14</f>
        <v>0</v>
      </c>
      <c r="FD14" s="7">
        <f>'AS400'!EZ14</f>
        <v>0</v>
      </c>
      <c r="FE14" s="7">
        <f>'AS400'!FA14</f>
        <v>0</v>
      </c>
      <c r="FF14" s="7">
        <f>'AS400'!FB14</f>
        <v>0</v>
      </c>
      <c r="FG14" s="7">
        <f>'AS400'!FC14</f>
        <v>0</v>
      </c>
      <c r="FH14" s="7">
        <f>'AS400'!FD14</f>
        <v>0</v>
      </c>
      <c r="FI14" s="7">
        <f>'AS400'!FE14</f>
        <v>0</v>
      </c>
      <c r="FJ14" s="7">
        <f>'AS400'!FF14</f>
        <v>0</v>
      </c>
      <c r="FK14" s="7">
        <f>'AS400'!FG14</f>
        <v>0</v>
      </c>
      <c r="FL14" s="7">
        <f>'AS400'!FH14</f>
        <v>0</v>
      </c>
      <c r="FM14" s="7">
        <f>'AS400'!FI14</f>
        <v>1</v>
      </c>
      <c r="FN14" s="7">
        <f>'AS400'!FJ14</f>
        <v>1</v>
      </c>
      <c r="FO14" s="7">
        <f>'AS400'!FO14</f>
        <v>0</v>
      </c>
      <c r="FP14" s="7">
        <f>'AS400'!FP14</f>
        <v>4</v>
      </c>
      <c r="FQ14" s="7">
        <f>'AS400'!FQ14</f>
        <v>1</v>
      </c>
      <c r="FR14" s="7">
        <f>'AS400'!FR14</f>
        <v>1</v>
      </c>
      <c r="FS14" s="13">
        <f>'AS400'!FO14</f>
        <v>0</v>
      </c>
    </row>
    <row r="15" spans="1:218">
      <c r="A15" s="7">
        <f>'AS400'!A15</f>
        <v>9</v>
      </c>
      <c r="B15" s="7">
        <f>'AS400'!B15</f>
        <v>20190301</v>
      </c>
      <c r="C15" s="7">
        <f>'AS400'!C15</f>
        <v>0</v>
      </c>
      <c r="D15" s="7" t="str">
        <f>'AS400'!D15</f>
        <v>N</v>
      </c>
      <c r="E15" s="7" t="str">
        <f>'AS400'!E15</f>
        <v>N</v>
      </c>
      <c r="F15" s="7" t="str">
        <f>'AS400'!F15</f>
        <v>Y</v>
      </c>
      <c r="G15" s="7">
        <f>'AS400'!G15</f>
        <v>0</v>
      </c>
      <c r="H15" s="14"/>
      <c r="I15" s="7" t="str">
        <f>'AS400'!I15</f>
        <v>RSA</v>
      </c>
      <c r="J15" s="7" t="str">
        <f>'AS400'!J15</f>
        <v>METR</v>
      </c>
      <c r="K15" s="7" t="str">
        <f>'AS400'!K15</f>
        <v>N</v>
      </c>
      <c r="L15" s="7">
        <f>'AS400'!L15</f>
        <v>4</v>
      </c>
      <c r="M15" s="8">
        <f>'AS400'!M15</f>
        <v>1</v>
      </c>
      <c r="N15" s="7">
        <f>'AS400'!N15</f>
        <v>1</v>
      </c>
      <c r="O15" s="7" t="str">
        <f>'AS400'!O15</f>
        <v>MFMM</v>
      </c>
      <c r="P15" s="7">
        <f>'AS400'!P15</f>
        <v>100</v>
      </c>
      <c r="Q15" s="7">
        <f>'AS400'!Q15</f>
        <v>20180301</v>
      </c>
      <c r="R15" s="7">
        <f>'AS400'!R15</f>
        <v>20180301</v>
      </c>
      <c r="S15" s="7" t="str">
        <f>'AS400'!S15</f>
        <v>M</v>
      </c>
      <c r="T15" s="7" t="str">
        <f>'AS400'!T15</f>
        <v>MN</v>
      </c>
      <c r="U15" s="7">
        <f>'AS400'!U15</f>
        <v>20190301</v>
      </c>
      <c r="V15" s="7">
        <f>'AS400'!V15</f>
        <v>6</v>
      </c>
      <c r="W15" s="7">
        <f>'AS400'!W15</f>
        <v>6</v>
      </c>
      <c r="X15" s="7" t="str">
        <f>'AS400'!X15</f>
        <v>MFIX</v>
      </c>
      <c r="Y15" s="7">
        <f>'AS400'!Y15</f>
        <v>0</v>
      </c>
      <c r="Z15" s="7" t="str">
        <f>'AS400'!Z15</f>
        <v>STLV</v>
      </c>
      <c r="AA15" s="7">
        <f>'AS400'!AA15</f>
        <v>818</v>
      </c>
      <c r="AB15" s="7">
        <f>'AS400'!AB15</f>
        <v>0</v>
      </c>
      <c r="AC15" s="7">
        <f>'AS400'!AC15</f>
        <v>12</v>
      </c>
      <c r="AD15" s="7">
        <f>'AS400'!AD15</f>
        <v>20180201</v>
      </c>
      <c r="AE15" s="7">
        <f>'AS400'!AE15</f>
        <v>0</v>
      </c>
      <c r="AF15" s="7">
        <f>'AS400'!AF15</f>
        <v>50000</v>
      </c>
      <c r="AG15" s="7">
        <f>'AS400'!AG15</f>
        <v>107</v>
      </c>
      <c r="AI15" s="7">
        <f>'AS400'!AH15</f>
        <v>39</v>
      </c>
      <c r="AJ15" s="7">
        <f>'AS400'!AI15</f>
        <v>0</v>
      </c>
      <c r="AK15" s="7">
        <f>'AS400'!AJ15</f>
        <v>0</v>
      </c>
      <c r="AL15" s="7">
        <f>'AS400'!AK15</f>
        <v>0</v>
      </c>
      <c r="AM15" s="7">
        <f>'AS400'!AL15</f>
        <v>0</v>
      </c>
      <c r="AN15" s="7">
        <f>'AS400'!AM15</f>
        <v>0</v>
      </c>
      <c r="AO15" s="7">
        <f>'AS400'!AN15</f>
        <v>0</v>
      </c>
      <c r="AP15" s="7">
        <f>'AS400'!AO15</f>
        <v>0</v>
      </c>
      <c r="AQ15" s="7">
        <f>'AS400'!AP15</f>
        <v>0</v>
      </c>
      <c r="AR15" s="7">
        <f>'AS400'!AQ15</f>
        <v>0</v>
      </c>
      <c r="AS15" s="7">
        <f>'AS400'!AR15</f>
        <v>0</v>
      </c>
      <c r="AT15" s="7">
        <f>'AS400'!AS15</f>
        <v>0</v>
      </c>
      <c r="AU15" s="7">
        <f>'AS400'!AT15</f>
        <v>0</v>
      </c>
      <c r="AV15" s="7">
        <f>'AS400'!AU15</f>
        <v>0</v>
      </c>
      <c r="AW15" s="7">
        <f>'AS400'!AV15</f>
        <v>0</v>
      </c>
      <c r="AX15" s="7">
        <f>'AS400'!AW15</f>
        <v>0</v>
      </c>
      <c r="AY15" s="7">
        <f>'AS400'!AX15</f>
        <v>0</v>
      </c>
      <c r="AZ15" s="8">
        <f>'AS400'!AY15</f>
        <v>1</v>
      </c>
      <c r="BA15" s="7">
        <f>'AS400'!AZ15</f>
        <v>2</v>
      </c>
      <c r="BB15" s="7" t="str">
        <f>'AS400'!BA15</f>
        <v>PURO</v>
      </c>
      <c r="BC15" s="7">
        <f>'AS400'!BB15</f>
        <v>100</v>
      </c>
      <c r="BD15" s="7">
        <f>'AS400'!BC15</f>
        <v>20180301</v>
      </c>
      <c r="BE15" s="7">
        <f>'AS400'!BD15</f>
        <v>20180301</v>
      </c>
      <c r="BF15" s="7" t="str">
        <f>'AS400'!BE15</f>
        <v>S</v>
      </c>
      <c r="BG15" s="7" t="str">
        <f>'AS400'!BF15</f>
        <v>ME</v>
      </c>
      <c r="BH15" s="7">
        <f>'AS400'!BG15</f>
        <v>20180301</v>
      </c>
      <c r="BI15" s="7">
        <f>'AS400'!BH15</f>
        <v>0</v>
      </c>
      <c r="BJ15" s="7">
        <f>'AS400'!BI15</f>
        <v>0</v>
      </c>
      <c r="BK15" s="7">
        <f>'AS400'!BJ15</f>
        <v>0</v>
      </c>
      <c r="BL15" s="7">
        <f>'AS400'!BK15</f>
        <v>0</v>
      </c>
      <c r="BM15" s="7" t="str">
        <f>'AS400'!BL15</f>
        <v>STLV</v>
      </c>
      <c r="BN15" s="7">
        <f>'AS400'!BM15</f>
        <v>818</v>
      </c>
      <c r="BO15" s="7">
        <f>'AS400'!BN15</f>
        <v>0</v>
      </c>
      <c r="BP15" s="7">
        <f>'AS400'!BO15</f>
        <v>12</v>
      </c>
      <c r="BQ15" s="7">
        <f>'AS400'!BP15</f>
        <v>20180201</v>
      </c>
      <c r="BR15" s="7">
        <f>'AS400'!BQ15</f>
        <v>0</v>
      </c>
      <c r="BS15" s="7">
        <f>'AS400'!BR15</f>
        <v>0</v>
      </c>
      <c r="BT15" s="7">
        <f>'AS400'!BS15</f>
        <v>22</v>
      </c>
      <c r="BV15" s="7">
        <f>'AS400'!BT15</f>
        <v>39</v>
      </c>
      <c r="BW15" s="7">
        <f>'AS400'!BU15</f>
        <v>0</v>
      </c>
      <c r="BX15" s="7">
        <f>'AS400'!BV15</f>
        <v>0</v>
      </c>
      <c r="BY15" s="7">
        <f>'AS400'!BW15</f>
        <v>0</v>
      </c>
      <c r="BZ15" s="7">
        <f>'AS400'!BX15</f>
        <v>0</v>
      </c>
      <c r="CA15" s="7">
        <f>'AS400'!BY15</f>
        <v>0</v>
      </c>
      <c r="CB15" s="7">
        <f>'AS400'!BZ15</f>
        <v>0</v>
      </c>
      <c r="CC15" s="7">
        <f>'AS400'!CA15</f>
        <v>0</v>
      </c>
      <c r="CD15" s="7">
        <f>'AS400'!CB15</f>
        <v>0</v>
      </c>
      <c r="CE15" s="7">
        <f>'AS400'!CC15</f>
        <v>0</v>
      </c>
      <c r="CF15" s="7">
        <f>'AS400'!CD15</f>
        <v>0</v>
      </c>
      <c r="CG15" s="7">
        <f>'AS400'!CE15</f>
        <v>0</v>
      </c>
      <c r="CH15" s="7">
        <f>'AS400'!CF15</f>
        <v>0</v>
      </c>
      <c r="CI15" s="7">
        <f>'AS400'!CG15</f>
        <v>0</v>
      </c>
      <c r="CJ15" s="7">
        <f>'AS400'!CH15</f>
        <v>0</v>
      </c>
      <c r="CK15" s="7">
        <f>'AS400'!CI15</f>
        <v>0</v>
      </c>
      <c r="CL15" s="7">
        <f>'AS400'!CJ15</f>
        <v>0</v>
      </c>
      <c r="CM15" s="8">
        <f>'AS400'!CK15</f>
        <v>1</v>
      </c>
      <c r="CN15" s="7">
        <f>'AS400'!CL15</f>
        <v>3</v>
      </c>
      <c r="CO15" s="7" t="str">
        <f>'AS400'!CM15</f>
        <v>PUDS</v>
      </c>
      <c r="CP15" s="7">
        <f>'AS400'!CN15</f>
        <v>100</v>
      </c>
      <c r="CQ15" s="7">
        <f>'AS400'!CO15</f>
        <v>20180301</v>
      </c>
      <c r="CR15" s="7">
        <f>'AS400'!CP15</f>
        <v>20180301</v>
      </c>
      <c r="CS15" s="7" t="str">
        <f>'AS400'!CQ15</f>
        <v>S</v>
      </c>
      <c r="CT15" s="7" t="str">
        <f>'AS400'!CR15</f>
        <v>MT</v>
      </c>
      <c r="CU15" s="7">
        <f>'AS400'!CS15</f>
        <v>20180301</v>
      </c>
      <c r="CV15" s="7">
        <f>'AS400'!CT15</f>
        <v>0</v>
      </c>
      <c r="CW15" s="7">
        <f>'AS400'!CU15</f>
        <v>0</v>
      </c>
      <c r="CX15" s="7">
        <f>'AS400'!CV15</f>
        <v>0</v>
      </c>
      <c r="CY15" s="7">
        <f>'AS400'!CW15</f>
        <v>0</v>
      </c>
      <c r="CZ15" s="7" t="str">
        <f>'AS400'!CX15</f>
        <v>STLV</v>
      </c>
      <c r="DA15" s="7">
        <f>'AS400'!CY15</f>
        <v>818</v>
      </c>
      <c r="DB15" s="7">
        <f>'AS400'!CZ15</f>
        <v>0</v>
      </c>
      <c r="DC15" s="7">
        <f>'AS400'!DA15</f>
        <v>12</v>
      </c>
      <c r="DD15" s="7">
        <f>'AS400'!DB15</f>
        <v>20180201</v>
      </c>
      <c r="DE15" s="7">
        <f>'AS400'!DC15</f>
        <v>0</v>
      </c>
      <c r="DF15" s="7">
        <f>'AS400'!DD15</f>
        <v>0</v>
      </c>
      <c r="DG15" s="7">
        <f>'AS400'!DE15</f>
        <v>10</v>
      </c>
      <c r="DI15" s="7">
        <f>'AS400'!DF15</f>
        <v>39</v>
      </c>
      <c r="DJ15" s="7">
        <f>'AS400'!DG15</f>
        <v>0</v>
      </c>
      <c r="DK15" s="7">
        <f>'AS400'!DH15</f>
        <v>0</v>
      </c>
      <c r="DL15" s="7">
        <f>'AS400'!DI15</f>
        <v>0</v>
      </c>
      <c r="DM15" s="7">
        <f>'AS400'!DJ15</f>
        <v>0</v>
      </c>
      <c r="DN15" s="7">
        <f>'AS400'!DK15</f>
        <v>0</v>
      </c>
      <c r="DO15" s="7">
        <f>'AS400'!DL15</f>
        <v>0</v>
      </c>
      <c r="DP15" s="7">
        <f>'AS400'!DM15</f>
        <v>0</v>
      </c>
      <c r="DQ15" s="7">
        <f>'AS400'!DN15</f>
        <v>0</v>
      </c>
      <c r="DR15" s="7">
        <f>'AS400'!DO15</f>
        <v>0</v>
      </c>
      <c r="DS15" s="7">
        <f>'AS400'!DP15</f>
        <v>0</v>
      </c>
      <c r="DT15" s="7">
        <f>'AS400'!DQ15</f>
        <v>0</v>
      </c>
      <c r="DU15" s="7">
        <f>'AS400'!DR15</f>
        <v>0</v>
      </c>
      <c r="DV15" s="7">
        <f>'AS400'!DS15</f>
        <v>0</v>
      </c>
      <c r="DW15" s="7">
        <f>'AS400'!DT15</f>
        <v>0</v>
      </c>
      <c r="DX15" s="7">
        <f>'AS400'!DU15</f>
        <v>0</v>
      </c>
      <c r="DY15" s="7">
        <f>'AS400'!DV15</f>
        <v>0</v>
      </c>
      <c r="DZ15" s="8">
        <f>'AS400'!DW15</f>
        <v>1</v>
      </c>
      <c r="EA15" s="7">
        <f>'AS400'!DX15</f>
        <v>4</v>
      </c>
      <c r="EB15" s="7">
        <f>'AS400'!DY15</f>
        <v>0</v>
      </c>
      <c r="EC15" s="7">
        <f>'AS400'!DZ15</f>
        <v>100</v>
      </c>
      <c r="ED15" s="7">
        <f>'AS400'!EA15</f>
        <v>20180301</v>
      </c>
      <c r="EE15" s="7">
        <f>'AS400'!EB15</f>
        <v>20180301</v>
      </c>
      <c r="EF15" s="7" t="str">
        <f>'AS400'!EC15</f>
        <v>S</v>
      </c>
      <c r="EG15" s="7" t="str">
        <f>'AS400'!ED15</f>
        <v>MS</v>
      </c>
      <c r="EH15" s="7">
        <f>'AS400'!EE15</f>
        <v>20180301</v>
      </c>
      <c r="EI15" s="7">
        <f>'AS400'!EF15</f>
        <v>0</v>
      </c>
      <c r="EJ15" s="7">
        <f>'AS400'!EG15</f>
        <v>0</v>
      </c>
      <c r="EK15" s="7">
        <f>'AS400'!EH15</f>
        <v>0</v>
      </c>
      <c r="EL15" s="7">
        <f>'AS400'!EI15</f>
        <v>0</v>
      </c>
      <c r="EM15" s="7" t="str">
        <f>'AS400'!EJ15</f>
        <v>STLV</v>
      </c>
      <c r="EN15" s="7">
        <f>'AS400'!EK15</f>
        <v>818</v>
      </c>
      <c r="EO15" s="7">
        <f>'AS400'!EL15</f>
        <v>0</v>
      </c>
      <c r="EP15" s="7">
        <f>'AS400'!EM15</f>
        <v>12</v>
      </c>
      <c r="EQ15" s="7">
        <f>'AS400'!EN15</f>
        <v>20180201</v>
      </c>
      <c r="ER15" s="7">
        <f>'AS400'!EO15</f>
        <v>0</v>
      </c>
      <c r="ES15" s="7">
        <f>'AS400'!EP15</f>
        <v>0</v>
      </c>
      <c r="ET15" s="7">
        <f>'AS400'!EQ15</f>
        <v>0</v>
      </c>
      <c r="EV15" s="7">
        <f>'AS400'!ER15</f>
        <v>0</v>
      </c>
      <c r="EW15" s="7">
        <f>'AS400'!ES15</f>
        <v>0</v>
      </c>
      <c r="EX15" s="7">
        <f>'AS400'!ET15</f>
        <v>0</v>
      </c>
      <c r="EY15" s="7">
        <f>'AS400'!EU15</f>
        <v>0</v>
      </c>
      <c r="EZ15" s="7">
        <f>'AS400'!EV15</f>
        <v>0</v>
      </c>
      <c r="FA15" s="7">
        <f>'AS400'!EW15</f>
        <v>0</v>
      </c>
      <c r="FB15" s="7">
        <f>'AS400'!EX15</f>
        <v>0</v>
      </c>
      <c r="FC15" s="7">
        <f>'AS400'!EY15</f>
        <v>0</v>
      </c>
      <c r="FD15" s="7">
        <f>'AS400'!EZ15</f>
        <v>0</v>
      </c>
      <c r="FE15" s="7">
        <f>'AS400'!FA15</f>
        <v>0</v>
      </c>
      <c r="FF15" s="7">
        <f>'AS400'!FB15</f>
        <v>0</v>
      </c>
      <c r="FG15" s="7">
        <f>'AS400'!FC15</f>
        <v>0</v>
      </c>
      <c r="FH15" s="7">
        <f>'AS400'!FD15</f>
        <v>0</v>
      </c>
      <c r="FI15" s="7">
        <f>'AS400'!FE15</f>
        <v>0</v>
      </c>
      <c r="FJ15" s="7">
        <f>'AS400'!FF15</f>
        <v>0</v>
      </c>
      <c r="FK15" s="7">
        <f>'AS400'!FG15</f>
        <v>0</v>
      </c>
      <c r="FL15" s="7">
        <f>'AS400'!FH15</f>
        <v>0</v>
      </c>
      <c r="FM15" s="7">
        <f>'AS400'!FI15</f>
        <v>1</v>
      </c>
      <c r="FN15" s="7">
        <f>'AS400'!FJ15</f>
        <v>1</v>
      </c>
      <c r="FO15" s="7">
        <f>'AS400'!FO15</f>
        <v>0</v>
      </c>
      <c r="FP15" s="7">
        <f>'AS400'!FP15</f>
        <v>4</v>
      </c>
      <c r="FQ15" s="7">
        <f>'AS400'!FQ15</f>
        <v>1</v>
      </c>
      <c r="FR15" s="7">
        <f>'AS400'!FR15</f>
        <v>1</v>
      </c>
      <c r="FS15" s="13">
        <f>'AS400'!FO15</f>
        <v>0</v>
      </c>
    </row>
    <row r="16" spans="1:218">
      <c r="A16" s="7">
        <f>'AS400'!A16</f>
        <v>10</v>
      </c>
      <c r="B16" s="7">
        <f>'AS400'!B16</f>
        <v>20190301</v>
      </c>
      <c r="C16" s="7">
        <f>'AS400'!C16</f>
        <v>0</v>
      </c>
      <c r="D16" s="7" t="str">
        <f>'AS400'!D16</f>
        <v>N</v>
      </c>
      <c r="E16" s="7" t="str">
        <f>'AS400'!E16</f>
        <v>N</v>
      </c>
      <c r="F16" s="7" t="str">
        <f>'AS400'!F16</f>
        <v>Y</v>
      </c>
      <c r="G16" s="7">
        <f>'AS400'!G16</f>
        <v>0</v>
      </c>
      <c r="H16" s="14"/>
      <c r="I16" s="7" t="str">
        <f>'AS400'!I16</f>
        <v>RSA</v>
      </c>
      <c r="J16" s="7" t="str">
        <f>'AS400'!J16</f>
        <v>METR</v>
      </c>
      <c r="K16" s="7" t="str">
        <f>'AS400'!K16</f>
        <v>N</v>
      </c>
      <c r="L16" s="7">
        <f>'AS400'!L16</f>
        <v>4</v>
      </c>
      <c r="M16" s="8">
        <f>'AS400'!M16</f>
        <v>1</v>
      </c>
      <c r="N16" s="7">
        <f>'AS400'!N16</f>
        <v>1</v>
      </c>
      <c r="O16" s="7" t="str">
        <f>'AS400'!O16</f>
        <v>MFMM</v>
      </c>
      <c r="P16" s="7">
        <f>'AS400'!P16</f>
        <v>100</v>
      </c>
      <c r="Q16" s="7">
        <f>'AS400'!Q16</f>
        <v>20180301</v>
      </c>
      <c r="R16" s="7">
        <f>'AS400'!R16</f>
        <v>20180301</v>
      </c>
      <c r="S16" s="7" t="str">
        <f>'AS400'!S16</f>
        <v>M</v>
      </c>
      <c r="T16" s="7" t="str">
        <f>'AS400'!T16</f>
        <v>MN</v>
      </c>
      <c r="U16" s="7">
        <f>'AS400'!U16</f>
        <v>20190301</v>
      </c>
      <c r="V16" s="7">
        <f>'AS400'!V16</f>
        <v>6</v>
      </c>
      <c r="W16" s="7">
        <f>'AS400'!W16</f>
        <v>6</v>
      </c>
      <c r="X16" s="7" t="str">
        <f>'AS400'!X16</f>
        <v>MFIX</v>
      </c>
      <c r="Y16" s="7">
        <f>'AS400'!Y16</f>
        <v>0</v>
      </c>
      <c r="Z16" s="7" t="str">
        <f>'AS400'!Z16</f>
        <v>STLV</v>
      </c>
      <c r="AA16" s="7">
        <f>'AS400'!AA16</f>
        <v>818</v>
      </c>
      <c r="AB16" s="7">
        <f>'AS400'!AB16</f>
        <v>0</v>
      </c>
      <c r="AC16" s="7">
        <f>'AS400'!AC16</f>
        <v>12</v>
      </c>
      <c r="AD16" s="7">
        <f>'AS400'!AD16</f>
        <v>20180201</v>
      </c>
      <c r="AE16" s="7">
        <f>'AS400'!AE16</f>
        <v>0</v>
      </c>
      <c r="AF16" s="7">
        <f>'AS400'!AF16</f>
        <v>55000</v>
      </c>
      <c r="AG16" s="7">
        <f>'AS400'!AG16</f>
        <v>115</v>
      </c>
      <c r="AI16" s="7">
        <f>'AS400'!AH16</f>
        <v>38</v>
      </c>
      <c r="AJ16" s="7">
        <f>'AS400'!AI16</f>
        <v>0</v>
      </c>
      <c r="AK16" s="7">
        <f>'AS400'!AJ16</f>
        <v>0</v>
      </c>
      <c r="AL16" s="7">
        <f>'AS400'!AK16</f>
        <v>0</v>
      </c>
      <c r="AM16" s="7">
        <f>'AS400'!AL16</f>
        <v>0</v>
      </c>
      <c r="AN16" s="7">
        <f>'AS400'!AM16</f>
        <v>0</v>
      </c>
      <c r="AO16" s="7">
        <f>'AS400'!AN16</f>
        <v>0</v>
      </c>
      <c r="AP16" s="7">
        <f>'AS400'!AO16</f>
        <v>0</v>
      </c>
      <c r="AQ16" s="7">
        <f>'AS400'!AP16</f>
        <v>0</v>
      </c>
      <c r="AR16" s="7">
        <f>'AS400'!AQ16</f>
        <v>0</v>
      </c>
      <c r="AS16" s="7">
        <f>'AS400'!AR16</f>
        <v>0</v>
      </c>
      <c r="AT16" s="7">
        <f>'AS400'!AS16</f>
        <v>0</v>
      </c>
      <c r="AU16" s="7">
        <f>'AS400'!AT16</f>
        <v>0</v>
      </c>
      <c r="AV16" s="7">
        <f>'AS400'!AU16</f>
        <v>0</v>
      </c>
      <c r="AW16" s="7">
        <f>'AS400'!AV16</f>
        <v>0</v>
      </c>
      <c r="AX16" s="7">
        <f>'AS400'!AW16</f>
        <v>0</v>
      </c>
      <c r="AY16" s="7">
        <f>'AS400'!AX16</f>
        <v>0</v>
      </c>
      <c r="AZ16" s="8">
        <f>'AS400'!AY16</f>
        <v>1</v>
      </c>
      <c r="BA16" s="7">
        <f>'AS400'!AZ16</f>
        <v>2</v>
      </c>
      <c r="BB16" s="7" t="str">
        <f>'AS400'!BA16</f>
        <v>PURO</v>
      </c>
      <c r="BC16" s="7">
        <f>'AS400'!BB16</f>
        <v>100</v>
      </c>
      <c r="BD16" s="7">
        <f>'AS400'!BC16</f>
        <v>20180301</v>
      </c>
      <c r="BE16" s="7">
        <f>'AS400'!BD16</f>
        <v>20180301</v>
      </c>
      <c r="BF16" s="7" t="str">
        <f>'AS400'!BE16</f>
        <v>S</v>
      </c>
      <c r="BG16" s="7" t="str">
        <f>'AS400'!BF16</f>
        <v>ME</v>
      </c>
      <c r="BH16" s="7">
        <f>'AS400'!BG16</f>
        <v>20180301</v>
      </c>
      <c r="BI16" s="7">
        <f>'AS400'!BH16</f>
        <v>0</v>
      </c>
      <c r="BJ16" s="7">
        <f>'AS400'!BI16</f>
        <v>0</v>
      </c>
      <c r="BK16" s="7">
        <f>'AS400'!BJ16</f>
        <v>0</v>
      </c>
      <c r="BL16" s="7">
        <f>'AS400'!BK16</f>
        <v>0</v>
      </c>
      <c r="BM16" s="7" t="str">
        <f>'AS400'!BL16</f>
        <v>STLV</v>
      </c>
      <c r="BN16" s="7">
        <f>'AS400'!BM16</f>
        <v>818</v>
      </c>
      <c r="BO16" s="7">
        <f>'AS400'!BN16</f>
        <v>0</v>
      </c>
      <c r="BP16" s="7">
        <f>'AS400'!BO16</f>
        <v>12</v>
      </c>
      <c r="BQ16" s="7">
        <f>'AS400'!BP16</f>
        <v>20180201</v>
      </c>
      <c r="BR16" s="7">
        <f>'AS400'!BQ16</f>
        <v>0</v>
      </c>
      <c r="BS16" s="7">
        <f>'AS400'!BR16</f>
        <v>0</v>
      </c>
      <c r="BT16" s="7">
        <f>'AS400'!BS16</f>
        <v>23</v>
      </c>
      <c r="BV16" s="7">
        <f>'AS400'!BT16</f>
        <v>38</v>
      </c>
      <c r="BW16" s="7">
        <f>'AS400'!BU16</f>
        <v>0</v>
      </c>
      <c r="BX16" s="7">
        <f>'AS400'!BV16</f>
        <v>0</v>
      </c>
      <c r="BY16" s="7">
        <f>'AS400'!BW16</f>
        <v>0</v>
      </c>
      <c r="BZ16" s="7">
        <f>'AS400'!BX16</f>
        <v>0</v>
      </c>
      <c r="CA16" s="7">
        <f>'AS400'!BY16</f>
        <v>0</v>
      </c>
      <c r="CB16" s="7">
        <f>'AS400'!BZ16</f>
        <v>0</v>
      </c>
      <c r="CC16" s="7">
        <f>'AS400'!CA16</f>
        <v>0</v>
      </c>
      <c r="CD16" s="7">
        <f>'AS400'!CB16</f>
        <v>0</v>
      </c>
      <c r="CE16" s="7">
        <f>'AS400'!CC16</f>
        <v>0</v>
      </c>
      <c r="CF16" s="7">
        <f>'AS400'!CD16</f>
        <v>0</v>
      </c>
      <c r="CG16" s="7">
        <f>'AS400'!CE16</f>
        <v>0</v>
      </c>
      <c r="CH16" s="7">
        <f>'AS400'!CF16</f>
        <v>0</v>
      </c>
      <c r="CI16" s="7">
        <f>'AS400'!CG16</f>
        <v>0</v>
      </c>
      <c r="CJ16" s="7">
        <f>'AS400'!CH16</f>
        <v>0</v>
      </c>
      <c r="CK16" s="7">
        <f>'AS400'!CI16</f>
        <v>0</v>
      </c>
      <c r="CL16" s="7">
        <f>'AS400'!CJ16</f>
        <v>0</v>
      </c>
      <c r="CM16" s="8">
        <f>'AS400'!CK16</f>
        <v>1</v>
      </c>
      <c r="CN16" s="7">
        <f>'AS400'!CL16</f>
        <v>3</v>
      </c>
      <c r="CO16" s="7" t="str">
        <f>'AS400'!CM16</f>
        <v>PUDS</v>
      </c>
      <c r="CP16" s="7">
        <f>'AS400'!CN16</f>
        <v>100</v>
      </c>
      <c r="CQ16" s="7">
        <f>'AS400'!CO16</f>
        <v>20180301</v>
      </c>
      <c r="CR16" s="7">
        <f>'AS400'!CP16</f>
        <v>20180301</v>
      </c>
      <c r="CS16" s="7" t="str">
        <f>'AS400'!CQ16</f>
        <v>S</v>
      </c>
      <c r="CT16" s="7" t="str">
        <f>'AS400'!CR16</f>
        <v>MT</v>
      </c>
      <c r="CU16" s="7">
        <f>'AS400'!CS16</f>
        <v>20180301</v>
      </c>
      <c r="CV16" s="7">
        <f>'AS400'!CT16</f>
        <v>0</v>
      </c>
      <c r="CW16" s="7">
        <f>'AS400'!CU16</f>
        <v>0</v>
      </c>
      <c r="CX16" s="7">
        <f>'AS400'!CV16</f>
        <v>0</v>
      </c>
      <c r="CY16" s="7">
        <f>'AS400'!CW16</f>
        <v>0</v>
      </c>
      <c r="CZ16" s="7" t="str">
        <f>'AS400'!CX16</f>
        <v>STLV</v>
      </c>
      <c r="DA16" s="7">
        <f>'AS400'!CY16</f>
        <v>818</v>
      </c>
      <c r="DB16" s="7">
        <f>'AS400'!CZ16</f>
        <v>0</v>
      </c>
      <c r="DC16" s="7">
        <f>'AS400'!DA16</f>
        <v>12</v>
      </c>
      <c r="DD16" s="7">
        <f>'AS400'!DB16</f>
        <v>20180201</v>
      </c>
      <c r="DE16" s="7">
        <f>'AS400'!DC16</f>
        <v>0</v>
      </c>
      <c r="DF16" s="7">
        <f>'AS400'!DD16</f>
        <v>0</v>
      </c>
      <c r="DG16" s="7">
        <f>'AS400'!DE16</f>
        <v>11</v>
      </c>
      <c r="DI16" s="7">
        <f>'AS400'!DF16</f>
        <v>38</v>
      </c>
      <c r="DJ16" s="7">
        <f>'AS400'!DG16</f>
        <v>0</v>
      </c>
      <c r="DK16" s="7">
        <f>'AS400'!DH16</f>
        <v>0</v>
      </c>
      <c r="DL16" s="7">
        <f>'AS400'!DI16</f>
        <v>0</v>
      </c>
      <c r="DM16" s="7">
        <f>'AS400'!DJ16</f>
        <v>0</v>
      </c>
      <c r="DN16" s="7">
        <f>'AS400'!DK16</f>
        <v>0</v>
      </c>
      <c r="DO16" s="7">
        <f>'AS400'!DL16</f>
        <v>0</v>
      </c>
      <c r="DP16" s="7">
        <f>'AS400'!DM16</f>
        <v>0</v>
      </c>
      <c r="DQ16" s="7">
        <f>'AS400'!DN16</f>
        <v>0</v>
      </c>
      <c r="DR16" s="7">
        <f>'AS400'!DO16</f>
        <v>0</v>
      </c>
      <c r="DS16" s="7">
        <f>'AS400'!DP16</f>
        <v>0</v>
      </c>
      <c r="DT16" s="7">
        <f>'AS400'!DQ16</f>
        <v>0</v>
      </c>
      <c r="DU16" s="7">
        <f>'AS400'!DR16</f>
        <v>0</v>
      </c>
      <c r="DV16" s="7">
        <f>'AS400'!DS16</f>
        <v>0</v>
      </c>
      <c r="DW16" s="7">
        <f>'AS400'!DT16</f>
        <v>0</v>
      </c>
      <c r="DX16" s="7">
        <f>'AS400'!DU16</f>
        <v>0</v>
      </c>
      <c r="DY16" s="7">
        <f>'AS400'!DV16</f>
        <v>0</v>
      </c>
      <c r="DZ16" s="8">
        <f>'AS400'!DW16</f>
        <v>1</v>
      </c>
      <c r="EA16" s="7">
        <f>'AS400'!DX16</f>
        <v>4</v>
      </c>
      <c r="EB16" s="7">
        <f>'AS400'!DY16</f>
        <v>0</v>
      </c>
      <c r="EC16" s="7">
        <f>'AS400'!DZ16</f>
        <v>100</v>
      </c>
      <c r="ED16" s="7">
        <f>'AS400'!EA16</f>
        <v>20180301</v>
      </c>
      <c r="EE16" s="7">
        <f>'AS400'!EB16</f>
        <v>20180301</v>
      </c>
      <c r="EF16" s="7" t="str">
        <f>'AS400'!EC16</f>
        <v>S</v>
      </c>
      <c r="EG16" s="7" t="str">
        <f>'AS400'!ED16</f>
        <v>MS</v>
      </c>
      <c r="EH16" s="7">
        <f>'AS400'!EE16</f>
        <v>20180301</v>
      </c>
      <c r="EI16" s="7">
        <f>'AS400'!EF16</f>
        <v>0</v>
      </c>
      <c r="EJ16" s="7">
        <f>'AS400'!EG16</f>
        <v>0</v>
      </c>
      <c r="EK16" s="7">
        <f>'AS400'!EH16</f>
        <v>0</v>
      </c>
      <c r="EL16" s="7">
        <f>'AS400'!EI16</f>
        <v>0</v>
      </c>
      <c r="EM16" s="7" t="str">
        <f>'AS400'!EJ16</f>
        <v>STLV</v>
      </c>
      <c r="EN16" s="7">
        <f>'AS400'!EK16</f>
        <v>818</v>
      </c>
      <c r="EO16" s="7">
        <f>'AS400'!EL16</f>
        <v>0</v>
      </c>
      <c r="EP16" s="7">
        <f>'AS400'!EM16</f>
        <v>12</v>
      </c>
      <c r="EQ16" s="7">
        <f>'AS400'!EN16</f>
        <v>20180201</v>
      </c>
      <c r="ER16" s="7">
        <f>'AS400'!EO16</f>
        <v>0</v>
      </c>
      <c r="ES16" s="7">
        <f>'AS400'!EP16</f>
        <v>0</v>
      </c>
      <c r="ET16" s="7">
        <f>'AS400'!EQ16</f>
        <v>0</v>
      </c>
      <c r="EV16" s="7">
        <f>'AS400'!ER16</f>
        <v>0</v>
      </c>
      <c r="EW16" s="7">
        <f>'AS400'!ES16</f>
        <v>0</v>
      </c>
      <c r="EX16" s="7">
        <f>'AS400'!ET16</f>
        <v>0</v>
      </c>
      <c r="EY16" s="7">
        <f>'AS400'!EU16</f>
        <v>0</v>
      </c>
      <c r="EZ16" s="7">
        <f>'AS400'!EV16</f>
        <v>0</v>
      </c>
      <c r="FA16" s="7">
        <f>'AS400'!EW16</f>
        <v>0</v>
      </c>
      <c r="FB16" s="7">
        <f>'AS400'!EX16</f>
        <v>0</v>
      </c>
      <c r="FC16" s="7">
        <f>'AS400'!EY16</f>
        <v>0</v>
      </c>
      <c r="FD16" s="7">
        <f>'AS400'!EZ16</f>
        <v>0</v>
      </c>
      <c r="FE16" s="7">
        <f>'AS400'!FA16</f>
        <v>0</v>
      </c>
      <c r="FF16" s="7">
        <f>'AS400'!FB16</f>
        <v>0</v>
      </c>
      <c r="FG16" s="7">
        <f>'AS400'!FC16</f>
        <v>0</v>
      </c>
      <c r="FH16" s="7">
        <f>'AS400'!FD16</f>
        <v>0</v>
      </c>
      <c r="FI16" s="7">
        <f>'AS400'!FE16</f>
        <v>0</v>
      </c>
      <c r="FJ16" s="7">
        <f>'AS400'!FF16</f>
        <v>0</v>
      </c>
      <c r="FK16" s="7">
        <f>'AS400'!FG16</f>
        <v>0</v>
      </c>
      <c r="FL16" s="7">
        <f>'AS400'!FH16</f>
        <v>0</v>
      </c>
      <c r="FM16" s="7">
        <f>'AS400'!FI16</f>
        <v>1</v>
      </c>
      <c r="FN16" s="7">
        <f>'AS400'!FJ16</f>
        <v>1</v>
      </c>
      <c r="FO16" s="7">
        <f>'AS400'!FO16</f>
        <v>0</v>
      </c>
      <c r="FP16" s="7">
        <f>'AS400'!FP16</f>
        <v>4</v>
      </c>
      <c r="FQ16" s="7">
        <f>'AS400'!FQ16</f>
        <v>1</v>
      </c>
      <c r="FR16" s="7">
        <f>'AS400'!FR16</f>
        <v>1</v>
      </c>
      <c r="FS16" s="13">
        <f>'AS400'!FO16</f>
        <v>0</v>
      </c>
    </row>
    <row r="17" spans="1:175">
      <c r="A17" s="7">
        <f>'AS400'!A17</f>
        <v>11</v>
      </c>
      <c r="B17" s="7">
        <f>'AS400'!B17</f>
        <v>20190301</v>
      </c>
      <c r="C17" s="7">
        <f>'AS400'!C17</f>
        <v>0</v>
      </c>
      <c r="D17" s="7" t="str">
        <f>'AS400'!D17</f>
        <v>N</v>
      </c>
      <c r="E17" s="7" t="str">
        <f>'AS400'!E17</f>
        <v>N</v>
      </c>
      <c r="F17" s="7" t="str">
        <f>'AS400'!F17</f>
        <v>Y</v>
      </c>
      <c r="G17" s="7">
        <f>'AS400'!G17</f>
        <v>0</v>
      </c>
      <c r="H17" s="14"/>
      <c r="I17" s="7" t="str">
        <f>'AS400'!I17</f>
        <v>RSA</v>
      </c>
      <c r="J17" s="7" t="str">
        <f>'AS400'!J17</f>
        <v>METR</v>
      </c>
      <c r="K17" s="7" t="str">
        <f>'AS400'!K17</f>
        <v>N</v>
      </c>
      <c r="L17" s="7">
        <f>'AS400'!L17</f>
        <v>4</v>
      </c>
      <c r="M17" s="8">
        <f>'AS400'!M17</f>
        <v>1</v>
      </c>
      <c r="N17" s="7">
        <f>'AS400'!N17</f>
        <v>1</v>
      </c>
      <c r="O17" s="7" t="str">
        <f>'AS400'!O17</f>
        <v>MFMM</v>
      </c>
      <c r="P17" s="7">
        <f>'AS400'!P17</f>
        <v>100</v>
      </c>
      <c r="Q17" s="7">
        <f>'AS400'!Q17</f>
        <v>20180301</v>
      </c>
      <c r="R17" s="7">
        <f>'AS400'!R17</f>
        <v>20180301</v>
      </c>
      <c r="S17" s="7" t="str">
        <f>'AS400'!S17</f>
        <v>M</v>
      </c>
      <c r="T17" s="7" t="str">
        <f>'AS400'!T17</f>
        <v>MK</v>
      </c>
      <c r="U17" s="7">
        <f>'AS400'!U17</f>
        <v>20190301</v>
      </c>
      <c r="V17" s="7">
        <f>'AS400'!V17</f>
        <v>6</v>
      </c>
      <c r="W17" s="7">
        <f>'AS400'!W17</f>
        <v>6</v>
      </c>
      <c r="X17" s="7" t="str">
        <f>'AS400'!X17</f>
        <v>MFIX</v>
      </c>
      <c r="Y17" s="7">
        <f>'AS400'!Y17</f>
        <v>0</v>
      </c>
      <c r="Z17" s="7" t="str">
        <f>'AS400'!Z17</f>
        <v>STLV</v>
      </c>
      <c r="AA17" s="7">
        <f>'AS400'!AA17</f>
        <v>818</v>
      </c>
      <c r="AB17" s="7">
        <f>'AS400'!AB17</f>
        <v>0</v>
      </c>
      <c r="AC17" s="7">
        <f>'AS400'!AC17</f>
        <v>12</v>
      </c>
      <c r="AD17" s="7">
        <f>'AS400'!AD17</f>
        <v>20180201</v>
      </c>
      <c r="AE17" s="7">
        <f>'AS400'!AE17</f>
        <v>0</v>
      </c>
      <c r="AF17" s="7">
        <f>'AS400'!AF17</f>
        <v>60000</v>
      </c>
      <c r="AG17" s="7">
        <f>'AS400'!AG17</f>
        <v>124</v>
      </c>
      <c r="AI17" s="7">
        <f>'AS400'!AH17</f>
        <v>37</v>
      </c>
      <c r="AJ17" s="7">
        <f>'AS400'!AI17</f>
        <v>0</v>
      </c>
      <c r="AK17" s="7">
        <f>'AS400'!AJ17</f>
        <v>0</v>
      </c>
      <c r="AL17" s="7">
        <f>'AS400'!AK17</f>
        <v>0</v>
      </c>
      <c r="AM17" s="7">
        <f>'AS400'!AL17</f>
        <v>0</v>
      </c>
      <c r="AN17" s="7">
        <f>'AS400'!AM17</f>
        <v>0</v>
      </c>
      <c r="AO17" s="7">
        <f>'AS400'!AN17</f>
        <v>0</v>
      </c>
      <c r="AP17" s="7">
        <f>'AS400'!AO17</f>
        <v>0</v>
      </c>
      <c r="AQ17" s="7">
        <f>'AS400'!AP17</f>
        <v>0</v>
      </c>
      <c r="AR17" s="7">
        <f>'AS400'!AQ17</f>
        <v>0</v>
      </c>
      <c r="AS17" s="7">
        <f>'AS400'!AR17</f>
        <v>0</v>
      </c>
      <c r="AT17" s="7">
        <f>'AS400'!AS17</f>
        <v>0</v>
      </c>
      <c r="AU17" s="7">
        <f>'AS400'!AT17</f>
        <v>0</v>
      </c>
      <c r="AV17" s="7">
        <f>'AS400'!AU17</f>
        <v>0</v>
      </c>
      <c r="AW17" s="7">
        <f>'AS400'!AV17</f>
        <v>0</v>
      </c>
      <c r="AX17" s="7">
        <f>'AS400'!AW17</f>
        <v>0</v>
      </c>
      <c r="AY17" s="7">
        <f>'AS400'!AX17</f>
        <v>0</v>
      </c>
      <c r="AZ17" s="8">
        <f>'AS400'!AY17</f>
        <v>1</v>
      </c>
      <c r="BA17" s="7">
        <f>'AS400'!AZ17</f>
        <v>2</v>
      </c>
      <c r="BB17" s="7" t="str">
        <f>'AS400'!BA17</f>
        <v>PURO</v>
      </c>
      <c r="BC17" s="7">
        <f>'AS400'!BB17</f>
        <v>100</v>
      </c>
      <c r="BD17" s="7">
        <f>'AS400'!BC17</f>
        <v>20180301</v>
      </c>
      <c r="BE17" s="7">
        <f>'AS400'!BD17</f>
        <v>20180301</v>
      </c>
      <c r="BF17" s="7" t="str">
        <f>'AS400'!BE17</f>
        <v>S</v>
      </c>
      <c r="BG17" s="7" t="str">
        <f>'AS400'!BF17</f>
        <v>ME</v>
      </c>
      <c r="BH17" s="7">
        <f>'AS400'!BG17</f>
        <v>20180301</v>
      </c>
      <c r="BI17" s="7">
        <f>'AS400'!BH17</f>
        <v>0</v>
      </c>
      <c r="BJ17" s="7">
        <f>'AS400'!BI17</f>
        <v>0</v>
      </c>
      <c r="BK17" s="7">
        <f>'AS400'!BJ17</f>
        <v>0</v>
      </c>
      <c r="BL17" s="7">
        <f>'AS400'!BK17</f>
        <v>0</v>
      </c>
      <c r="BM17" s="7" t="str">
        <f>'AS400'!BL17</f>
        <v>STLV</v>
      </c>
      <c r="BN17" s="7">
        <f>'AS400'!BM17</f>
        <v>818</v>
      </c>
      <c r="BO17" s="7">
        <f>'AS400'!BN17</f>
        <v>0</v>
      </c>
      <c r="BP17" s="7">
        <f>'AS400'!BO17</f>
        <v>12</v>
      </c>
      <c r="BQ17" s="7">
        <f>'AS400'!BP17</f>
        <v>20180201</v>
      </c>
      <c r="BR17" s="7">
        <f>'AS400'!BQ17</f>
        <v>0</v>
      </c>
      <c r="BS17" s="7">
        <f>'AS400'!BR17</f>
        <v>0</v>
      </c>
      <c r="BT17" s="7">
        <f>'AS400'!BS17</f>
        <v>25</v>
      </c>
      <c r="BV17" s="7">
        <f>'AS400'!BT17</f>
        <v>37</v>
      </c>
      <c r="BW17" s="7">
        <f>'AS400'!BU17</f>
        <v>0</v>
      </c>
      <c r="BX17" s="7">
        <f>'AS400'!BV17</f>
        <v>0</v>
      </c>
      <c r="BY17" s="7">
        <f>'AS400'!BW17</f>
        <v>0</v>
      </c>
      <c r="BZ17" s="7">
        <f>'AS400'!BX17</f>
        <v>0</v>
      </c>
      <c r="CA17" s="7">
        <f>'AS400'!BY17</f>
        <v>0</v>
      </c>
      <c r="CB17" s="7">
        <f>'AS400'!BZ17</f>
        <v>0</v>
      </c>
      <c r="CC17" s="7">
        <f>'AS400'!CA17</f>
        <v>0</v>
      </c>
      <c r="CD17" s="7">
        <f>'AS400'!CB17</f>
        <v>0</v>
      </c>
      <c r="CE17" s="7">
        <f>'AS400'!CC17</f>
        <v>0</v>
      </c>
      <c r="CF17" s="7">
        <f>'AS400'!CD17</f>
        <v>0</v>
      </c>
      <c r="CG17" s="7">
        <f>'AS400'!CE17</f>
        <v>0</v>
      </c>
      <c r="CH17" s="7">
        <f>'AS400'!CF17</f>
        <v>0</v>
      </c>
      <c r="CI17" s="7">
        <f>'AS400'!CG17</f>
        <v>0</v>
      </c>
      <c r="CJ17" s="7">
        <f>'AS400'!CH17</f>
        <v>0</v>
      </c>
      <c r="CK17" s="7">
        <f>'AS400'!CI17</f>
        <v>0</v>
      </c>
      <c r="CL17" s="7">
        <f>'AS400'!CJ17</f>
        <v>0</v>
      </c>
      <c r="CM17" s="8">
        <f>'AS400'!CK17</f>
        <v>1</v>
      </c>
      <c r="CN17" s="7">
        <f>'AS400'!CL17</f>
        <v>3</v>
      </c>
      <c r="CO17" s="7" t="str">
        <f>'AS400'!CM17</f>
        <v>PUDS</v>
      </c>
      <c r="CP17" s="7">
        <f>'AS400'!CN17</f>
        <v>100</v>
      </c>
      <c r="CQ17" s="7">
        <f>'AS400'!CO17</f>
        <v>20180301</v>
      </c>
      <c r="CR17" s="7">
        <f>'AS400'!CP17</f>
        <v>20180301</v>
      </c>
      <c r="CS17" s="7" t="str">
        <f>'AS400'!CQ17</f>
        <v>S</v>
      </c>
      <c r="CT17" s="7" t="str">
        <f>'AS400'!CR17</f>
        <v>MT</v>
      </c>
      <c r="CU17" s="7">
        <f>'AS400'!CS17</f>
        <v>20180301</v>
      </c>
      <c r="CV17" s="7">
        <f>'AS400'!CT17</f>
        <v>0</v>
      </c>
      <c r="CW17" s="7">
        <f>'AS400'!CU17</f>
        <v>0</v>
      </c>
      <c r="CX17" s="7">
        <f>'AS400'!CV17</f>
        <v>0</v>
      </c>
      <c r="CY17" s="7">
        <f>'AS400'!CW17</f>
        <v>0</v>
      </c>
      <c r="CZ17" s="7" t="str">
        <f>'AS400'!CX17</f>
        <v>STLV</v>
      </c>
      <c r="DA17" s="7">
        <f>'AS400'!CY17</f>
        <v>818</v>
      </c>
      <c r="DB17" s="7">
        <f>'AS400'!CZ17</f>
        <v>0</v>
      </c>
      <c r="DC17" s="7">
        <f>'AS400'!DA17</f>
        <v>12</v>
      </c>
      <c r="DD17" s="7">
        <f>'AS400'!DB17</f>
        <v>20180201</v>
      </c>
      <c r="DE17" s="7">
        <f>'AS400'!DC17</f>
        <v>0</v>
      </c>
      <c r="DF17" s="7">
        <f>'AS400'!DD17</f>
        <v>0</v>
      </c>
      <c r="DG17" s="7">
        <f>'AS400'!DE17</f>
        <v>12</v>
      </c>
      <c r="DI17" s="7">
        <f>'AS400'!DF17</f>
        <v>37</v>
      </c>
      <c r="DJ17" s="7">
        <f>'AS400'!DG17</f>
        <v>0</v>
      </c>
      <c r="DK17" s="7">
        <f>'AS400'!DH17</f>
        <v>0</v>
      </c>
      <c r="DL17" s="7">
        <f>'AS400'!DI17</f>
        <v>0</v>
      </c>
      <c r="DM17" s="7">
        <f>'AS400'!DJ17</f>
        <v>0</v>
      </c>
      <c r="DN17" s="7">
        <f>'AS400'!DK17</f>
        <v>0</v>
      </c>
      <c r="DO17" s="7">
        <f>'AS400'!DL17</f>
        <v>0</v>
      </c>
      <c r="DP17" s="7">
        <f>'AS400'!DM17</f>
        <v>0</v>
      </c>
      <c r="DQ17" s="7">
        <f>'AS400'!DN17</f>
        <v>0</v>
      </c>
      <c r="DR17" s="7">
        <f>'AS400'!DO17</f>
        <v>0</v>
      </c>
      <c r="DS17" s="7">
        <f>'AS400'!DP17</f>
        <v>0</v>
      </c>
      <c r="DT17" s="7">
        <f>'AS400'!DQ17</f>
        <v>0</v>
      </c>
      <c r="DU17" s="7">
        <f>'AS400'!DR17</f>
        <v>0</v>
      </c>
      <c r="DV17" s="7">
        <f>'AS400'!DS17</f>
        <v>0</v>
      </c>
      <c r="DW17" s="7">
        <f>'AS400'!DT17</f>
        <v>0</v>
      </c>
      <c r="DX17" s="7">
        <f>'AS400'!DU17</f>
        <v>0</v>
      </c>
      <c r="DY17" s="7">
        <f>'AS400'!DV17</f>
        <v>0</v>
      </c>
      <c r="DZ17" s="8">
        <f>'AS400'!DW17</f>
        <v>1</v>
      </c>
      <c r="EA17" s="7">
        <f>'AS400'!DX17</f>
        <v>4</v>
      </c>
      <c r="EB17" s="7">
        <f>'AS400'!DY17</f>
        <v>0</v>
      </c>
      <c r="EC17" s="7">
        <f>'AS400'!DZ17</f>
        <v>100</v>
      </c>
      <c r="ED17" s="7">
        <f>'AS400'!EA17</f>
        <v>20180301</v>
      </c>
      <c r="EE17" s="7">
        <f>'AS400'!EB17</f>
        <v>20180301</v>
      </c>
      <c r="EF17" s="7" t="str">
        <f>'AS400'!EC17</f>
        <v>S</v>
      </c>
      <c r="EG17" s="7" t="str">
        <f>'AS400'!ED17</f>
        <v>MS</v>
      </c>
      <c r="EH17" s="7">
        <f>'AS400'!EE17</f>
        <v>20180301</v>
      </c>
      <c r="EI17" s="7">
        <f>'AS400'!EF17</f>
        <v>0</v>
      </c>
      <c r="EJ17" s="7">
        <f>'AS400'!EG17</f>
        <v>0</v>
      </c>
      <c r="EK17" s="7">
        <f>'AS400'!EH17</f>
        <v>0</v>
      </c>
      <c r="EL17" s="7">
        <f>'AS400'!EI17</f>
        <v>0</v>
      </c>
      <c r="EM17" s="7" t="str">
        <f>'AS400'!EJ17</f>
        <v>STLV</v>
      </c>
      <c r="EN17" s="7">
        <f>'AS400'!EK17</f>
        <v>818</v>
      </c>
      <c r="EO17" s="7">
        <f>'AS400'!EL17</f>
        <v>0</v>
      </c>
      <c r="EP17" s="7">
        <f>'AS400'!EM17</f>
        <v>12</v>
      </c>
      <c r="EQ17" s="7">
        <f>'AS400'!EN17</f>
        <v>20180201</v>
      </c>
      <c r="ER17" s="7">
        <f>'AS400'!EO17</f>
        <v>0</v>
      </c>
      <c r="ES17" s="7">
        <f>'AS400'!EP17</f>
        <v>0</v>
      </c>
      <c r="ET17" s="7">
        <f>'AS400'!EQ17</f>
        <v>0</v>
      </c>
      <c r="EV17" s="7">
        <f>'AS400'!ER17</f>
        <v>0</v>
      </c>
      <c r="EW17" s="7">
        <f>'AS400'!ES17</f>
        <v>0</v>
      </c>
      <c r="EX17" s="7">
        <f>'AS400'!ET17</f>
        <v>0</v>
      </c>
      <c r="EY17" s="7">
        <f>'AS400'!EU17</f>
        <v>0</v>
      </c>
      <c r="EZ17" s="7">
        <f>'AS400'!EV17</f>
        <v>0</v>
      </c>
      <c r="FA17" s="7">
        <f>'AS400'!EW17</f>
        <v>0</v>
      </c>
      <c r="FB17" s="7">
        <f>'AS400'!EX17</f>
        <v>0</v>
      </c>
      <c r="FC17" s="7">
        <f>'AS400'!EY17</f>
        <v>0</v>
      </c>
      <c r="FD17" s="7">
        <f>'AS400'!EZ17</f>
        <v>0</v>
      </c>
      <c r="FE17" s="7">
        <f>'AS400'!FA17</f>
        <v>0</v>
      </c>
      <c r="FF17" s="7">
        <f>'AS400'!FB17</f>
        <v>0</v>
      </c>
      <c r="FG17" s="7">
        <f>'AS400'!FC17</f>
        <v>0</v>
      </c>
      <c r="FH17" s="7">
        <f>'AS400'!FD17</f>
        <v>0</v>
      </c>
      <c r="FI17" s="7">
        <f>'AS400'!FE17</f>
        <v>0</v>
      </c>
      <c r="FJ17" s="7">
        <f>'AS400'!FF17</f>
        <v>0</v>
      </c>
      <c r="FK17" s="7">
        <f>'AS400'!FG17</f>
        <v>0</v>
      </c>
      <c r="FL17" s="7">
        <f>'AS400'!FH17</f>
        <v>0</v>
      </c>
      <c r="FM17" s="7">
        <f>'AS400'!FI17</f>
        <v>1</v>
      </c>
      <c r="FN17" s="7">
        <f>'AS400'!FJ17</f>
        <v>1</v>
      </c>
      <c r="FO17" s="7">
        <f>'AS400'!FO17</f>
        <v>0</v>
      </c>
      <c r="FP17" s="7">
        <f>'AS400'!FP17</f>
        <v>4</v>
      </c>
      <c r="FQ17" s="7">
        <f>'AS400'!FQ17</f>
        <v>1</v>
      </c>
      <c r="FR17" s="7">
        <f>'AS400'!FR17</f>
        <v>1</v>
      </c>
      <c r="FS17" s="13">
        <f>'AS400'!FO17</f>
        <v>0</v>
      </c>
    </row>
    <row r="18" spans="1:175">
      <c r="A18" s="7">
        <f>'AS400'!A18</f>
        <v>12</v>
      </c>
      <c r="B18" s="7">
        <f>'AS400'!B18</f>
        <v>20190301</v>
      </c>
      <c r="C18" s="7">
        <f>'AS400'!C18</f>
        <v>0</v>
      </c>
      <c r="D18" s="7" t="str">
        <f>'AS400'!D18</f>
        <v>N</v>
      </c>
      <c r="E18" s="7" t="str">
        <f>'AS400'!E18</f>
        <v>N</v>
      </c>
      <c r="F18" s="7" t="str">
        <f>'AS400'!F18</f>
        <v>Y</v>
      </c>
      <c r="G18" s="7">
        <f>'AS400'!G18</f>
        <v>0</v>
      </c>
      <c r="H18" s="14"/>
      <c r="I18" s="7" t="str">
        <f>'AS400'!I18</f>
        <v>RSA</v>
      </c>
      <c r="J18" s="7" t="str">
        <f>'AS400'!J18</f>
        <v>METR</v>
      </c>
      <c r="K18" s="7" t="str">
        <f>'AS400'!K18</f>
        <v>N</v>
      </c>
      <c r="L18" s="7">
        <f>'AS400'!L18</f>
        <v>4</v>
      </c>
      <c r="M18" s="8">
        <f>'AS400'!M18</f>
        <v>1</v>
      </c>
      <c r="N18" s="7">
        <f>'AS400'!N18</f>
        <v>1</v>
      </c>
      <c r="O18" s="7" t="str">
        <f>'AS400'!O18</f>
        <v>MFMM</v>
      </c>
      <c r="P18" s="7">
        <f>'AS400'!P18</f>
        <v>100</v>
      </c>
      <c r="Q18" s="7">
        <f>'AS400'!Q18</f>
        <v>20180301</v>
      </c>
      <c r="R18" s="7">
        <f>'AS400'!R18</f>
        <v>20180301</v>
      </c>
      <c r="S18" s="7" t="str">
        <f>'AS400'!S18</f>
        <v>M</v>
      </c>
      <c r="T18" s="7" t="str">
        <f>'AS400'!T18</f>
        <v>MK</v>
      </c>
      <c r="U18" s="7">
        <f>'AS400'!U18</f>
        <v>20190301</v>
      </c>
      <c r="V18" s="7">
        <f>'AS400'!V18</f>
        <v>6</v>
      </c>
      <c r="W18" s="7">
        <f>'AS400'!W18</f>
        <v>6</v>
      </c>
      <c r="X18" s="7" t="str">
        <f>'AS400'!X18</f>
        <v>MFIX</v>
      </c>
      <c r="Y18" s="7">
        <f>'AS400'!Y18</f>
        <v>0</v>
      </c>
      <c r="Z18" s="7" t="str">
        <f>'AS400'!Z18</f>
        <v>STLV</v>
      </c>
      <c r="AA18" s="7">
        <f>'AS400'!AA18</f>
        <v>818</v>
      </c>
      <c r="AB18" s="7">
        <f>'AS400'!AB18</f>
        <v>0</v>
      </c>
      <c r="AC18" s="7">
        <f>'AS400'!AC18</f>
        <v>12</v>
      </c>
      <c r="AD18" s="7">
        <f>'AS400'!AD18</f>
        <v>20180201</v>
      </c>
      <c r="AE18" s="7">
        <f>'AS400'!AE18</f>
        <v>0</v>
      </c>
      <c r="AF18" s="7">
        <f>'AS400'!AF18</f>
        <v>5000</v>
      </c>
      <c r="AG18" s="7">
        <f>'AS400'!AG18</f>
        <v>32</v>
      </c>
      <c r="AI18" s="7">
        <f>'AS400'!AH18</f>
        <v>30</v>
      </c>
      <c r="AJ18" s="7">
        <f>'AS400'!AI18</f>
        <v>0</v>
      </c>
      <c r="AK18" s="7">
        <f>'AS400'!AJ18</f>
        <v>0</v>
      </c>
      <c r="AL18" s="7">
        <f>'AS400'!AK18</f>
        <v>0</v>
      </c>
      <c r="AM18" s="7">
        <f>'AS400'!AL18</f>
        <v>0</v>
      </c>
      <c r="AN18" s="7">
        <f>'AS400'!AM18</f>
        <v>0</v>
      </c>
      <c r="AO18" s="7">
        <f>'AS400'!AN18</f>
        <v>0</v>
      </c>
      <c r="AP18" s="7">
        <f>'AS400'!AO18</f>
        <v>0</v>
      </c>
      <c r="AQ18" s="7">
        <f>'AS400'!AP18</f>
        <v>0</v>
      </c>
      <c r="AR18" s="7">
        <f>'AS400'!AQ18</f>
        <v>0</v>
      </c>
      <c r="AS18" s="7">
        <f>'AS400'!AR18</f>
        <v>0</v>
      </c>
      <c r="AT18" s="7">
        <f>'AS400'!AS18</f>
        <v>0</v>
      </c>
      <c r="AU18" s="7">
        <f>'AS400'!AT18</f>
        <v>0</v>
      </c>
      <c r="AV18" s="7">
        <f>'AS400'!AU18</f>
        <v>0</v>
      </c>
      <c r="AW18" s="7">
        <f>'AS400'!AV18</f>
        <v>0</v>
      </c>
      <c r="AX18" s="7">
        <f>'AS400'!AW18</f>
        <v>0</v>
      </c>
      <c r="AY18" s="7">
        <f>'AS400'!AX18</f>
        <v>0</v>
      </c>
      <c r="AZ18" s="8">
        <f>'AS400'!AY18</f>
        <v>1</v>
      </c>
      <c r="BA18" s="7">
        <f>'AS400'!AZ18</f>
        <v>2</v>
      </c>
      <c r="BB18" s="7" t="str">
        <f>'AS400'!BA18</f>
        <v>PURO</v>
      </c>
      <c r="BC18" s="7">
        <f>'AS400'!BB18</f>
        <v>100</v>
      </c>
      <c r="BD18" s="7">
        <f>'AS400'!BC18</f>
        <v>20180301</v>
      </c>
      <c r="BE18" s="7">
        <f>'AS400'!BD18</f>
        <v>20180301</v>
      </c>
      <c r="BF18" s="7" t="str">
        <f>'AS400'!BE18</f>
        <v>S</v>
      </c>
      <c r="BG18" s="7" t="str">
        <f>'AS400'!BF18</f>
        <v>ME</v>
      </c>
      <c r="BH18" s="7">
        <f>'AS400'!BG18</f>
        <v>20180301</v>
      </c>
      <c r="BI18" s="7">
        <f>'AS400'!BH18</f>
        <v>0</v>
      </c>
      <c r="BJ18" s="7">
        <f>'AS400'!BI18</f>
        <v>0</v>
      </c>
      <c r="BK18" s="7">
        <f>'AS400'!BJ18</f>
        <v>0</v>
      </c>
      <c r="BL18" s="7">
        <f>'AS400'!BK18</f>
        <v>0</v>
      </c>
      <c r="BM18" s="7" t="str">
        <f>'AS400'!BL18</f>
        <v>STLV</v>
      </c>
      <c r="BN18" s="7">
        <f>'AS400'!BM18</f>
        <v>818</v>
      </c>
      <c r="BO18" s="7">
        <f>'AS400'!BN18</f>
        <v>0</v>
      </c>
      <c r="BP18" s="7">
        <f>'AS400'!BO18</f>
        <v>12</v>
      </c>
      <c r="BQ18" s="7">
        <f>'AS400'!BP18</f>
        <v>20180201</v>
      </c>
      <c r="BR18" s="7">
        <f>'AS400'!BQ18</f>
        <v>0</v>
      </c>
      <c r="BS18" s="7">
        <f>'AS400'!BR18</f>
        <v>0</v>
      </c>
      <c r="BT18" s="7">
        <f>'AS400'!BS18</f>
        <v>5</v>
      </c>
      <c r="BV18" s="7">
        <f>'AS400'!BT18</f>
        <v>30</v>
      </c>
      <c r="BW18" s="7">
        <f>'AS400'!BU18</f>
        <v>0</v>
      </c>
      <c r="BX18" s="7">
        <f>'AS400'!BV18</f>
        <v>0</v>
      </c>
      <c r="BY18" s="7">
        <f>'AS400'!BW18</f>
        <v>0</v>
      </c>
      <c r="BZ18" s="7">
        <f>'AS400'!BX18</f>
        <v>0</v>
      </c>
      <c r="CA18" s="7">
        <f>'AS400'!BY18</f>
        <v>0</v>
      </c>
      <c r="CB18" s="7">
        <f>'AS400'!BZ18</f>
        <v>0</v>
      </c>
      <c r="CC18" s="7">
        <f>'AS400'!CA18</f>
        <v>0</v>
      </c>
      <c r="CD18" s="7">
        <f>'AS400'!CB18</f>
        <v>0</v>
      </c>
      <c r="CE18" s="7">
        <f>'AS400'!CC18</f>
        <v>0</v>
      </c>
      <c r="CF18" s="7">
        <f>'AS400'!CD18</f>
        <v>0</v>
      </c>
      <c r="CG18" s="7">
        <f>'AS400'!CE18</f>
        <v>0</v>
      </c>
      <c r="CH18" s="7">
        <f>'AS400'!CF18</f>
        <v>0</v>
      </c>
      <c r="CI18" s="7">
        <f>'AS400'!CG18</f>
        <v>0</v>
      </c>
      <c r="CJ18" s="7">
        <f>'AS400'!CH18</f>
        <v>0</v>
      </c>
      <c r="CK18" s="7">
        <f>'AS400'!CI18</f>
        <v>0</v>
      </c>
      <c r="CL18" s="7">
        <f>'AS400'!CJ18</f>
        <v>0</v>
      </c>
      <c r="CM18" s="8">
        <f>'AS400'!CK18</f>
        <v>1</v>
      </c>
      <c r="CN18" s="7">
        <f>'AS400'!CL18</f>
        <v>3</v>
      </c>
      <c r="CO18" s="7" t="str">
        <f>'AS400'!CM18</f>
        <v>PUDS</v>
      </c>
      <c r="CP18" s="7">
        <f>'AS400'!CN18</f>
        <v>100</v>
      </c>
      <c r="CQ18" s="7">
        <f>'AS400'!CO18</f>
        <v>20180301</v>
      </c>
      <c r="CR18" s="7">
        <f>'AS400'!CP18</f>
        <v>20180301</v>
      </c>
      <c r="CS18" s="7" t="str">
        <f>'AS400'!CQ18</f>
        <v>S</v>
      </c>
      <c r="CT18" s="7" t="str">
        <f>'AS400'!CR18</f>
        <v>MT</v>
      </c>
      <c r="CU18" s="7">
        <f>'AS400'!CS18</f>
        <v>20180301</v>
      </c>
      <c r="CV18" s="7">
        <f>'AS400'!CT18</f>
        <v>0</v>
      </c>
      <c r="CW18" s="7">
        <f>'AS400'!CU18</f>
        <v>0</v>
      </c>
      <c r="CX18" s="7">
        <f>'AS400'!CV18</f>
        <v>0</v>
      </c>
      <c r="CY18" s="7">
        <f>'AS400'!CW18</f>
        <v>0</v>
      </c>
      <c r="CZ18" s="7" t="str">
        <f>'AS400'!CX18</f>
        <v>STLV</v>
      </c>
      <c r="DA18" s="7">
        <f>'AS400'!CY18</f>
        <v>818</v>
      </c>
      <c r="DB18" s="7">
        <f>'AS400'!CZ18</f>
        <v>0</v>
      </c>
      <c r="DC18" s="7">
        <f>'AS400'!DA18</f>
        <v>12</v>
      </c>
      <c r="DD18" s="7">
        <f>'AS400'!DB18</f>
        <v>20180201</v>
      </c>
      <c r="DE18" s="7">
        <f>'AS400'!DC18</f>
        <v>0</v>
      </c>
      <c r="DF18" s="7">
        <f>'AS400'!DD18</f>
        <v>0</v>
      </c>
      <c r="DG18" s="7">
        <f>'AS400'!DE18</f>
        <v>4</v>
      </c>
      <c r="DI18" s="7">
        <f>'AS400'!DF18</f>
        <v>30</v>
      </c>
      <c r="DJ18" s="7">
        <f>'AS400'!DG18</f>
        <v>0</v>
      </c>
      <c r="DK18" s="7">
        <f>'AS400'!DH18</f>
        <v>0</v>
      </c>
      <c r="DL18" s="7">
        <f>'AS400'!DI18</f>
        <v>0</v>
      </c>
      <c r="DM18" s="7">
        <f>'AS400'!DJ18</f>
        <v>0</v>
      </c>
      <c r="DN18" s="7">
        <f>'AS400'!DK18</f>
        <v>0</v>
      </c>
      <c r="DO18" s="7">
        <f>'AS400'!DL18</f>
        <v>0</v>
      </c>
      <c r="DP18" s="7">
        <f>'AS400'!DM18</f>
        <v>0</v>
      </c>
      <c r="DQ18" s="7">
        <f>'AS400'!DN18</f>
        <v>0</v>
      </c>
      <c r="DR18" s="7">
        <f>'AS400'!DO18</f>
        <v>0</v>
      </c>
      <c r="DS18" s="7">
        <f>'AS400'!DP18</f>
        <v>0</v>
      </c>
      <c r="DT18" s="7">
        <f>'AS400'!DQ18</f>
        <v>0</v>
      </c>
      <c r="DU18" s="7">
        <f>'AS400'!DR18</f>
        <v>0</v>
      </c>
      <c r="DV18" s="7">
        <f>'AS400'!DS18</f>
        <v>0</v>
      </c>
      <c r="DW18" s="7">
        <f>'AS400'!DT18</f>
        <v>0</v>
      </c>
      <c r="DX18" s="7">
        <f>'AS400'!DU18</f>
        <v>0</v>
      </c>
      <c r="DY18" s="7">
        <f>'AS400'!DV18</f>
        <v>0</v>
      </c>
      <c r="DZ18" s="8">
        <f>'AS400'!DW18</f>
        <v>1</v>
      </c>
      <c r="EA18" s="7">
        <f>'AS400'!DX18</f>
        <v>4</v>
      </c>
      <c r="EB18" s="7">
        <f>'AS400'!DY18</f>
        <v>0</v>
      </c>
      <c r="EC18" s="7">
        <f>'AS400'!DZ18</f>
        <v>100</v>
      </c>
      <c r="ED18" s="7">
        <f>'AS400'!EA18</f>
        <v>20180301</v>
      </c>
      <c r="EE18" s="7">
        <f>'AS400'!EB18</f>
        <v>20180301</v>
      </c>
      <c r="EF18" s="7" t="str">
        <f>'AS400'!EC18</f>
        <v>S</v>
      </c>
      <c r="EG18" s="7" t="str">
        <f>'AS400'!ED18</f>
        <v>MS</v>
      </c>
      <c r="EH18" s="7">
        <f>'AS400'!EE18</f>
        <v>20180301</v>
      </c>
      <c r="EI18" s="7">
        <f>'AS400'!EF18</f>
        <v>0</v>
      </c>
      <c r="EJ18" s="7">
        <f>'AS400'!EG18</f>
        <v>0</v>
      </c>
      <c r="EK18" s="7">
        <f>'AS400'!EH18</f>
        <v>0</v>
      </c>
      <c r="EL18" s="7">
        <f>'AS400'!EI18</f>
        <v>0</v>
      </c>
      <c r="EM18" s="7" t="str">
        <f>'AS400'!EJ18</f>
        <v>STLV</v>
      </c>
      <c r="EN18" s="7">
        <f>'AS400'!EK18</f>
        <v>818</v>
      </c>
      <c r="EO18" s="7">
        <f>'AS400'!EL18</f>
        <v>0</v>
      </c>
      <c r="EP18" s="7">
        <f>'AS400'!EM18</f>
        <v>12</v>
      </c>
      <c r="EQ18" s="7">
        <f>'AS400'!EN18</f>
        <v>20180201</v>
      </c>
      <c r="ER18" s="7">
        <f>'AS400'!EO18</f>
        <v>0</v>
      </c>
      <c r="ES18" s="7">
        <f>'AS400'!EP18</f>
        <v>0</v>
      </c>
      <c r="ET18" s="7">
        <f>'AS400'!EQ18</f>
        <v>0</v>
      </c>
      <c r="EV18" s="7">
        <f>'AS400'!ER18</f>
        <v>0</v>
      </c>
      <c r="EW18" s="7">
        <f>'AS400'!ES18</f>
        <v>0</v>
      </c>
      <c r="EX18" s="7">
        <f>'AS400'!ET18</f>
        <v>0</v>
      </c>
      <c r="EY18" s="7">
        <f>'AS400'!EU18</f>
        <v>0</v>
      </c>
      <c r="EZ18" s="7">
        <f>'AS400'!EV18</f>
        <v>0</v>
      </c>
      <c r="FA18" s="7">
        <f>'AS400'!EW18</f>
        <v>0</v>
      </c>
      <c r="FB18" s="7">
        <f>'AS400'!EX18</f>
        <v>0</v>
      </c>
      <c r="FC18" s="7">
        <f>'AS400'!EY18</f>
        <v>0</v>
      </c>
      <c r="FD18" s="7">
        <f>'AS400'!EZ18</f>
        <v>0</v>
      </c>
      <c r="FE18" s="7">
        <f>'AS400'!FA18</f>
        <v>0</v>
      </c>
      <c r="FF18" s="7">
        <f>'AS400'!FB18</f>
        <v>0</v>
      </c>
      <c r="FG18" s="7">
        <f>'AS400'!FC18</f>
        <v>0</v>
      </c>
      <c r="FH18" s="7">
        <f>'AS400'!FD18</f>
        <v>0</v>
      </c>
      <c r="FI18" s="7">
        <f>'AS400'!FE18</f>
        <v>0</v>
      </c>
      <c r="FJ18" s="7">
        <f>'AS400'!FF18</f>
        <v>0</v>
      </c>
      <c r="FK18" s="7">
        <f>'AS400'!FG18</f>
        <v>0</v>
      </c>
      <c r="FL18" s="7">
        <f>'AS400'!FH18</f>
        <v>0</v>
      </c>
      <c r="FM18" s="7">
        <f>'AS400'!FI18</f>
        <v>1</v>
      </c>
      <c r="FN18" s="7">
        <f>'AS400'!FJ18</f>
        <v>1</v>
      </c>
      <c r="FO18" s="7">
        <f>'AS400'!FO18</f>
        <v>0</v>
      </c>
      <c r="FP18" s="7">
        <f>'AS400'!FP18</f>
        <v>4</v>
      </c>
      <c r="FQ18" s="7">
        <f>'AS400'!FQ18</f>
        <v>1</v>
      </c>
      <c r="FR18" s="7">
        <f>'AS400'!FR18</f>
        <v>1</v>
      </c>
      <c r="FS18" s="13">
        <f>'AS400'!FO18</f>
        <v>0</v>
      </c>
    </row>
    <row r="19" spans="1:175">
      <c r="A19" s="7">
        <f>'AS400'!A19</f>
        <v>13</v>
      </c>
      <c r="B19" s="7">
        <f>'AS400'!B19</f>
        <v>20190301</v>
      </c>
      <c r="C19" s="7">
        <f>'AS400'!C19</f>
        <v>0</v>
      </c>
      <c r="D19" s="7" t="str">
        <f>'AS400'!D19</f>
        <v>N</v>
      </c>
      <c r="E19" s="7" t="str">
        <f>'AS400'!E19</f>
        <v>N</v>
      </c>
      <c r="F19" s="7" t="str">
        <f>'AS400'!F19</f>
        <v>Y</v>
      </c>
      <c r="G19" s="7">
        <f>'AS400'!G19</f>
        <v>0</v>
      </c>
      <c r="H19" s="14"/>
      <c r="I19" s="7" t="str">
        <f>'AS400'!I19</f>
        <v>RSA</v>
      </c>
      <c r="J19" s="7" t="str">
        <f>'AS400'!J19</f>
        <v>METR</v>
      </c>
      <c r="K19" s="7" t="str">
        <f>'AS400'!K19</f>
        <v>N</v>
      </c>
      <c r="L19" s="7">
        <f>'AS400'!L19</f>
        <v>4</v>
      </c>
      <c r="M19" s="8">
        <f>'AS400'!M19</f>
        <v>1</v>
      </c>
      <c r="N19" s="7">
        <f>'AS400'!N19</f>
        <v>1</v>
      </c>
      <c r="O19" s="7" t="str">
        <f>'AS400'!O19</f>
        <v>MFMM</v>
      </c>
      <c r="P19" s="7">
        <f>'AS400'!P19</f>
        <v>100</v>
      </c>
      <c r="Q19" s="7">
        <f>'AS400'!Q19</f>
        <v>20180301</v>
      </c>
      <c r="R19" s="7">
        <f>'AS400'!R19</f>
        <v>20180301</v>
      </c>
      <c r="S19" s="7" t="str">
        <f>'AS400'!S19</f>
        <v>M</v>
      </c>
      <c r="T19" s="7" t="str">
        <f>'AS400'!T19</f>
        <v>MK</v>
      </c>
      <c r="U19" s="7">
        <f>'AS400'!U19</f>
        <v>20190301</v>
      </c>
      <c r="V19" s="7">
        <f>'AS400'!V19</f>
        <v>6</v>
      </c>
      <c r="W19" s="7">
        <f>'AS400'!W19</f>
        <v>6</v>
      </c>
      <c r="X19" s="7" t="str">
        <f>'AS400'!X19</f>
        <v>MFIX</v>
      </c>
      <c r="Y19" s="7">
        <f>'AS400'!Y19</f>
        <v>0</v>
      </c>
      <c r="Z19" s="7" t="str">
        <f>'AS400'!Z19</f>
        <v>STLV</v>
      </c>
      <c r="AA19" s="7">
        <f>'AS400'!AA19</f>
        <v>818</v>
      </c>
      <c r="AB19" s="7">
        <f>'AS400'!AB19</f>
        <v>0</v>
      </c>
      <c r="AC19" s="7">
        <f>'AS400'!AC19</f>
        <v>12</v>
      </c>
      <c r="AD19" s="7">
        <f>'AS400'!AD19</f>
        <v>20180201</v>
      </c>
      <c r="AE19" s="7">
        <f>'AS400'!AE19</f>
        <v>0</v>
      </c>
      <c r="AF19" s="7">
        <f>'AS400'!AF19</f>
        <v>10000</v>
      </c>
      <c r="AG19" s="7">
        <f>'AS400'!AG19</f>
        <v>36</v>
      </c>
      <c r="AI19" s="7">
        <f>'AS400'!AH19</f>
        <v>31</v>
      </c>
      <c r="AJ19" s="7">
        <f>'AS400'!AI19</f>
        <v>0</v>
      </c>
      <c r="AK19" s="7">
        <f>'AS400'!AJ19</f>
        <v>0</v>
      </c>
      <c r="AL19" s="7">
        <f>'AS400'!AK19</f>
        <v>0</v>
      </c>
      <c r="AM19" s="7">
        <f>'AS400'!AL19</f>
        <v>0</v>
      </c>
      <c r="AN19" s="7">
        <f>'AS400'!AM19</f>
        <v>0</v>
      </c>
      <c r="AO19" s="7">
        <f>'AS400'!AN19</f>
        <v>0</v>
      </c>
      <c r="AP19" s="7">
        <f>'AS400'!AO19</f>
        <v>0</v>
      </c>
      <c r="AQ19" s="7">
        <f>'AS400'!AP19</f>
        <v>0</v>
      </c>
      <c r="AR19" s="7">
        <f>'AS400'!AQ19</f>
        <v>0</v>
      </c>
      <c r="AS19" s="7">
        <f>'AS400'!AR19</f>
        <v>0</v>
      </c>
      <c r="AT19" s="7">
        <f>'AS400'!AS19</f>
        <v>0</v>
      </c>
      <c r="AU19" s="7">
        <f>'AS400'!AT19</f>
        <v>0</v>
      </c>
      <c r="AV19" s="7">
        <f>'AS400'!AU19</f>
        <v>0</v>
      </c>
      <c r="AW19" s="7">
        <f>'AS400'!AV19</f>
        <v>0</v>
      </c>
      <c r="AX19" s="7">
        <f>'AS400'!AW19</f>
        <v>0</v>
      </c>
      <c r="AY19" s="7">
        <f>'AS400'!AX19</f>
        <v>0</v>
      </c>
      <c r="AZ19" s="8">
        <f>'AS400'!AY19</f>
        <v>1</v>
      </c>
      <c r="BA19" s="7">
        <f>'AS400'!AZ19</f>
        <v>2</v>
      </c>
      <c r="BB19" s="7" t="str">
        <f>'AS400'!BA19</f>
        <v>PURO</v>
      </c>
      <c r="BC19" s="7">
        <f>'AS400'!BB19</f>
        <v>100</v>
      </c>
      <c r="BD19" s="7">
        <f>'AS400'!BC19</f>
        <v>20180301</v>
      </c>
      <c r="BE19" s="7">
        <f>'AS400'!BD19</f>
        <v>20180301</v>
      </c>
      <c r="BF19" s="7" t="str">
        <f>'AS400'!BE19</f>
        <v>S</v>
      </c>
      <c r="BG19" s="7" t="str">
        <f>'AS400'!BF19</f>
        <v>ME</v>
      </c>
      <c r="BH19" s="7">
        <f>'AS400'!BG19</f>
        <v>20180301</v>
      </c>
      <c r="BI19" s="7">
        <f>'AS400'!BH19</f>
        <v>0</v>
      </c>
      <c r="BJ19" s="7">
        <f>'AS400'!BI19</f>
        <v>0</v>
      </c>
      <c r="BK19" s="7">
        <f>'AS400'!BJ19</f>
        <v>0</v>
      </c>
      <c r="BL19" s="7">
        <f>'AS400'!BK19</f>
        <v>0</v>
      </c>
      <c r="BM19" s="7" t="str">
        <f>'AS400'!BL19</f>
        <v>STLV</v>
      </c>
      <c r="BN19" s="7">
        <f>'AS400'!BM19</f>
        <v>818</v>
      </c>
      <c r="BO19" s="7">
        <f>'AS400'!BN19</f>
        <v>0</v>
      </c>
      <c r="BP19" s="7">
        <f>'AS400'!BO19</f>
        <v>12</v>
      </c>
      <c r="BQ19" s="7">
        <f>'AS400'!BP19</f>
        <v>20180201</v>
      </c>
      <c r="BR19" s="7">
        <f>'AS400'!BQ19</f>
        <v>0</v>
      </c>
      <c r="BS19" s="7">
        <f>'AS400'!BR19</f>
        <v>0</v>
      </c>
      <c r="BT19" s="7">
        <f>'AS400'!BS19</f>
        <v>5</v>
      </c>
      <c r="BV19" s="7">
        <f>'AS400'!BT19</f>
        <v>31</v>
      </c>
      <c r="BW19" s="7">
        <f>'AS400'!BU19</f>
        <v>0</v>
      </c>
      <c r="BX19" s="7">
        <f>'AS400'!BV19</f>
        <v>0</v>
      </c>
      <c r="BY19" s="7">
        <f>'AS400'!BW19</f>
        <v>0</v>
      </c>
      <c r="BZ19" s="7">
        <f>'AS400'!BX19</f>
        <v>0</v>
      </c>
      <c r="CA19" s="7">
        <f>'AS400'!BY19</f>
        <v>0</v>
      </c>
      <c r="CB19" s="7">
        <f>'AS400'!BZ19</f>
        <v>0</v>
      </c>
      <c r="CC19" s="7">
        <f>'AS400'!CA19</f>
        <v>0</v>
      </c>
      <c r="CD19" s="7">
        <f>'AS400'!CB19</f>
        <v>0</v>
      </c>
      <c r="CE19" s="7">
        <f>'AS400'!CC19</f>
        <v>0</v>
      </c>
      <c r="CF19" s="7">
        <f>'AS400'!CD19</f>
        <v>0</v>
      </c>
      <c r="CG19" s="7">
        <f>'AS400'!CE19</f>
        <v>0</v>
      </c>
      <c r="CH19" s="7">
        <f>'AS400'!CF19</f>
        <v>0</v>
      </c>
      <c r="CI19" s="7">
        <f>'AS400'!CG19</f>
        <v>0</v>
      </c>
      <c r="CJ19" s="7">
        <f>'AS400'!CH19</f>
        <v>0</v>
      </c>
      <c r="CK19" s="7">
        <f>'AS400'!CI19</f>
        <v>0</v>
      </c>
      <c r="CL19" s="7">
        <f>'AS400'!CJ19</f>
        <v>0</v>
      </c>
      <c r="CM19" s="8">
        <f>'AS400'!CK19</f>
        <v>1</v>
      </c>
      <c r="CN19" s="7">
        <f>'AS400'!CL19</f>
        <v>3</v>
      </c>
      <c r="CO19" s="7" t="str">
        <f>'AS400'!CM19</f>
        <v>PUDS</v>
      </c>
      <c r="CP19" s="7">
        <f>'AS400'!CN19</f>
        <v>100</v>
      </c>
      <c r="CQ19" s="7">
        <f>'AS400'!CO19</f>
        <v>20180301</v>
      </c>
      <c r="CR19" s="7">
        <f>'AS400'!CP19</f>
        <v>20180301</v>
      </c>
      <c r="CS19" s="7" t="str">
        <f>'AS400'!CQ19</f>
        <v>S</v>
      </c>
      <c r="CT19" s="7" t="str">
        <f>'AS400'!CR19</f>
        <v>MT</v>
      </c>
      <c r="CU19" s="7">
        <f>'AS400'!CS19</f>
        <v>20180301</v>
      </c>
      <c r="CV19" s="7">
        <f>'AS400'!CT19</f>
        <v>0</v>
      </c>
      <c r="CW19" s="7">
        <f>'AS400'!CU19</f>
        <v>0</v>
      </c>
      <c r="CX19" s="7">
        <f>'AS400'!CV19</f>
        <v>0</v>
      </c>
      <c r="CY19" s="7">
        <f>'AS400'!CW19</f>
        <v>0</v>
      </c>
      <c r="CZ19" s="7" t="str">
        <f>'AS400'!CX19</f>
        <v>STLV</v>
      </c>
      <c r="DA19" s="7">
        <f>'AS400'!CY19</f>
        <v>818</v>
      </c>
      <c r="DB19" s="7">
        <f>'AS400'!CZ19</f>
        <v>0</v>
      </c>
      <c r="DC19" s="7">
        <f>'AS400'!DA19</f>
        <v>12</v>
      </c>
      <c r="DD19" s="7">
        <f>'AS400'!DB19</f>
        <v>20180201</v>
      </c>
      <c r="DE19" s="7">
        <f>'AS400'!DC19</f>
        <v>0</v>
      </c>
      <c r="DF19" s="7">
        <f>'AS400'!DD19</f>
        <v>0</v>
      </c>
      <c r="DG19" s="7">
        <f>'AS400'!DE19</f>
        <v>5</v>
      </c>
      <c r="DI19" s="7">
        <f>'AS400'!DF19</f>
        <v>31</v>
      </c>
      <c r="DJ19" s="7">
        <f>'AS400'!DG19</f>
        <v>0</v>
      </c>
      <c r="DK19" s="7">
        <f>'AS400'!DH19</f>
        <v>0</v>
      </c>
      <c r="DL19" s="7">
        <f>'AS400'!DI19</f>
        <v>0</v>
      </c>
      <c r="DM19" s="7">
        <f>'AS400'!DJ19</f>
        <v>0</v>
      </c>
      <c r="DN19" s="7">
        <f>'AS400'!DK19</f>
        <v>0</v>
      </c>
      <c r="DO19" s="7">
        <f>'AS400'!DL19</f>
        <v>0</v>
      </c>
      <c r="DP19" s="7">
        <f>'AS400'!DM19</f>
        <v>0</v>
      </c>
      <c r="DQ19" s="7">
        <f>'AS400'!DN19</f>
        <v>0</v>
      </c>
      <c r="DR19" s="7">
        <f>'AS400'!DO19</f>
        <v>0</v>
      </c>
      <c r="DS19" s="7">
        <f>'AS400'!DP19</f>
        <v>0</v>
      </c>
      <c r="DT19" s="7">
        <f>'AS400'!DQ19</f>
        <v>0</v>
      </c>
      <c r="DU19" s="7">
        <f>'AS400'!DR19</f>
        <v>0</v>
      </c>
      <c r="DV19" s="7">
        <f>'AS400'!DS19</f>
        <v>0</v>
      </c>
      <c r="DW19" s="7">
        <f>'AS400'!DT19</f>
        <v>0</v>
      </c>
      <c r="DX19" s="7">
        <f>'AS400'!DU19</f>
        <v>0</v>
      </c>
      <c r="DY19" s="7">
        <f>'AS400'!DV19</f>
        <v>0</v>
      </c>
      <c r="DZ19" s="8">
        <f>'AS400'!DW19</f>
        <v>1</v>
      </c>
      <c r="EA19" s="7">
        <f>'AS400'!DX19</f>
        <v>4</v>
      </c>
      <c r="EB19" s="7">
        <f>'AS400'!DY19</f>
        <v>0</v>
      </c>
      <c r="EC19" s="7">
        <f>'AS400'!DZ19</f>
        <v>100</v>
      </c>
      <c r="ED19" s="7">
        <f>'AS400'!EA19</f>
        <v>20180301</v>
      </c>
      <c r="EE19" s="7">
        <f>'AS400'!EB19</f>
        <v>20180301</v>
      </c>
      <c r="EF19" s="7" t="str">
        <f>'AS400'!EC19</f>
        <v>S</v>
      </c>
      <c r="EG19" s="7" t="str">
        <f>'AS400'!ED19</f>
        <v>MS</v>
      </c>
      <c r="EH19" s="7">
        <f>'AS400'!EE19</f>
        <v>20180301</v>
      </c>
      <c r="EI19" s="7">
        <f>'AS400'!EF19</f>
        <v>0</v>
      </c>
      <c r="EJ19" s="7">
        <f>'AS400'!EG19</f>
        <v>0</v>
      </c>
      <c r="EK19" s="7">
        <f>'AS400'!EH19</f>
        <v>0</v>
      </c>
      <c r="EL19" s="7">
        <f>'AS400'!EI19</f>
        <v>0</v>
      </c>
      <c r="EM19" s="7" t="str">
        <f>'AS400'!EJ19</f>
        <v>STLV</v>
      </c>
      <c r="EN19" s="7">
        <f>'AS400'!EK19</f>
        <v>818</v>
      </c>
      <c r="EO19" s="7">
        <f>'AS400'!EL19</f>
        <v>0</v>
      </c>
      <c r="EP19" s="7">
        <f>'AS400'!EM19</f>
        <v>12</v>
      </c>
      <c r="EQ19" s="7">
        <f>'AS400'!EN19</f>
        <v>20180201</v>
      </c>
      <c r="ER19" s="7">
        <f>'AS400'!EO19</f>
        <v>0</v>
      </c>
      <c r="ES19" s="7">
        <f>'AS400'!EP19</f>
        <v>0</v>
      </c>
      <c r="ET19" s="7">
        <f>'AS400'!EQ19</f>
        <v>0</v>
      </c>
      <c r="EV19" s="7">
        <f>'AS400'!ER19</f>
        <v>0</v>
      </c>
      <c r="EW19" s="7">
        <f>'AS400'!ES19</f>
        <v>0</v>
      </c>
      <c r="EX19" s="7">
        <f>'AS400'!ET19</f>
        <v>0</v>
      </c>
      <c r="EY19" s="7">
        <f>'AS400'!EU19</f>
        <v>0</v>
      </c>
      <c r="EZ19" s="7">
        <f>'AS400'!EV19</f>
        <v>0</v>
      </c>
      <c r="FA19" s="7">
        <f>'AS400'!EW19</f>
        <v>0</v>
      </c>
      <c r="FB19" s="7">
        <f>'AS400'!EX19</f>
        <v>0</v>
      </c>
      <c r="FC19" s="7">
        <f>'AS400'!EY19</f>
        <v>0</v>
      </c>
      <c r="FD19" s="7">
        <f>'AS400'!EZ19</f>
        <v>0</v>
      </c>
      <c r="FE19" s="7">
        <f>'AS400'!FA19</f>
        <v>0</v>
      </c>
      <c r="FF19" s="7">
        <f>'AS400'!FB19</f>
        <v>0</v>
      </c>
      <c r="FG19" s="7">
        <f>'AS400'!FC19</f>
        <v>0</v>
      </c>
      <c r="FH19" s="7">
        <f>'AS400'!FD19</f>
        <v>0</v>
      </c>
      <c r="FI19" s="7">
        <f>'AS400'!FE19</f>
        <v>0</v>
      </c>
      <c r="FJ19" s="7">
        <f>'AS400'!FF19</f>
        <v>0</v>
      </c>
      <c r="FK19" s="7">
        <f>'AS400'!FG19</f>
        <v>0</v>
      </c>
      <c r="FL19" s="7">
        <f>'AS400'!FH19</f>
        <v>0</v>
      </c>
      <c r="FM19" s="7">
        <f>'AS400'!FI19</f>
        <v>1</v>
      </c>
      <c r="FN19" s="7">
        <f>'AS400'!FJ19</f>
        <v>1</v>
      </c>
      <c r="FO19" s="7">
        <f>'AS400'!FO19</f>
        <v>0</v>
      </c>
      <c r="FP19" s="7">
        <f>'AS400'!FP19</f>
        <v>4</v>
      </c>
      <c r="FQ19" s="7">
        <f>'AS400'!FQ19</f>
        <v>1</v>
      </c>
      <c r="FR19" s="7">
        <f>'AS400'!FR19</f>
        <v>1</v>
      </c>
      <c r="FS19" s="13">
        <f>'AS400'!FO19</f>
        <v>0</v>
      </c>
    </row>
    <row r="20" spans="1:175">
      <c r="A20" s="7">
        <f>'AS400'!A20</f>
        <v>14</v>
      </c>
      <c r="B20" s="7">
        <f>'AS400'!B20</f>
        <v>20190301</v>
      </c>
      <c r="C20" s="7">
        <f>'AS400'!C20</f>
        <v>0</v>
      </c>
      <c r="D20" s="7" t="str">
        <f>'AS400'!D20</f>
        <v>N</v>
      </c>
      <c r="E20" s="7" t="str">
        <f>'AS400'!E20</f>
        <v>N</v>
      </c>
      <c r="F20" s="7" t="str">
        <f>'AS400'!F20</f>
        <v>Y</v>
      </c>
      <c r="G20" s="7">
        <f>'AS400'!G20</f>
        <v>0</v>
      </c>
      <c r="H20" s="14"/>
      <c r="I20" s="7" t="str">
        <f>'AS400'!I20</f>
        <v>RSA</v>
      </c>
      <c r="J20" s="7" t="str">
        <f>'AS400'!J20</f>
        <v>METR</v>
      </c>
      <c r="K20" s="7" t="str">
        <f>'AS400'!K20</f>
        <v>N</v>
      </c>
      <c r="L20" s="7">
        <f>'AS400'!L20</f>
        <v>4</v>
      </c>
      <c r="M20" s="8">
        <f>'AS400'!M20</f>
        <v>1</v>
      </c>
      <c r="N20" s="7">
        <f>'AS400'!N20</f>
        <v>1</v>
      </c>
      <c r="O20" s="7" t="str">
        <f>'AS400'!O20</f>
        <v>MFMM</v>
      </c>
      <c r="P20" s="7">
        <f>'AS400'!P20</f>
        <v>100</v>
      </c>
      <c r="Q20" s="7">
        <f>'AS400'!Q20</f>
        <v>20180301</v>
      </c>
      <c r="R20" s="7">
        <f>'AS400'!R20</f>
        <v>20180301</v>
      </c>
      <c r="S20" s="7" t="str">
        <f>'AS400'!S20</f>
        <v>M</v>
      </c>
      <c r="T20" s="7" t="str">
        <f>'AS400'!T20</f>
        <v>MK</v>
      </c>
      <c r="U20" s="7">
        <f>'AS400'!U20</f>
        <v>20190301</v>
      </c>
      <c r="V20" s="7">
        <f>'AS400'!V20</f>
        <v>6</v>
      </c>
      <c r="W20" s="7">
        <f>'AS400'!W20</f>
        <v>6</v>
      </c>
      <c r="X20" s="7" t="str">
        <f>'AS400'!X20</f>
        <v>MFIX</v>
      </c>
      <c r="Y20" s="7">
        <f>'AS400'!Y20</f>
        <v>0</v>
      </c>
      <c r="Z20" s="7" t="str">
        <f>'AS400'!Z20</f>
        <v>STLV</v>
      </c>
      <c r="AA20" s="7">
        <f>'AS400'!AA20</f>
        <v>818</v>
      </c>
      <c r="AB20" s="7">
        <f>'AS400'!AB20</f>
        <v>0</v>
      </c>
      <c r="AC20" s="7">
        <f>'AS400'!AC20</f>
        <v>12</v>
      </c>
      <c r="AD20" s="7">
        <f>'AS400'!AD20</f>
        <v>20180201</v>
      </c>
      <c r="AE20" s="7">
        <f>'AS400'!AE20</f>
        <v>0</v>
      </c>
      <c r="AF20" s="7">
        <f>'AS400'!AF20</f>
        <v>15000</v>
      </c>
      <c r="AG20" s="7">
        <f>'AS400'!AG20</f>
        <v>41</v>
      </c>
      <c r="AI20" s="7">
        <f>'AS400'!AH20</f>
        <v>32</v>
      </c>
      <c r="AJ20" s="7">
        <f>'AS400'!AI20</f>
        <v>0</v>
      </c>
      <c r="AK20" s="7">
        <f>'AS400'!AJ20</f>
        <v>0</v>
      </c>
      <c r="AL20" s="7">
        <f>'AS400'!AK20</f>
        <v>0</v>
      </c>
      <c r="AM20" s="7">
        <f>'AS400'!AL20</f>
        <v>0</v>
      </c>
      <c r="AN20" s="7">
        <f>'AS400'!AM20</f>
        <v>0</v>
      </c>
      <c r="AO20" s="7">
        <f>'AS400'!AN20</f>
        <v>0</v>
      </c>
      <c r="AP20" s="7">
        <f>'AS400'!AO20</f>
        <v>0</v>
      </c>
      <c r="AQ20" s="7">
        <f>'AS400'!AP20</f>
        <v>0</v>
      </c>
      <c r="AR20" s="7">
        <f>'AS400'!AQ20</f>
        <v>0</v>
      </c>
      <c r="AS20" s="7">
        <f>'AS400'!AR20</f>
        <v>0</v>
      </c>
      <c r="AT20" s="7">
        <f>'AS400'!AS20</f>
        <v>0</v>
      </c>
      <c r="AU20" s="7">
        <f>'AS400'!AT20</f>
        <v>0</v>
      </c>
      <c r="AV20" s="7">
        <f>'AS400'!AU20</f>
        <v>0</v>
      </c>
      <c r="AW20" s="7">
        <f>'AS400'!AV20</f>
        <v>0</v>
      </c>
      <c r="AX20" s="7">
        <f>'AS400'!AW20</f>
        <v>0</v>
      </c>
      <c r="AY20" s="7">
        <f>'AS400'!AX20</f>
        <v>0</v>
      </c>
      <c r="AZ20" s="8">
        <f>'AS400'!AY20</f>
        <v>1</v>
      </c>
      <c r="BA20" s="7">
        <f>'AS400'!AZ20</f>
        <v>2</v>
      </c>
      <c r="BB20" s="7" t="str">
        <f>'AS400'!BA20</f>
        <v>PURO</v>
      </c>
      <c r="BC20" s="7">
        <f>'AS400'!BB20</f>
        <v>100</v>
      </c>
      <c r="BD20" s="7">
        <f>'AS400'!BC20</f>
        <v>20180301</v>
      </c>
      <c r="BE20" s="7">
        <f>'AS400'!BD20</f>
        <v>20180301</v>
      </c>
      <c r="BF20" s="7" t="str">
        <f>'AS400'!BE20</f>
        <v>S</v>
      </c>
      <c r="BG20" s="7" t="str">
        <f>'AS400'!BF20</f>
        <v>ME</v>
      </c>
      <c r="BH20" s="7">
        <f>'AS400'!BG20</f>
        <v>20180301</v>
      </c>
      <c r="BI20" s="7">
        <f>'AS400'!BH20</f>
        <v>0</v>
      </c>
      <c r="BJ20" s="7">
        <f>'AS400'!BI20</f>
        <v>0</v>
      </c>
      <c r="BK20" s="7">
        <f>'AS400'!BJ20</f>
        <v>0</v>
      </c>
      <c r="BL20" s="7">
        <f>'AS400'!BK20</f>
        <v>0</v>
      </c>
      <c r="BM20" s="7" t="str">
        <f>'AS400'!BL20</f>
        <v>STLV</v>
      </c>
      <c r="BN20" s="7">
        <f>'AS400'!BM20</f>
        <v>818</v>
      </c>
      <c r="BO20" s="7">
        <f>'AS400'!BN20</f>
        <v>0</v>
      </c>
      <c r="BP20" s="7">
        <f>'AS400'!BO20</f>
        <v>12</v>
      </c>
      <c r="BQ20" s="7">
        <f>'AS400'!BP20</f>
        <v>20180201</v>
      </c>
      <c r="BR20" s="7">
        <f>'AS400'!BQ20</f>
        <v>0</v>
      </c>
      <c r="BS20" s="7">
        <f>'AS400'!BR20</f>
        <v>0</v>
      </c>
      <c r="BT20" s="7">
        <f>'AS400'!BS20</f>
        <v>5</v>
      </c>
      <c r="BU20" s="15"/>
      <c r="BV20" s="7">
        <f>'AS400'!BT20</f>
        <v>32</v>
      </c>
      <c r="BW20" s="7">
        <f>'AS400'!BU20</f>
        <v>0</v>
      </c>
      <c r="BX20" s="7">
        <f>'AS400'!BV20</f>
        <v>0</v>
      </c>
      <c r="BY20" s="7">
        <f>'AS400'!BW20</f>
        <v>0</v>
      </c>
      <c r="BZ20" s="7">
        <f>'AS400'!BX20</f>
        <v>0</v>
      </c>
      <c r="CA20" s="7">
        <f>'AS400'!BY20</f>
        <v>0</v>
      </c>
      <c r="CB20" s="7">
        <f>'AS400'!BZ20</f>
        <v>0</v>
      </c>
      <c r="CC20" s="7">
        <f>'AS400'!CA20</f>
        <v>0</v>
      </c>
      <c r="CD20" s="7">
        <f>'AS400'!CB20</f>
        <v>0</v>
      </c>
      <c r="CE20" s="7">
        <f>'AS400'!CC20</f>
        <v>0</v>
      </c>
      <c r="CF20" s="7">
        <f>'AS400'!CD20</f>
        <v>0</v>
      </c>
      <c r="CG20" s="7">
        <f>'AS400'!CE20</f>
        <v>0</v>
      </c>
      <c r="CH20" s="7">
        <f>'AS400'!CF20</f>
        <v>0</v>
      </c>
      <c r="CI20" s="7">
        <f>'AS400'!CG20</f>
        <v>0</v>
      </c>
      <c r="CJ20" s="7">
        <f>'AS400'!CH20</f>
        <v>0</v>
      </c>
      <c r="CK20" s="7">
        <f>'AS400'!CI20</f>
        <v>0</v>
      </c>
      <c r="CL20" s="7">
        <f>'AS400'!CJ20</f>
        <v>0</v>
      </c>
      <c r="CM20" s="8">
        <f>'AS400'!CK20</f>
        <v>1</v>
      </c>
      <c r="CN20" s="7">
        <f>'AS400'!CL20</f>
        <v>3</v>
      </c>
      <c r="CO20" s="7" t="str">
        <f>'AS400'!CM20</f>
        <v>PUDS</v>
      </c>
      <c r="CP20" s="7">
        <f>'AS400'!CN20</f>
        <v>100</v>
      </c>
      <c r="CQ20" s="7">
        <f>'AS400'!CO20</f>
        <v>20180301</v>
      </c>
      <c r="CR20" s="7">
        <f>'AS400'!CP20</f>
        <v>20180301</v>
      </c>
      <c r="CS20" s="7" t="str">
        <f>'AS400'!CQ20</f>
        <v>S</v>
      </c>
      <c r="CT20" s="7" t="str">
        <f>'AS400'!CR20</f>
        <v>MT</v>
      </c>
      <c r="CU20" s="7">
        <f>'AS400'!CS20</f>
        <v>20180301</v>
      </c>
      <c r="CV20" s="7">
        <f>'AS400'!CT20</f>
        <v>0</v>
      </c>
      <c r="CW20" s="7">
        <f>'AS400'!CU20</f>
        <v>0</v>
      </c>
      <c r="CX20" s="7">
        <f>'AS400'!CV20</f>
        <v>0</v>
      </c>
      <c r="CY20" s="7">
        <f>'AS400'!CW20</f>
        <v>0</v>
      </c>
      <c r="CZ20" s="7" t="str">
        <f>'AS400'!CX20</f>
        <v>STLV</v>
      </c>
      <c r="DA20" s="7">
        <f>'AS400'!CY20</f>
        <v>818</v>
      </c>
      <c r="DB20" s="7">
        <f>'AS400'!CZ20</f>
        <v>0</v>
      </c>
      <c r="DC20" s="7">
        <f>'AS400'!DA20</f>
        <v>12</v>
      </c>
      <c r="DD20" s="7">
        <f>'AS400'!DB20</f>
        <v>20180201</v>
      </c>
      <c r="DE20" s="7">
        <f>'AS400'!DC20</f>
        <v>0</v>
      </c>
      <c r="DF20" s="7">
        <f>'AS400'!DD20</f>
        <v>0</v>
      </c>
      <c r="DG20" s="7">
        <f>'AS400'!DE20</f>
        <v>5</v>
      </c>
      <c r="DH20" s="15"/>
      <c r="DI20" s="7">
        <f>'AS400'!DF20</f>
        <v>32</v>
      </c>
      <c r="DJ20" s="7">
        <f>'AS400'!DG20</f>
        <v>0</v>
      </c>
      <c r="DK20" s="7">
        <f>'AS400'!DH20</f>
        <v>0</v>
      </c>
      <c r="DL20" s="7">
        <f>'AS400'!DI20</f>
        <v>0</v>
      </c>
      <c r="DM20" s="7">
        <f>'AS400'!DJ20</f>
        <v>0</v>
      </c>
      <c r="DN20" s="7">
        <f>'AS400'!DK20</f>
        <v>0</v>
      </c>
      <c r="DO20" s="7">
        <f>'AS400'!DL20</f>
        <v>0</v>
      </c>
      <c r="DP20" s="7">
        <f>'AS400'!DM20</f>
        <v>0</v>
      </c>
      <c r="DQ20" s="7">
        <f>'AS400'!DN20</f>
        <v>0</v>
      </c>
      <c r="DR20" s="7">
        <f>'AS400'!DO20</f>
        <v>0</v>
      </c>
      <c r="DS20" s="7">
        <f>'AS400'!DP20</f>
        <v>0</v>
      </c>
      <c r="DT20" s="7">
        <f>'AS400'!DQ20</f>
        <v>0</v>
      </c>
      <c r="DU20" s="7">
        <f>'AS400'!DR20</f>
        <v>0</v>
      </c>
      <c r="DV20" s="7">
        <f>'AS400'!DS20</f>
        <v>0</v>
      </c>
      <c r="DW20" s="7">
        <f>'AS400'!DT20</f>
        <v>0</v>
      </c>
      <c r="DX20" s="7">
        <f>'AS400'!DU20</f>
        <v>0</v>
      </c>
      <c r="DY20" s="7">
        <f>'AS400'!DV20</f>
        <v>0</v>
      </c>
      <c r="DZ20" s="8">
        <f>'AS400'!DW20</f>
        <v>1</v>
      </c>
      <c r="EA20" s="7">
        <f>'AS400'!DX20</f>
        <v>4</v>
      </c>
      <c r="EB20" s="7">
        <f>'AS400'!DY20</f>
        <v>0</v>
      </c>
      <c r="EC20" s="7">
        <f>'AS400'!DZ20</f>
        <v>100</v>
      </c>
      <c r="ED20" s="7">
        <f>'AS400'!EA20</f>
        <v>20180301</v>
      </c>
      <c r="EE20" s="7">
        <f>'AS400'!EB20</f>
        <v>20180301</v>
      </c>
      <c r="EF20" s="7" t="str">
        <f>'AS400'!EC20</f>
        <v>S</v>
      </c>
      <c r="EG20" s="7" t="str">
        <f>'AS400'!ED20</f>
        <v>MS</v>
      </c>
      <c r="EH20" s="7">
        <f>'AS400'!EE20</f>
        <v>20180301</v>
      </c>
      <c r="EI20" s="7">
        <f>'AS400'!EF20</f>
        <v>0</v>
      </c>
      <c r="EJ20" s="7">
        <f>'AS400'!EG20</f>
        <v>0</v>
      </c>
      <c r="EK20" s="7">
        <f>'AS400'!EH20</f>
        <v>0</v>
      </c>
      <c r="EL20" s="7">
        <f>'AS400'!EI20</f>
        <v>0</v>
      </c>
      <c r="EM20" s="7" t="str">
        <f>'AS400'!EJ20</f>
        <v>STLV</v>
      </c>
      <c r="EN20" s="7">
        <f>'AS400'!EK20</f>
        <v>818</v>
      </c>
      <c r="EO20" s="7">
        <f>'AS400'!EL20</f>
        <v>0</v>
      </c>
      <c r="EP20" s="7">
        <f>'AS400'!EM20</f>
        <v>12</v>
      </c>
      <c r="EQ20" s="7">
        <f>'AS400'!EN20</f>
        <v>20180201</v>
      </c>
      <c r="ER20" s="7">
        <f>'AS400'!EO20</f>
        <v>0</v>
      </c>
      <c r="ES20" s="7">
        <f>'AS400'!EP20</f>
        <v>0</v>
      </c>
      <c r="ET20" s="7">
        <f>'AS400'!EQ20</f>
        <v>0</v>
      </c>
      <c r="EU20" s="15"/>
      <c r="EV20" s="7">
        <f>'AS400'!ER20</f>
        <v>0</v>
      </c>
      <c r="EW20" s="7">
        <f>'AS400'!ES20</f>
        <v>0</v>
      </c>
      <c r="EX20" s="7">
        <f>'AS400'!ET20</f>
        <v>0</v>
      </c>
      <c r="EY20" s="7">
        <f>'AS400'!EU20</f>
        <v>0</v>
      </c>
      <c r="EZ20" s="7">
        <f>'AS400'!EV20</f>
        <v>0</v>
      </c>
      <c r="FA20" s="7">
        <f>'AS400'!EW20</f>
        <v>0</v>
      </c>
      <c r="FB20" s="7">
        <f>'AS400'!EX20</f>
        <v>0</v>
      </c>
      <c r="FC20" s="7">
        <f>'AS400'!EY20</f>
        <v>0</v>
      </c>
      <c r="FD20" s="7">
        <f>'AS400'!EZ20</f>
        <v>0</v>
      </c>
      <c r="FE20" s="7">
        <f>'AS400'!FA20</f>
        <v>0</v>
      </c>
      <c r="FF20" s="7">
        <f>'AS400'!FB20</f>
        <v>0</v>
      </c>
      <c r="FG20" s="7">
        <f>'AS400'!FC20</f>
        <v>0</v>
      </c>
      <c r="FH20" s="7">
        <f>'AS400'!FD20</f>
        <v>0</v>
      </c>
      <c r="FI20" s="7">
        <f>'AS400'!FE20</f>
        <v>0</v>
      </c>
      <c r="FJ20" s="7">
        <f>'AS400'!FF20</f>
        <v>0</v>
      </c>
      <c r="FK20" s="7">
        <f>'AS400'!FG20</f>
        <v>0</v>
      </c>
      <c r="FL20" s="7">
        <f>'AS400'!FH20</f>
        <v>0</v>
      </c>
      <c r="FM20" s="7">
        <f>'AS400'!FI20</f>
        <v>1</v>
      </c>
      <c r="FN20" s="7">
        <f>'AS400'!FJ20</f>
        <v>1</v>
      </c>
      <c r="FO20" s="7">
        <f>'AS400'!FO20</f>
        <v>0</v>
      </c>
      <c r="FP20" s="7">
        <f>'AS400'!FP20</f>
        <v>4</v>
      </c>
      <c r="FQ20" s="7">
        <f>'AS400'!FQ20</f>
        <v>1</v>
      </c>
      <c r="FR20" s="7">
        <f>'AS400'!FR20</f>
        <v>1</v>
      </c>
      <c r="FS20" s="13">
        <f>'AS400'!FO20</f>
        <v>0</v>
      </c>
    </row>
    <row r="21" spans="1:175">
      <c r="A21" s="7">
        <f>'AS400'!A21</f>
        <v>15</v>
      </c>
      <c r="B21" s="7">
        <f>'AS400'!B21</f>
        <v>20190301</v>
      </c>
      <c r="C21" s="7">
        <f>'AS400'!C21</f>
        <v>0</v>
      </c>
      <c r="D21" s="7" t="str">
        <f>'AS400'!D21</f>
        <v>N</v>
      </c>
      <c r="E21" s="7" t="str">
        <f>'AS400'!E21</f>
        <v>N</v>
      </c>
      <c r="F21" s="7" t="str">
        <f>'AS400'!F21</f>
        <v>Y</v>
      </c>
      <c r="G21" s="7">
        <f>'AS400'!G21</f>
        <v>0</v>
      </c>
      <c r="H21" s="14"/>
      <c r="I21" s="7" t="str">
        <f>'AS400'!I21</f>
        <v>RSA</v>
      </c>
      <c r="J21" s="7" t="str">
        <f>'AS400'!J21</f>
        <v>METR</v>
      </c>
      <c r="K21" s="7" t="str">
        <f>'AS400'!K21</f>
        <v>N</v>
      </c>
      <c r="L21" s="7">
        <f>'AS400'!L21</f>
        <v>4</v>
      </c>
      <c r="M21" s="8">
        <f>'AS400'!M21</f>
        <v>1</v>
      </c>
      <c r="N21" s="7">
        <f>'AS400'!N21</f>
        <v>1</v>
      </c>
      <c r="O21" s="7" t="str">
        <f>'AS400'!O21</f>
        <v>MFMM</v>
      </c>
      <c r="P21" s="7">
        <f>'AS400'!P21</f>
        <v>100</v>
      </c>
      <c r="Q21" s="7">
        <f>'AS400'!Q21</f>
        <v>20180301</v>
      </c>
      <c r="R21" s="7">
        <f>'AS400'!R21</f>
        <v>20180301</v>
      </c>
      <c r="S21" s="7" t="str">
        <f>'AS400'!S21</f>
        <v>M</v>
      </c>
      <c r="T21" s="7" t="str">
        <f>'AS400'!T21</f>
        <v>MK</v>
      </c>
      <c r="U21" s="7">
        <f>'AS400'!U21</f>
        <v>20190301</v>
      </c>
      <c r="V21" s="7">
        <f>'AS400'!V21</f>
        <v>6</v>
      </c>
      <c r="W21" s="7">
        <f>'AS400'!W21</f>
        <v>6</v>
      </c>
      <c r="X21" s="7" t="str">
        <f>'AS400'!X21</f>
        <v>MFIX</v>
      </c>
      <c r="Y21" s="7">
        <f>'AS400'!Y21</f>
        <v>0</v>
      </c>
      <c r="Z21" s="7" t="str">
        <f>'AS400'!Z21</f>
        <v>STLV</v>
      </c>
      <c r="AA21" s="7">
        <f>'AS400'!AA21</f>
        <v>818</v>
      </c>
      <c r="AB21" s="7">
        <f>'AS400'!AB21</f>
        <v>0</v>
      </c>
      <c r="AC21" s="7">
        <f>'AS400'!AC21</f>
        <v>12</v>
      </c>
      <c r="AD21" s="7">
        <f>'AS400'!AD21</f>
        <v>20180201</v>
      </c>
      <c r="AE21" s="7">
        <f>'AS400'!AE21</f>
        <v>0</v>
      </c>
      <c r="AF21" s="7">
        <f>'AS400'!AF21</f>
        <v>20000</v>
      </c>
      <c r="AG21" s="7">
        <f>'AS400'!AG21</f>
        <v>45</v>
      </c>
      <c r="AI21" s="7">
        <f>'AS400'!AH21</f>
        <v>22</v>
      </c>
      <c r="AJ21" s="7">
        <f>'AS400'!AI21</f>
        <v>0</v>
      </c>
      <c r="AK21" s="7">
        <f>'AS400'!AJ21</f>
        <v>0</v>
      </c>
      <c r="AL21" s="7">
        <f>'AS400'!AK21</f>
        <v>0</v>
      </c>
      <c r="AM21" s="7">
        <f>'AS400'!AL21</f>
        <v>0</v>
      </c>
      <c r="AN21" s="7">
        <f>'AS400'!AM21</f>
        <v>0</v>
      </c>
      <c r="AO21" s="7">
        <f>'AS400'!AN21</f>
        <v>0</v>
      </c>
      <c r="AP21" s="7">
        <f>'AS400'!AO21</f>
        <v>0</v>
      </c>
      <c r="AQ21" s="7">
        <f>'AS400'!AP21</f>
        <v>0</v>
      </c>
      <c r="AR21" s="7">
        <f>'AS400'!AQ21</f>
        <v>0</v>
      </c>
      <c r="AS21" s="7">
        <f>'AS400'!AR21</f>
        <v>0</v>
      </c>
      <c r="AT21" s="7">
        <f>'AS400'!AS21</f>
        <v>0</v>
      </c>
      <c r="AU21" s="7">
        <f>'AS400'!AT21</f>
        <v>0</v>
      </c>
      <c r="AV21" s="7">
        <f>'AS400'!AU21</f>
        <v>0</v>
      </c>
      <c r="AW21" s="7">
        <f>'AS400'!AV21</f>
        <v>0</v>
      </c>
      <c r="AX21" s="7">
        <f>'AS400'!AW21</f>
        <v>0</v>
      </c>
      <c r="AY21" s="7">
        <f>'AS400'!AX21</f>
        <v>0</v>
      </c>
      <c r="AZ21" s="8">
        <f>'AS400'!AY21</f>
        <v>1</v>
      </c>
      <c r="BA21" s="7">
        <f>'AS400'!AZ21</f>
        <v>2</v>
      </c>
      <c r="BB21" s="7" t="str">
        <f>'AS400'!BA21</f>
        <v>PURO</v>
      </c>
      <c r="BC21" s="7">
        <f>'AS400'!BB21</f>
        <v>100</v>
      </c>
      <c r="BD21" s="7">
        <f>'AS400'!BC21</f>
        <v>20180301</v>
      </c>
      <c r="BE21" s="7">
        <f>'AS400'!BD21</f>
        <v>20180301</v>
      </c>
      <c r="BF21" s="7" t="str">
        <f>'AS400'!BE21</f>
        <v>S</v>
      </c>
      <c r="BG21" s="7" t="str">
        <f>'AS400'!BF21</f>
        <v>ME</v>
      </c>
      <c r="BH21" s="7">
        <f>'AS400'!BG21</f>
        <v>20180301</v>
      </c>
      <c r="BI21" s="7">
        <f>'AS400'!BH21</f>
        <v>0</v>
      </c>
      <c r="BJ21" s="7">
        <f>'AS400'!BI21</f>
        <v>0</v>
      </c>
      <c r="BK21" s="7">
        <f>'AS400'!BJ21</f>
        <v>0</v>
      </c>
      <c r="BL21" s="7">
        <f>'AS400'!BK21</f>
        <v>0</v>
      </c>
      <c r="BM21" s="7" t="str">
        <f>'AS400'!BL21</f>
        <v>STLV</v>
      </c>
      <c r="BN21" s="7">
        <f>'AS400'!BM21</f>
        <v>818</v>
      </c>
      <c r="BO21" s="7">
        <f>'AS400'!BN21</f>
        <v>0</v>
      </c>
      <c r="BP21" s="7">
        <f>'AS400'!BO21</f>
        <v>12</v>
      </c>
      <c r="BQ21" s="7">
        <f>'AS400'!BP21</f>
        <v>20180201</v>
      </c>
      <c r="BR21" s="7">
        <f>'AS400'!BQ21</f>
        <v>0</v>
      </c>
      <c r="BS21" s="7">
        <f>'AS400'!BR21</f>
        <v>0</v>
      </c>
      <c r="BT21" s="7">
        <f>'AS400'!BS21</f>
        <v>6</v>
      </c>
      <c r="BV21" s="7">
        <f>'AS400'!BT21</f>
        <v>22</v>
      </c>
      <c r="BW21" s="7">
        <f>'AS400'!BU21</f>
        <v>0</v>
      </c>
      <c r="BX21" s="7">
        <f>'AS400'!BV21</f>
        <v>0</v>
      </c>
      <c r="BY21" s="7">
        <f>'AS400'!BW21</f>
        <v>0</v>
      </c>
      <c r="BZ21" s="7">
        <f>'AS400'!BX21</f>
        <v>0</v>
      </c>
      <c r="CA21" s="7">
        <f>'AS400'!BY21</f>
        <v>0</v>
      </c>
      <c r="CB21" s="7">
        <f>'AS400'!BZ21</f>
        <v>0</v>
      </c>
      <c r="CC21" s="7">
        <f>'AS400'!CA21</f>
        <v>0</v>
      </c>
      <c r="CD21" s="7">
        <f>'AS400'!CB21</f>
        <v>0</v>
      </c>
      <c r="CE21" s="7">
        <f>'AS400'!CC21</f>
        <v>0</v>
      </c>
      <c r="CF21" s="7">
        <f>'AS400'!CD21</f>
        <v>0</v>
      </c>
      <c r="CG21" s="7">
        <f>'AS400'!CE21</f>
        <v>0</v>
      </c>
      <c r="CH21" s="7">
        <f>'AS400'!CF21</f>
        <v>0</v>
      </c>
      <c r="CI21" s="7">
        <f>'AS400'!CG21</f>
        <v>0</v>
      </c>
      <c r="CJ21" s="7">
        <f>'AS400'!CH21</f>
        <v>0</v>
      </c>
      <c r="CK21" s="7">
        <f>'AS400'!CI21</f>
        <v>0</v>
      </c>
      <c r="CL21" s="7">
        <f>'AS400'!CJ21</f>
        <v>0</v>
      </c>
      <c r="CM21" s="8">
        <f>'AS400'!CK21</f>
        <v>1</v>
      </c>
      <c r="CN21" s="7">
        <f>'AS400'!CL21</f>
        <v>3</v>
      </c>
      <c r="CO21" s="7" t="str">
        <f>'AS400'!CM21</f>
        <v>PUDS</v>
      </c>
      <c r="CP21" s="7">
        <f>'AS400'!CN21</f>
        <v>100</v>
      </c>
      <c r="CQ21" s="7">
        <f>'AS400'!CO21</f>
        <v>20180301</v>
      </c>
      <c r="CR21" s="7">
        <f>'AS400'!CP21</f>
        <v>20180301</v>
      </c>
      <c r="CS21" s="7" t="str">
        <f>'AS400'!CQ21</f>
        <v>S</v>
      </c>
      <c r="CT21" s="7" t="str">
        <f>'AS400'!CR21</f>
        <v>MT</v>
      </c>
      <c r="CU21" s="7">
        <f>'AS400'!CS21</f>
        <v>20180301</v>
      </c>
      <c r="CV21" s="7">
        <f>'AS400'!CT21</f>
        <v>0</v>
      </c>
      <c r="CW21" s="7">
        <f>'AS400'!CU21</f>
        <v>0</v>
      </c>
      <c r="CX21" s="7">
        <f>'AS400'!CV21</f>
        <v>0</v>
      </c>
      <c r="CY21" s="7">
        <f>'AS400'!CW21</f>
        <v>0</v>
      </c>
      <c r="CZ21" s="7" t="str">
        <f>'AS400'!CX21</f>
        <v>STLV</v>
      </c>
      <c r="DA21" s="7">
        <f>'AS400'!CY21</f>
        <v>818</v>
      </c>
      <c r="DB21" s="7">
        <f>'AS400'!CZ21</f>
        <v>0</v>
      </c>
      <c r="DC21" s="7">
        <f>'AS400'!DA21</f>
        <v>12</v>
      </c>
      <c r="DD21" s="7">
        <f>'AS400'!DB21</f>
        <v>20180201</v>
      </c>
      <c r="DE21" s="7">
        <f>'AS400'!DC21</f>
        <v>0</v>
      </c>
      <c r="DF21" s="7">
        <f>'AS400'!DD21</f>
        <v>0</v>
      </c>
      <c r="DG21" s="7">
        <f>'AS400'!DE21</f>
        <v>5</v>
      </c>
      <c r="DI21" s="7">
        <f>'AS400'!DF21</f>
        <v>22</v>
      </c>
      <c r="DJ21" s="7">
        <f>'AS400'!DG21</f>
        <v>0</v>
      </c>
      <c r="DK21" s="7">
        <f>'AS400'!DH21</f>
        <v>0</v>
      </c>
      <c r="DL21" s="7">
        <f>'AS400'!DI21</f>
        <v>0</v>
      </c>
      <c r="DM21" s="7">
        <f>'AS400'!DJ21</f>
        <v>0</v>
      </c>
      <c r="DN21" s="7">
        <f>'AS400'!DK21</f>
        <v>0</v>
      </c>
      <c r="DO21" s="7">
        <f>'AS400'!DL21</f>
        <v>0</v>
      </c>
      <c r="DP21" s="7">
        <f>'AS400'!DM21</f>
        <v>0</v>
      </c>
      <c r="DQ21" s="7">
        <f>'AS400'!DN21</f>
        <v>0</v>
      </c>
      <c r="DR21" s="7">
        <f>'AS400'!DO21</f>
        <v>0</v>
      </c>
      <c r="DS21" s="7">
        <f>'AS400'!DP21</f>
        <v>0</v>
      </c>
      <c r="DT21" s="7">
        <f>'AS400'!DQ21</f>
        <v>0</v>
      </c>
      <c r="DU21" s="7">
        <f>'AS400'!DR21</f>
        <v>0</v>
      </c>
      <c r="DV21" s="7">
        <f>'AS400'!DS21</f>
        <v>0</v>
      </c>
      <c r="DW21" s="7">
        <f>'AS400'!DT21</f>
        <v>0</v>
      </c>
      <c r="DX21" s="7">
        <f>'AS400'!DU21</f>
        <v>0</v>
      </c>
      <c r="DY21" s="7">
        <f>'AS400'!DV21</f>
        <v>0</v>
      </c>
      <c r="DZ21" s="8">
        <f>'AS400'!DW21</f>
        <v>1</v>
      </c>
      <c r="EA21" s="7">
        <f>'AS400'!DX21</f>
        <v>4</v>
      </c>
      <c r="EB21" s="7">
        <f>'AS400'!DY21</f>
        <v>0</v>
      </c>
      <c r="EC21" s="7">
        <f>'AS400'!DZ21</f>
        <v>100</v>
      </c>
      <c r="ED21" s="7">
        <f>'AS400'!EA21</f>
        <v>20180301</v>
      </c>
      <c r="EE21" s="7">
        <f>'AS400'!EB21</f>
        <v>20180301</v>
      </c>
      <c r="EF21" s="7" t="str">
        <f>'AS400'!EC21</f>
        <v>S</v>
      </c>
      <c r="EG21" s="7" t="str">
        <f>'AS400'!ED21</f>
        <v>MS</v>
      </c>
      <c r="EH21" s="7">
        <f>'AS400'!EE21</f>
        <v>20180301</v>
      </c>
      <c r="EI21" s="7">
        <f>'AS400'!EF21</f>
        <v>0</v>
      </c>
      <c r="EJ21" s="7">
        <f>'AS400'!EG21</f>
        <v>0</v>
      </c>
      <c r="EK21" s="7">
        <f>'AS400'!EH21</f>
        <v>0</v>
      </c>
      <c r="EL21" s="7">
        <f>'AS400'!EI21</f>
        <v>0</v>
      </c>
      <c r="EM21" s="7" t="str">
        <f>'AS400'!EJ21</f>
        <v>STLV</v>
      </c>
      <c r="EN21" s="7">
        <f>'AS400'!EK21</f>
        <v>818</v>
      </c>
      <c r="EO21" s="7">
        <f>'AS400'!EL21</f>
        <v>0</v>
      </c>
      <c r="EP21" s="7">
        <f>'AS400'!EM21</f>
        <v>12</v>
      </c>
      <c r="EQ21" s="7">
        <f>'AS400'!EN21</f>
        <v>20180201</v>
      </c>
      <c r="ER21" s="7">
        <f>'AS400'!EO21</f>
        <v>0</v>
      </c>
      <c r="ES21" s="7">
        <f>'AS400'!EP21</f>
        <v>0</v>
      </c>
      <c r="ET21" s="7">
        <f>'AS400'!EQ21</f>
        <v>0</v>
      </c>
      <c r="EV21" s="7">
        <f>'AS400'!ER21</f>
        <v>0</v>
      </c>
      <c r="EW21" s="7">
        <f>'AS400'!ES21</f>
        <v>0</v>
      </c>
      <c r="EX21" s="7">
        <f>'AS400'!ET21</f>
        <v>0</v>
      </c>
      <c r="EY21" s="7">
        <f>'AS400'!EU21</f>
        <v>0</v>
      </c>
      <c r="EZ21" s="7">
        <f>'AS400'!EV21</f>
        <v>0</v>
      </c>
      <c r="FA21" s="7">
        <f>'AS400'!EW21</f>
        <v>0</v>
      </c>
      <c r="FB21" s="7">
        <f>'AS400'!EX21</f>
        <v>0</v>
      </c>
      <c r="FC21" s="7">
        <f>'AS400'!EY21</f>
        <v>0</v>
      </c>
      <c r="FD21" s="7">
        <f>'AS400'!EZ21</f>
        <v>0</v>
      </c>
      <c r="FE21" s="7">
        <f>'AS400'!FA21</f>
        <v>0</v>
      </c>
      <c r="FF21" s="7">
        <f>'AS400'!FB21</f>
        <v>0</v>
      </c>
      <c r="FG21" s="7">
        <f>'AS400'!FC21</f>
        <v>0</v>
      </c>
      <c r="FH21" s="7">
        <f>'AS400'!FD21</f>
        <v>0</v>
      </c>
      <c r="FI21" s="7">
        <f>'AS400'!FE21</f>
        <v>0</v>
      </c>
      <c r="FJ21" s="7">
        <f>'AS400'!FF21</f>
        <v>0</v>
      </c>
      <c r="FK21" s="7">
        <f>'AS400'!FG21</f>
        <v>0</v>
      </c>
      <c r="FL21" s="7">
        <f>'AS400'!FH21</f>
        <v>0</v>
      </c>
      <c r="FM21" s="7">
        <f>'AS400'!FI21</f>
        <v>1</v>
      </c>
      <c r="FN21" s="7">
        <f>'AS400'!FJ21</f>
        <v>1</v>
      </c>
      <c r="FO21" s="7">
        <f>'AS400'!FO21</f>
        <v>0</v>
      </c>
      <c r="FP21" s="7">
        <f>'AS400'!FP21</f>
        <v>4</v>
      </c>
      <c r="FQ21" s="7">
        <f>'AS400'!FQ21</f>
        <v>1</v>
      </c>
      <c r="FR21" s="7">
        <f>'AS400'!FR21</f>
        <v>1</v>
      </c>
      <c r="FS21" s="13">
        <f>'AS400'!FO21</f>
        <v>0</v>
      </c>
    </row>
    <row r="22" spans="1:175">
      <c r="A22" s="7">
        <f>'AS400'!A22</f>
        <v>16</v>
      </c>
      <c r="B22" s="7">
        <f>'AS400'!B22</f>
        <v>20190301</v>
      </c>
      <c r="C22" s="7">
        <f>'AS400'!C22</f>
        <v>0</v>
      </c>
      <c r="D22" s="7" t="str">
        <f>'AS400'!D22</f>
        <v>N</v>
      </c>
      <c r="E22" s="7" t="str">
        <f>'AS400'!E22</f>
        <v>N</v>
      </c>
      <c r="F22" s="7" t="str">
        <f>'AS400'!F22</f>
        <v>Y</v>
      </c>
      <c r="G22" s="7">
        <f>'AS400'!G22</f>
        <v>0</v>
      </c>
      <c r="H22" s="14"/>
      <c r="I22" s="7" t="str">
        <f>'AS400'!I22</f>
        <v>RSA</v>
      </c>
      <c r="J22" s="7" t="str">
        <f>'AS400'!J22</f>
        <v>METR</v>
      </c>
      <c r="K22" s="7" t="str">
        <f>'AS400'!K22</f>
        <v>N</v>
      </c>
      <c r="L22" s="7">
        <f>'AS400'!L22</f>
        <v>4</v>
      </c>
      <c r="M22" s="8">
        <f>'AS400'!M22</f>
        <v>1</v>
      </c>
      <c r="N22" s="7">
        <f>'AS400'!N22</f>
        <v>1</v>
      </c>
      <c r="O22" s="7" t="str">
        <f>'AS400'!O22</f>
        <v>MFMM</v>
      </c>
      <c r="P22" s="7">
        <f>'AS400'!P22</f>
        <v>100</v>
      </c>
      <c r="Q22" s="7">
        <f>'AS400'!Q22</f>
        <v>20180301</v>
      </c>
      <c r="R22" s="7">
        <f>'AS400'!R22</f>
        <v>20180301</v>
      </c>
      <c r="S22" s="7" t="str">
        <f>'AS400'!S22</f>
        <v>M</v>
      </c>
      <c r="T22" s="7" t="str">
        <f>'AS400'!T22</f>
        <v>ML</v>
      </c>
      <c r="U22" s="7">
        <f>'AS400'!U22</f>
        <v>20190301</v>
      </c>
      <c r="V22" s="7">
        <f>'AS400'!V22</f>
        <v>6</v>
      </c>
      <c r="W22" s="7">
        <f>'AS400'!W22</f>
        <v>6</v>
      </c>
      <c r="X22" s="7" t="str">
        <f>'AS400'!X22</f>
        <v>MFIX</v>
      </c>
      <c r="Y22" s="7">
        <f>'AS400'!Y22</f>
        <v>0</v>
      </c>
      <c r="Z22" s="7" t="str">
        <f>'AS400'!Z22</f>
        <v>STLV</v>
      </c>
      <c r="AA22" s="7">
        <f>'AS400'!AA22</f>
        <v>818</v>
      </c>
      <c r="AB22" s="7">
        <f>'AS400'!AB22</f>
        <v>0</v>
      </c>
      <c r="AC22" s="7">
        <f>'AS400'!AC22</f>
        <v>12</v>
      </c>
      <c r="AD22" s="7">
        <f>'AS400'!AD22</f>
        <v>20180201</v>
      </c>
      <c r="AE22" s="7">
        <f>'AS400'!AE22</f>
        <v>0</v>
      </c>
      <c r="AF22" s="7">
        <f>'AS400'!AF22</f>
        <v>25000</v>
      </c>
      <c r="AG22" s="7">
        <f>'AS400'!AG22</f>
        <v>49</v>
      </c>
      <c r="AI22" s="7">
        <f>'AS400'!AH22</f>
        <v>23</v>
      </c>
      <c r="AJ22" s="7">
        <f>'AS400'!AI22</f>
        <v>0</v>
      </c>
      <c r="AK22" s="7">
        <f>'AS400'!AJ22</f>
        <v>0</v>
      </c>
      <c r="AL22" s="7">
        <f>'AS400'!AK22</f>
        <v>0</v>
      </c>
      <c r="AM22" s="7">
        <f>'AS400'!AL22</f>
        <v>0</v>
      </c>
      <c r="AN22" s="7">
        <f>'AS400'!AM22</f>
        <v>0</v>
      </c>
      <c r="AO22" s="7">
        <f>'AS400'!AN22</f>
        <v>0</v>
      </c>
      <c r="AP22" s="7">
        <f>'AS400'!AO22</f>
        <v>0</v>
      </c>
      <c r="AQ22" s="7">
        <f>'AS400'!AP22</f>
        <v>0</v>
      </c>
      <c r="AR22" s="7">
        <f>'AS400'!AQ22</f>
        <v>0</v>
      </c>
      <c r="AS22" s="7">
        <f>'AS400'!AR22</f>
        <v>0</v>
      </c>
      <c r="AT22" s="7">
        <f>'AS400'!AS22</f>
        <v>0</v>
      </c>
      <c r="AU22" s="7">
        <f>'AS400'!AT22</f>
        <v>0</v>
      </c>
      <c r="AV22" s="7">
        <f>'AS400'!AU22</f>
        <v>0</v>
      </c>
      <c r="AW22" s="7">
        <f>'AS400'!AV22</f>
        <v>0</v>
      </c>
      <c r="AX22" s="7">
        <f>'AS400'!AW22</f>
        <v>0</v>
      </c>
      <c r="AY22" s="7">
        <f>'AS400'!AX22</f>
        <v>0</v>
      </c>
      <c r="AZ22" s="8">
        <f>'AS400'!AY22</f>
        <v>1</v>
      </c>
      <c r="BA22" s="7">
        <f>'AS400'!AZ22</f>
        <v>2</v>
      </c>
      <c r="BB22" s="7" t="str">
        <f>'AS400'!BA22</f>
        <v>PURO</v>
      </c>
      <c r="BC22" s="7">
        <f>'AS400'!BB22</f>
        <v>100</v>
      </c>
      <c r="BD22" s="7">
        <f>'AS400'!BC22</f>
        <v>20180301</v>
      </c>
      <c r="BE22" s="7">
        <f>'AS400'!BD22</f>
        <v>20180301</v>
      </c>
      <c r="BF22" s="7" t="str">
        <f>'AS400'!BE22</f>
        <v>S</v>
      </c>
      <c r="BG22" s="7" t="str">
        <f>'AS400'!BF22</f>
        <v>ME</v>
      </c>
      <c r="BH22" s="7">
        <f>'AS400'!BG22</f>
        <v>20180301</v>
      </c>
      <c r="BI22" s="7">
        <f>'AS400'!BH22</f>
        <v>0</v>
      </c>
      <c r="BJ22" s="7">
        <f>'AS400'!BI22</f>
        <v>0</v>
      </c>
      <c r="BK22" s="7">
        <f>'AS400'!BJ22</f>
        <v>0</v>
      </c>
      <c r="BL22" s="7">
        <f>'AS400'!BK22</f>
        <v>0</v>
      </c>
      <c r="BM22" s="7" t="str">
        <f>'AS400'!BL22</f>
        <v>STLV</v>
      </c>
      <c r="BN22" s="7">
        <f>'AS400'!BM22</f>
        <v>818</v>
      </c>
      <c r="BO22" s="7">
        <f>'AS400'!BN22</f>
        <v>0</v>
      </c>
      <c r="BP22" s="7">
        <f>'AS400'!BO22</f>
        <v>12</v>
      </c>
      <c r="BQ22" s="7">
        <f>'AS400'!BP22</f>
        <v>20180201</v>
      </c>
      <c r="BR22" s="7">
        <f>'AS400'!BQ22</f>
        <v>0</v>
      </c>
      <c r="BS22" s="7">
        <f>'AS400'!BR22</f>
        <v>0</v>
      </c>
      <c r="BT22" s="7">
        <f>'AS400'!BS22</f>
        <v>6</v>
      </c>
      <c r="BV22" s="7">
        <f>'AS400'!BT22</f>
        <v>23</v>
      </c>
      <c r="BW22" s="7">
        <f>'AS400'!BU22</f>
        <v>0</v>
      </c>
      <c r="BX22" s="7">
        <f>'AS400'!BV22</f>
        <v>0</v>
      </c>
      <c r="BY22" s="7">
        <f>'AS400'!BW22</f>
        <v>0</v>
      </c>
      <c r="BZ22" s="7">
        <f>'AS400'!BX22</f>
        <v>0</v>
      </c>
      <c r="CA22" s="7">
        <f>'AS400'!BY22</f>
        <v>0</v>
      </c>
      <c r="CB22" s="7">
        <f>'AS400'!BZ22</f>
        <v>0</v>
      </c>
      <c r="CC22" s="7">
        <f>'AS400'!CA22</f>
        <v>0</v>
      </c>
      <c r="CD22" s="7">
        <f>'AS400'!CB22</f>
        <v>0</v>
      </c>
      <c r="CE22" s="7">
        <f>'AS400'!CC22</f>
        <v>0</v>
      </c>
      <c r="CF22" s="7">
        <f>'AS400'!CD22</f>
        <v>0</v>
      </c>
      <c r="CG22" s="7">
        <f>'AS400'!CE22</f>
        <v>0</v>
      </c>
      <c r="CH22" s="7">
        <f>'AS400'!CF22</f>
        <v>0</v>
      </c>
      <c r="CI22" s="7">
        <f>'AS400'!CG22</f>
        <v>0</v>
      </c>
      <c r="CJ22" s="7">
        <f>'AS400'!CH22</f>
        <v>0</v>
      </c>
      <c r="CK22" s="7">
        <f>'AS400'!CI22</f>
        <v>0</v>
      </c>
      <c r="CL22" s="7">
        <f>'AS400'!CJ22</f>
        <v>0</v>
      </c>
      <c r="CM22" s="8">
        <f>'AS400'!CK22</f>
        <v>1</v>
      </c>
      <c r="CN22" s="7">
        <f>'AS400'!CL22</f>
        <v>3</v>
      </c>
      <c r="CO22" s="7" t="str">
        <f>'AS400'!CM22</f>
        <v>PUDS</v>
      </c>
      <c r="CP22" s="7">
        <f>'AS400'!CN22</f>
        <v>100</v>
      </c>
      <c r="CQ22" s="7">
        <f>'AS400'!CO22</f>
        <v>20180301</v>
      </c>
      <c r="CR22" s="7">
        <f>'AS400'!CP22</f>
        <v>20180301</v>
      </c>
      <c r="CS22" s="7" t="str">
        <f>'AS400'!CQ22</f>
        <v>S</v>
      </c>
      <c r="CT22" s="7" t="str">
        <f>'AS400'!CR22</f>
        <v>MT</v>
      </c>
      <c r="CU22" s="7">
        <f>'AS400'!CS22</f>
        <v>20180301</v>
      </c>
      <c r="CV22" s="7">
        <f>'AS400'!CT22</f>
        <v>0</v>
      </c>
      <c r="CW22" s="7">
        <f>'AS400'!CU22</f>
        <v>0</v>
      </c>
      <c r="CX22" s="7">
        <f>'AS400'!CV22</f>
        <v>0</v>
      </c>
      <c r="CY22" s="7">
        <f>'AS400'!CW22</f>
        <v>0</v>
      </c>
      <c r="CZ22" s="7" t="str">
        <f>'AS400'!CX22</f>
        <v>STLV</v>
      </c>
      <c r="DA22" s="7">
        <f>'AS400'!CY22</f>
        <v>818</v>
      </c>
      <c r="DB22" s="7">
        <f>'AS400'!CZ22</f>
        <v>0</v>
      </c>
      <c r="DC22" s="7">
        <f>'AS400'!DA22</f>
        <v>12</v>
      </c>
      <c r="DD22" s="7">
        <f>'AS400'!DB22</f>
        <v>20180201</v>
      </c>
      <c r="DE22" s="7">
        <f>'AS400'!DC22</f>
        <v>0</v>
      </c>
      <c r="DF22" s="7">
        <f>'AS400'!DD22</f>
        <v>0</v>
      </c>
      <c r="DG22" s="7">
        <f>'AS400'!DE22</f>
        <v>5</v>
      </c>
      <c r="DI22" s="7">
        <f>'AS400'!DF22</f>
        <v>23</v>
      </c>
      <c r="DJ22" s="7">
        <f>'AS400'!DG22</f>
        <v>0</v>
      </c>
      <c r="DK22" s="7">
        <f>'AS400'!DH22</f>
        <v>0</v>
      </c>
      <c r="DL22" s="7">
        <f>'AS400'!DI22</f>
        <v>0</v>
      </c>
      <c r="DM22" s="7">
        <f>'AS400'!DJ22</f>
        <v>0</v>
      </c>
      <c r="DN22" s="7">
        <f>'AS400'!DK22</f>
        <v>0</v>
      </c>
      <c r="DO22" s="7">
        <f>'AS400'!DL22</f>
        <v>0</v>
      </c>
      <c r="DP22" s="7">
        <f>'AS400'!DM22</f>
        <v>0</v>
      </c>
      <c r="DQ22" s="7">
        <f>'AS400'!DN22</f>
        <v>0</v>
      </c>
      <c r="DR22" s="7">
        <f>'AS400'!DO22</f>
        <v>0</v>
      </c>
      <c r="DS22" s="7">
        <f>'AS400'!DP22</f>
        <v>0</v>
      </c>
      <c r="DT22" s="7">
        <f>'AS400'!DQ22</f>
        <v>0</v>
      </c>
      <c r="DU22" s="7">
        <f>'AS400'!DR22</f>
        <v>0</v>
      </c>
      <c r="DV22" s="7">
        <f>'AS400'!DS22</f>
        <v>0</v>
      </c>
      <c r="DW22" s="7">
        <f>'AS400'!DT22</f>
        <v>0</v>
      </c>
      <c r="DX22" s="7">
        <f>'AS400'!DU22</f>
        <v>0</v>
      </c>
      <c r="DY22" s="7">
        <f>'AS400'!DV22</f>
        <v>0</v>
      </c>
      <c r="DZ22" s="8">
        <f>'AS400'!DW22</f>
        <v>1</v>
      </c>
      <c r="EA22" s="7">
        <f>'AS400'!DX22</f>
        <v>4</v>
      </c>
      <c r="EB22" s="7">
        <f>'AS400'!DY22</f>
        <v>0</v>
      </c>
      <c r="EC22" s="7">
        <f>'AS400'!DZ22</f>
        <v>100</v>
      </c>
      <c r="ED22" s="7">
        <f>'AS400'!EA22</f>
        <v>20180301</v>
      </c>
      <c r="EE22" s="7">
        <f>'AS400'!EB22</f>
        <v>20180301</v>
      </c>
      <c r="EF22" s="7" t="str">
        <f>'AS400'!EC22</f>
        <v>S</v>
      </c>
      <c r="EG22" s="7" t="str">
        <f>'AS400'!ED22</f>
        <v>MS</v>
      </c>
      <c r="EH22" s="7">
        <f>'AS400'!EE22</f>
        <v>20180301</v>
      </c>
      <c r="EI22" s="7">
        <f>'AS400'!EF22</f>
        <v>0</v>
      </c>
      <c r="EJ22" s="7">
        <f>'AS400'!EG22</f>
        <v>0</v>
      </c>
      <c r="EK22" s="7">
        <f>'AS400'!EH22</f>
        <v>0</v>
      </c>
      <c r="EL22" s="7">
        <f>'AS400'!EI22</f>
        <v>0</v>
      </c>
      <c r="EM22" s="7" t="str">
        <f>'AS400'!EJ22</f>
        <v>STLV</v>
      </c>
      <c r="EN22" s="7">
        <f>'AS400'!EK22</f>
        <v>818</v>
      </c>
      <c r="EO22" s="7">
        <f>'AS400'!EL22</f>
        <v>0</v>
      </c>
      <c r="EP22" s="7">
        <f>'AS400'!EM22</f>
        <v>12</v>
      </c>
      <c r="EQ22" s="7">
        <f>'AS400'!EN22</f>
        <v>20180201</v>
      </c>
      <c r="ER22" s="7">
        <f>'AS400'!EO22</f>
        <v>0</v>
      </c>
      <c r="ES22" s="7">
        <f>'AS400'!EP22</f>
        <v>0</v>
      </c>
      <c r="ET22" s="7">
        <f>'AS400'!EQ22</f>
        <v>0</v>
      </c>
      <c r="EV22" s="7">
        <f>'AS400'!ER22</f>
        <v>0</v>
      </c>
      <c r="EW22" s="7">
        <f>'AS400'!ES22</f>
        <v>0</v>
      </c>
      <c r="EX22" s="7">
        <f>'AS400'!ET22</f>
        <v>0</v>
      </c>
      <c r="EY22" s="7">
        <f>'AS400'!EU22</f>
        <v>0</v>
      </c>
      <c r="EZ22" s="7">
        <f>'AS400'!EV22</f>
        <v>0</v>
      </c>
      <c r="FA22" s="7">
        <f>'AS400'!EW22</f>
        <v>0</v>
      </c>
      <c r="FB22" s="7">
        <f>'AS400'!EX22</f>
        <v>0</v>
      </c>
      <c r="FC22" s="7">
        <f>'AS400'!EY22</f>
        <v>0</v>
      </c>
      <c r="FD22" s="7">
        <f>'AS400'!EZ22</f>
        <v>0</v>
      </c>
      <c r="FE22" s="7">
        <f>'AS400'!FA22</f>
        <v>0</v>
      </c>
      <c r="FF22" s="7">
        <f>'AS400'!FB22</f>
        <v>0</v>
      </c>
      <c r="FG22" s="7">
        <f>'AS400'!FC22</f>
        <v>0</v>
      </c>
      <c r="FH22" s="7">
        <f>'AS400'!FD22</f>
        <v>0</v>
      </c>
      <c r="FI22" s="7">
        <f>'AS400'!FE22</f>
        <v>0</v>
      </c>
      <c r="FJ22" s="7">
        <f>'AS400'!FF22</f>
        <v>0</v>
      </c>
      <c r="FK22" s="7">
        <f>'AS400'!FG22</f>
        <v>0</v>
      </c>
      <c r="FL22" s="7">
        <f>'AS400'!FH22</f>
        <v>0</v>
      </c>
      <c r="FM22" s="7">
        <f>'AS400'!FI22</f>
        <v>1</v>
      </c>
      <c r="FN22" s="7">
        <f>'AS400'!FJ22</f>
        <v>1</v>
      </c>
      <c r="FO22" s="7">
        <f>'AS400'!FO22</f>
        <v>0</v>
      </c>
      <c r="FP22" s="7">
        <f>'AS400'!FP22</f>
        <v>4</v>
      </c>
      <c r="FQ22" s="7">
        <f>'AS400'!FQ22</f>
        <v>1</v>
      </c>
      <c r="FR22" s="7">
        <f>'AS400'!FR22</f>
        <v>1</v>
      </c>
      <c r="FS22" s="13">
        <f>'AS400'!FO22</f>
        <v>0</v>
      </c>
    </row>
    <row r="23" spans="1:175">
      <c r="A23" s="7">
        <f>'AS400'!A23</f>
        <v>17</v>
      </c>
      <c r="B23" s="7">
        <f>'AS400'!B23</f>
        <v>20190301</v>
      </c>
      <c r="C23" s="7">
        <f>'AS400'!C23</f>
        <v>0</v>
      </c>
      <c r="D23" s="7" t="str">
        <f>'AS400'!D23</f>
        <v>N</v>
      </c>
      <c r="E23" s="7" t="str">
        <f>'AS400'!E23</f>
        <v>N</v>
      </c>
      <c r="F23" s="7" t="str">
        <f>'AS400'!F23</f>
        <v>Y</v>
      </c>
      <c r="G23" s="7">
        <f>'AS400'!G23</f>
        <v>0</v>
      </c>
      <c r="H23" s="14"/>
      <c r="I23" s="7" t="str">
        <f>'AS400'!I23</f>
        <v>RSA</v>
      </c>
      <c r="J23" s="7" t="str">
        <f>'AS400'!J23</f>
        <v>METR</v>
      </c>
      <c r="K23" s="7" t="str">
        <f>'AS400'!K23</f>
        <v>N</v>
      </c>
      <c r="L23" s="7">
        <f>'AS400'!L23</f>
        <v>4</v>
      </c>
      <c r="M23" s="8">
        <f>'AS400'!M23</f>
        <v>1</v>
      </c>
      <c r="N23" s="7">
        <f>'AS400'!N23</f>
        <v>1</v>
      </c>
      <c r="O23" s="7" t="str">
        <f>'AS400'!O23</f>
        <v>MFMM</v>
      </c>
      <c r="P23" s="7">
        <f>'AS400'!P23</f>
        <v>100</v>
      </c>
      <c r="Q23" s="7">
        <f>'AS400'!Q23</f>
        <v>20180301</v>
      </c>
      <c r="R23" s="7">
        <f>'AS400'!R23</f>
        <v>20180301</v>
      </c>
      <c r="S23" s="7" t="str">
        <f>'AS400'!S23</f>
        <v>M</v>
      </c>
      <c r="T23" s="7" t="str">
        <f>'AS400'!T23</f>
        <v>ML</v>
      </c>
      <c r="U23" s="7">
        <f>'AS400'!U23</f>
        <v>20190301</v>
      </c>
      <c r="V23" s="7">
        <f>'AS400'!V23</f>
        <v>6</v>
      </c>
      <c r="W23" s="7">
        <f>'AS400'!W23</f>
        <v>6</v>
      </c>
      <c r="X23" s="7" t="str">
        <f>'AS400'!X23</f>
        <v>MFIX</v>
      </c>
      <c r="Y23" s="7">
        <f>'AS400'!Y23</f>
        <v>0</v>
      </c>
      <c r="Z23" s="7" t="str">
        <f>'AS400'!Z23</f>
        <v>STLV</v>
      </c>
      <c r="AA23" s="7">
        <f>'AS400'!AA23</f>
        <v>818</v>
      </c>
      <c r="AB23" s="7">
        <f>'AS400'!AB23</f>
        <v>0</v>
      </c>
      <c r="AC23" s="7">
        <f>'AS400'!AC23</f>
        <v>12</v>
      </c>
      <c r="AD23" s="7">
        <f>'AS400'!AD23</f>
        <v>20180201</v>
      </c>
      <c r="AE23" s="7">
        <f>'AS400'!AE23</f>
        <v>0</v>
      </c>
      <c r="AF23" s="7">
        <f>'AS400'!AF23</f>
        <v>30000</v>
      </c>
      <c r="AG23" s="7">
        <f>'AS400'!AG23</f>
        <v>54</v>
      </c>
      <c r="AH23" s="15"/>
      <c r="AI23" s="7">
        <f>'AS400'!AH23</f>
        <v>19</v>
      </c>
      <c r="AJ23" s="7">
        <f>'AS400'!AI23</f>
        <v>0</v>
      </c>
      <c r="AK23" s="7">
        <f>'AS400'!AJ23</f>
        <v>0</v>
      </c>
      <c r="AL23" s="7">
        <f>'AS400'!AK23</f>
        <v>0</v>
      </c>
      <c r="AM23" s="7">
        <f>'AS400'!AL23</f>
        <v>0</v>
      </c>
      <c r="AN23" s="7">
        <f>'AS400'!AM23</f>
        <v>0</v>
      </c>
      <c r="AO23" s="7">
        <f>'AS400'!AN23</f>
        <v>0</v>
      </c>
      <c r="AP23" s="7">
        <f>'AS400'!AO23</f>
        <v>0</v>
      </c>
      <c r="AQ23" s="7">
        <f>'AS400'!AP23</f>
        <v>0</v>
      </c>
      <c r="AR23" s="7">
        <f>'AS400'!AQ23</f>
        <v>0</v>
      </c>
      <c r="AS23" s="7">
        <f>'AS400'!AR23</f>
        <v>0</v>
      </c>
      <c r="AT23" s="7">
        <f>'AS400'!AS23</f>
        <v>0</v>
      </c>
      <c r="AU23" s="7">
        <f>'AS400'!AT23</f>
        <v>0</v>
      </c>
      <c r="AV23" s="7">
        <f>'AS400'!AU23</f>
        <v>0</v>
      </c>
      <c r="AW23" s="7">
        <f>'AS400'!AV23</f>
        <v>0</v>
      </c>
      <c r="AX23" s="7">
        <f>'AS400'!AW23</f>
        <v>0</v>
      </c>
      <c r="AY23" s="7">
        <f>'AS400'!AX23</f>
        <v>0</v>
      </c>
      <c r="AZ23" s="8">
        <f>'AS400'!AY23</f>
        <v>1</v>
      </c>
      <c r="BA23" s="7">
        <f>'AS400'!AZ23</f>
        <v>2</v>
      </c>
      <c r="BB23" s="7" t="str">
        <f>'AS400'!BA23</f>
        <v>PURO</v>
      </c>
      <c r="BC23" s="7">
        <f>'AS400'!BB23</f>
        <v>100</v>
      </c>
      <c r="BD23" s="7">
        <f>'AS400'!BC23</f>
        <v>20180301</v>
      </c>
      <c r="BE23" s="7">
        <f>'AS400'!BD23</f>
        <v>20180301</v>
      </c>
      <c r="BF23" s="7" t="str">
        <f>'AS400'!BE23</f>
        <v>S</v>
      </c>
      <c r="BG23" s="7" t="str">
        <f>'AS400'!BF23</f>
        <v>ME</v>
      </c>
      <c r="BH23" s="7">
        <f>'AS400'!BG23</f>
        <v>20180301</v>
      </c>
      <c r="BI23" s="7">
        <f>'AS400'!BH23</f>
        <v>0</v>
      </c>
      <c r="BJ23" s="7">
        <f>'AS400'!BI23</f>
        <v>0</v>
      </c>
      <c r="BK23" s="7">
        <f>'AS400'!BJ23</f>
        <v>0</v>
      </c>
      <c r="BL23" s="7">
        <f>'AS400'!BK23</f>
        <v>0</v>
      </c>
      <c r="BM23" s="7" t="str">
        <f>'AS400'!BL23</f>
        <v>STLV</v>
      </c>
      <c r="BN23" s="7">
        <f>'AS400'!BM23</f>
        <v>818</v>
      </c>
      <c r="BO23" s="7">
        <f>'AS400'!BN23</f>
        <v>0</v>
      </c>
      <c r="BP23" s="7">
        <f>'AS400'!BO23</f>
        <v>12</v>
      </c>
      <c r="BQ23" s="7">
        <f>'AS400'!BP23</f>
        <v>20180201</v>
      </c>
      <c r="BR23" s="7">
        <f>'AS400'!BQ23</f>
        <v>0</v>
      </c>
      <c r="BS23" s="7">
        <f>'AS400'!BR23</f>
        <v>0</v>
      </c>
      <c r="BT23" s="7">
        <f>'AS400'!BS23</f>
        <v>6</v>
      </c>
      <c r="BV23" s="7">
        <f>'AS400'!BT23</f>
        <v>19</v>
      </c>
      <c r="BW23" s="7">
        <f>'AS400'!BU23</f>
        <v>0</v>
      </c>
      <c r="BX23" s="7">
        <f>'AS400'!BV23</f>
        <v>0</v>
      </c>
      <c r="BY23" s="7">
        <f>'AS400'!BW23</f>
        <v>0</v>
      </c>
      <c r="BZ23" s="7">
        <f>'AS400'!BX23</f>
        <v>0</v>
      </c>
      <c r="CA23" s="7">
        <f>'AS400'!BY23</f>
        <v>0</v>
      </c>
      <c r="CB23" s="7">
        <f>'AS400'!BZ23</f>
        <v>0</v>
      </c>
      <c r="CC23" s="7">
        <f>'AS400'!CA23</f>
        <v>0</v>
      </c>
      <c r="CD23" s="7">
        <f>'AS400'!CB23</f>
        <v>0</v>
      </c>
      <c r="CE23" s="7">
        <f>'AS400'!CC23</f>
        <v>0</v>
      </c>
      <c r="CF23" s="7">
        <f>'AS400'!CD23</f>
        <v>0</v>
      </c>
      <c r="CG23" s="7">
        <f>'AS400'!CE23</f>
        <v>0</v>
      </c>
      <c r="CH23" s="7">
        <f>'AS400'!CF23</f>
        <v>0</v>
      </c>
      <c r="CI23" s="7">
        <f>'AS400'!CG23</f>
        <v>0</v>
      </c>
      <c r="CJ23" s="7">
        <f>'AS400'!CH23</f>
        <v>0</v>
      </c>
      <c r="CK23" s="7">
        <f>'AS400'!CI23</f>
        <v>0</v>
      </c>
      <c r="CL23" s="7">
        <f>'AS400'!CJ23</f>
        <v>0</v>
      </c>
      <c r="CM23" s="8">
        <f>'AS400'!CK23</f>
        <v>1</v>
      </c>
      <c r="CN23" s="7">
        <f>'AS400'!CL23</f>
        <v>3</v>
      </c>
      <c r="CO23" s="7" t="str">
        <f>'AS400'!CM23</f>
        <v>PUDS</v>
      </c>
      <c r="CP23" s="7">
        <f>'AS400'!CN23</f>
        <v>100</v>
      </c>
      <c r="CQ23" s="7">
        <f>'AS400'!CO23</f>
        <v>20180301</v>
      </c>
      <c r="CR23" s="7">
        <f>'AS400'!CP23</f>
        <v>20180301</v>
      </c>
      <c r="CS23" s="7" t="str">
        <f>'AS400'!CQ23</f>
        <v>S</v>
      </c>
      <c r="CT23" s="7" t="str">
        <f>'AS400'!CR23</f>
        <v>MT</v>
      </c>
      <c r="CU23" s="7">
        <f>'AS400'!CS23</f>
        <v>20180301</v>
      </c>
      <c r="CV23" s="7">
        <f>'AS400'!CT23</f>
        <v>0</v>
      </c>
      <c r="CW23" s="7">
        <f>'AS400'!CU23</f>
        <v>0</v>
      </c>
      <c r="CX23" s="7">
        <f>'AS400'!CV23</f>
        <v>0</v>
      </c>
      <c r="CY23" s="7">
        <f>'AS400'!CW23</f>
        <v>0</v>
      </c>
      <c r="CZ23" s="7" t="str">
        <f>'AS400'!CX23</f>
        <v>STLV</v>
      </c>
      <c r="DA23" s="7">
        <f>'AS400'!CY23</f>
        <v>818</v>
      </c>
      <c r="DB23" s="7">
        <f>'AS400'!CZ23</f>
        <v>0</v>
      </c>
      <c r="DC23" s="7">
        <f>'AS400'!DA23</f>
        <v>12</v>
      </c>
      <c r="DD23" s="7">
        <f>'AS400'!DB23</f>
        <v>20180201</v>
      </c>
      <c r="DE23" s="7">
        <f>'AS400'!DC23</f>
        <v>0</v>
      </c>
      <c r="DF23" s="7">
        <f>'AS400'!DD23</f>
        <v>0</v>
      </c>
      <c r="DG23" s="7">
        <f>'AS400'!DE23</f>
        <v>5</v>
      </c>
      <c r="DI23" s="7">
        <f>'AS400'!DF23</f>
        <v>19</v>
      </c>
      <c r="DJ23" s="7">
        <f>'AS400'!DG23</f>
        <v>0</v>
      </c>
      <c r="DK23" s="7">
        <f>'AS400'!DH23</f>
        <v>0</v>
      </c>
      <c r="DL23" s="7">
        <f>'AS400'!DI23</f>
        <v>0</v>
      </c>
      <c r="DM23" s="7">
        <f>'AS400'!DJ23</f>
        <v>0</v>
      </c>
      <c r="DN23" s="7">
        <f>'AS400'!DK23</f>
        <v>0</v>
      </c>
      <c r="DO23" s="7">
        <f>'AS400'!DL23</f>
        <v>0</v>
      </c>
      <c r="DP23" s="7">
        <f>'AS400'!DM23</f>
        <v>0</v>
      </c>
      <c r="DQ23" s="7">
        <f>'AS400'!DN23</f>
        <v>0</v>
      </c>
      <c r="DR23" s="7">
        <f>'AS400'!DO23</f>
        <v>0</v>
      </c>
      <c r="DS23" s="7">
        <f>'AS400'!DP23</f>
        <v>0</v>
      </c>
      <c r="DT23" s="7">
        <f>'AS400'!DQ23</f>
        <v>0</v>
      </c>
      <c r="DU23" s="7">
        <f>'AS400'!DR23</f>
        <v>0</v>
      </c>
      <c r="DV23" s="7">
        <f>'AS400'!DS23</f>
        <v>0</v>
      </c>
      <c r="DW23" s="7">
        <f>'AS400'!DT23</f>
        <v>0</v>
      </c>
      <c r="DX23" s="7">
        <f>'AS400'!DU23</f>
        <v>0</v>
      </c>
      <c r="DY23" s="7">
        <f>'AS400'!DV23</f>
        <v>0</v>
      </c>
      <c r="DZ23" s="8">
        <f>'AS400'!DW23</f>
        <v>1</v>
      </c>
      <c r="EA23" s="7">
        <f>'AS400'!DX23</f>
        <v>4</v>
      </c>
      <c r="EB23" s="7">
        <f>'AS400'!DY23</f>
        <v>0</v>
      </c>
      <c r="EC23" s="7">
        <f>'AS400'!DZ23</f>
        <v>100</v>
      </c>
      <c r="ED23" s="7">
        <f>'AS400'!EA23</f>
        <v>20180301</v>
      </c>
      <c r="EE23" s="7">
        <f>'AS400'!EB23</f>
        <v>20180301</v>
      </c>
      <c r="EF23" s="7" t="str">
        <f>'AS400'!EC23</f>
        <v>S</v>
      </c>
      <c r="EG23" s="7" t="str">
        <f>'AS400'!ED23</f>
        <v>MS</v>
      </c>
      <c r="EH23" s="7">
        <f>'AS400'!EE23</f>
        <v>20180301</v>
      </c>
      <c r="EI23" s="7">
        <f>'AS400'!EF23</f>
        <v>0</v>
      </c>
      <c r="EJ23" s="7">
        <f>'AS400'!EG23</f>
        <v>0</v>
      </c>
      <c r="EK23" s="7">
        <f>'AS400'!EH23</f>
        <v>0</v>
      </c>
      <c r="EL23" s="7">
        <f>'AS400'!EI23</f>
        <v>0</v>
      </c>
      <c r="EM23" s="7" t="str">
        <f>'AS400'!EJ23</f>
        <v>STLV</v>
      </c>
      <c r="EN23" s="7">
        <f>'AS400'!EK23</f>
        <v>818</v>
      </c>
      <c r="EO23" s="7">
        <f>'AS400'!EL23</f>
        <v>0</v>
      </c>
      <c r="EP23" s="7">
        <f>'AS400'!EM23</f>
        <v>12</v>
      </c>
      <c r="EQ23" s="7">
        <f>'AS400'!EN23</f>
        <v>20180201</v>
      </c>
      <c r="ER23" s="7">
        <f>'AS400'!EO23</f>
        <v>0</v>
      </c>
      <c r="ES23" s="7">
        <f>'AS400'!EP23</f>
        <v>0</v>
      </c>
      <c r="ET23" s="7">
        <f>'AS400'!EQ23</f>
        <v>0</v>
      </c>
      <c r="EU23" s="15"/>
      <c r="EV23" s="7">
        <f>'AS400'!ER23</f>
        <v>0</v>
      </c>
      <c r="EW23" s="7">
        <f>'AS400'!ES23</f>
        <v>0</v>
      </c>
      <c r="EX23" s="7">
        <f>'AS400'!ET23</f>
        <v>0</v>
      </c>
      <c r="EY23" s="7">
        <f>'AS400'!EU23</f>
        <v>0</v>
      </c>
      <c r="EZ23" s="7">
        <f>'AS400'!EV23</f>
        <v>0</v>
      </c>
      <c r="FA23" s="7">
        <f>'AS400'!EW23</f>
        <v>0</v>
      </c>
      <c r="FB23" s="7">
        <f>'AS400'!EX23</f>
        <v>0</v>
      </c>
      <c r="FC23" s="7">
        <f>'AS400'!EY23</f>
        <v>0</v>
      </c>
      <c r="FD23" s="7">
        <f>'AS400'!EZ23</f>
        <v>0</v>
      </c>
      <c r="FE23" s="7">
        <f>'AS400'!FA23</f>
        <v>0</v>
      </c>
      <c r="FF23" s="7">
        <f>'AS400'!FB23</f>
        <v>0</v>
      </c>
      <c r="FG23" s="7">
        <f>'AS400'!FC23</f>
        <v>0</v>
      </c>
      <c r="FH23" s="7">
        <f>'AS400'!FD23</f>
        <v>0</v>
      </c>
      <c r="FI23" s="7">
        <f>'AS400'!FE23</f>
        <v>0</v>
      </c>
      <c r="FJ23" s="7">
        <f>'AS400'!FF23</f>
        <v>0</v>
      </c>
      <c r="FK23" s="7">
        <f>'AS400'!FG23</f>
        <v>0</v>
      </c>
      <c r="FL23" s="7">
        <f>'AS400'!FH23</f>
        <v>0</v>
      </c>
      <c r="FM23" s="7">
        <f>'AS400'!FI23</f>
        <v>1</v>
      </c>
      <c r="FN23" s="7">
        <f>'AS400'!FJ23</f>
        <v>1</v>
      </c>
      <c r="FO23" s="7">
        <f>'AS400'!FO23</f>
        <v>0</v>
      </c>
      <c r="FP23" s="7">
        <f>'AS400'!FP23</f>
        <v>4</v>
      </c>
      <c r="FQ23" s="7">
        <f>'AS400'!FQ23</f>
        <v>1</v>
      </c>
      <c r="FR23" s="7">
        <f>'AS400'!FR23</f>
        <v>1</v>
      </c>
      <c r="FS23" s="13">
        <f>'AS400'!FO23</f>
        <v>0</v>
      </c>
    </row>
    <row r="24" spans="1:175">
      <c r="A24" s="7">
        <f>'AS400'!A24</f>
        <v>18</v>
      </c>
      <c r="B24" s="7">
        <f>'AS400'!B24</f>
        <v>20190301</v>
      </c>
      <c r="C24" s="7">
        <f>'AS400'!C24</f>
        <v>0</v>
      </c>
      <c r="D24" s="7" t="str">
        <f>'AS400'!D24</f>
        <v>N</v>
      </c>
      <c r="E24" s="7" t="str">
        <f>'AS400'!E24</f>
        <v>N</v>
      </c>
      <c r="F24" s="7" t="str">
        <f>'AS400'!F24</f>
        <v>Y</v>
      </c>
      <c r="G24" s="7">
        <f>'AS400'!G24</f>
        <v>0</v>
      </c>
      <c r="H24" s="14"/>
      <c r="I24" s="7" t="str">
        <f>'AS400'!I24</f>
        <v>RSA</v>
      </c>
      <c r="J24" s="7" t="str">
        <f>'AS400'!J24</f>
        <v>METR</v>
      </c>
      <c r="K24" s="7" t="str">
        <f>'AS400'!K24</f>
        <v>N</v>
      </c>
      <c r="L24" s="7">
        <f>'AS400'!L24</f>
        <v>4</v>
      </c>
      <c r="M24" s="8">
        <f>'AS400'!M24</f>
        <v>1</v>
      </c>
      <c r="N24" s="7">
        <f>'AS400'!N24</f>
        <v>1</v>
      </c>
      <c r="O24" s="7" t="str">
        <f>'AS400'!O24</f>
        <v>MFSP</v>
      </c>
      <c r="P24" s="7">
        <f>'AS400'!P24</f>
        <v>100</v>
      </c>
      <c r="Q24" s="7">
        <f>'AS400'!Q24</f>
        <v>20180301</v>
      </c>
      <c r="R24" s="7">
        <f>'AS400'!R24</f>
        <v>20180301</v>
      </c>
      <c r="S24" s="7" t="str">
        <f>'AS400'!S24</f>
        <v>M</v>
      </c>
      <c r="T24" s="7" t="str">
        <f>'AS400'!T24</f>
        <v>ML</v>
      </c>
      <c r="U24" s="7">
        <f>'AS400'!U24</f>
        <v>20190301</v>
      </c>
      <c r="V24" s="7">
        <f>'AS400'!V24</f>
        <v>6</v>
      </c>
      <c r="W24" s="7">
        <f>'AS400'!W24</f>
        <v>6</v>
      </c>
      <c r="X24" s="7" t="str">
        <f>'AS400'!X24</f>
        <v>MFIX</v>
      </c>
      <c r="Y24" s="7">
        <f>'AS400'!Y24</f>
        <v>0</v>
      </c>
      <c r="Z24" s="7" t="str">
        <f>'AS400'!Z24</f>
        <v>STLV</v>
      </c>
      <c r="AA24" s="7">
        <f>'AS400'!AA24</f>
        <v>818</v>
      </c>
      <c r="AB24" s="7">
        <f>'AS400'!AB24</f>
        <v>0</v>
      </c>
      <c r="AC24" s="7">
        <f>'AS400'!AC24</f>
        <v>12</v>
      </c>
      <c r="AD24" s="7">
        <f>'AS400'!AD24</f>
        <v>20180201</v>
      </c>
      <c r="AE24" s="7">
        <f>'AS400'!AE24</f>
        <v>0</v>
      </c>
      <c r="AF24" s="7">
        <f>'AS400'!AF24</f>
        <v>5000</v>
      </c>
      <c r="AG24" s="7">
        <f>'AS400'!AG24</f>
        <v>40</v>
      </c>
      <c r="AI24" s="7">
        <f>'AS400'!AH24</f>
        <v>67</v>
      </c>
      <c r="AJ24" s="7">
        <f>'AS400'!AI24</f>
        <v>0</v>
      </c>
      <c r="AK24" s="7">
        <f>'AS400'!AJ24</f>
        <v>0</v>
      </c>
      <c r="AL24" s="7">
        <f>'AS400'!AK24</f>
        <v>0</v>
      </c>
      <c r="AM24" s="7">
        <f>'AS400'!AL24</f>
        <v>0</v>
      </c>
      <c r="AN24" s="7">
        <f>'AS400'!AM24</f>
        <v>0</v>
      </c>
      <c r="AO24" s="7">
        <f>'AS400'!AN24</f>
        <v>0</v>
      </c>
      <c r="AP24" s="7">
        <f>'AS400'!AO24</f>
        <v>0</v>
      </c>
      <c r="AQ24" s="7">
        <f>'AS400'!AP24</f>
        <v>0</v>
      </c>
      <c r="AR24" s="7">
        <f>'AS400'!AQ24</f>
        <v>0</v>
      </c>
      <c r="AS24" s="7">
        <f>'AS400'!AR24</f>
        <v>0</v>
      </c>
      <c r="AT24" s="7">
        <f>'AS400'!AS24</f>
        <v>0</v>
      </c>
      <c r="AU24" s="7">
        <f>'AS400'!AT24</f>
        <v>0</v>
      </c>
      <c r="AV24" s="7">
        <f>'AS400'!AU24</f>
        <v>0</v>
      </c>
      <c r="AW24" s="7">
        <f>'AS400'!AV24</f>
        <v>0</v>
      </c>
      <c r="AX24" s="7">
        <f>'AS400'!AW24</f>
        <v>0</v>
      </c>
      <c r="AY24" s="7">
        <f>'AS400'!AX24</f>
        <v>0</v>
      </c>
      <c r="AZ24" s="8">
        <f>'AS400'!AY24</f>
        <v>1</v>
      </c>
      <c r="BA24" s="7">
        <f>'AS400'!AZ24</f>
        <v>2</v>
      </c>
      <c r="BB24" s="7" t="str">
        <f>'AS400'!BA24</f>
        <v>PURO</v>
      </c>
      <c r="BC24" s="7">
        <f>'AS400'!BB24</f>
        <v>100</v>
      </c>
      <c r="BD24" s="7">
        <f>'AS400'!BC24</f>
        <v>20180301</v>
      </c>
      <c r="BE24" s="7">
        <f>'AS400'!BD24</f>
        <v>20180301</v>
      </c>
      <c r="BF24" s="7" t="str">
        <f>'AS400'!BE24</f>
        <v>S</v>
      </c>
      <c r="BG24" s="7" t="str">
        <f>'AS400'!BF24</f>
        <v>ME</v>
      </c>
      <c r="BH24" s="7">
        <f>'AS400'!BG24</f>
        <v>20180301</v>
      </c>
      <c r="BI24" s="7">
        <f>'AS400'!BH24</f>
        <v>0</v>
      </c>
      <c r="BJ24" s="7">
        <f>'AS400'!BI24</f>
        <v>0</v>
      </c>
      <c r="BK24" s="7">
        <f>'AS400'!BJ24</f>
        <v>0</v>
      </c>
      <c r="BL24" s="7">
        <f>'AS400'!BK24</f>
        <v>0</v>
      </c>
      <c r="BM24" s="7" t="str">
        <f>'AS400'!BL24</f>
        <v>STLV</v>
      </c>
      <c r="BN24" s="7">
        <f>'AS400'!BM24</f>
        <v>818</v>
      </c>
      <c r="BO24" s="7">
        <f>'AS400'!BN24</f>
        <v>0</v>
      </c>
      <c r="BP24" s="7">
        <f>'AS400'!BO24</f>
        <v>12</v>
      </c>
      <c r="BQ24" s="7">
        <f>'AS400'!BP24</f>
        <v>20180201</v>
      </c>
      <c r="BR24" s="7">
        <f>'AS400'!BQ24</f>
        <v>0</v>
      </c>
      <c r="BS24" s="7">
        <f>'AS400'!BR24</f>
        <v>0</v>
      </c>
      <c r="BT24" s="7">
        <f>'AS400'!BS24</f>
        <v>21</v>
      </c>
      <c r="BV24" s="7">
        <f>'AS400'!BT24</f>
        <v>67</v>
      </c>
      <c r="BW24" s="7">
        <f>'AS400'!BU24</f>
        <v>0</v>
      </c>
      <c r="BX24" s="7">
        <f>'AS400'!BV24</f>
        <v>0</v>
      </c>
      <c r="BY24" s="7">
        <f>'AS400'!BW24</f>
        <v>0</v>
      </c>
      <c r="BZ24" s="7">
        <f>'AS400'!BX24</f>
        <v>0</v>
      </c>
      <c r="CA24" s="7">
        <f>'AS400'!BY24</f>
        <v>0</v>
      </c>
      <c r="CB24" s="7">
        <f>'AS400'!BZ24</f>
        <v>0</v>
      </c>
      <c r="CC24" s="7">
        <f>'AS400'!CA24</f>
        <v>0</v>
      </c>
      <c r="CD24" s="7">
        <f>'AS400'!CB24</f>
        <v>0</v>
      </c>
      <c r="CE24" s="7">
        <f>'AS400'!CC24</f>
        <v>0</v>
      </c>
      <c r="CF24" s="7">
        <f>'AS400'!CD24</f>
        <v>0</v>
      </c>
      <c r="CG24" s="7">
        <f>'AS400'!CE24</f>
        <v>0</v>
      </c>
      <c r="CH24" s="7">
        <f>'AS400'!CF24</f>
        <v>0</v>
      </c>
      <c r="CI24" s="7">
        <f>'AS400'!CG24</f>
        <v>0</v>
      </c>
      <c r="CJ24" s="7">
        <f>'AS400'!CH24</f>
        <v>0</v>
      </c>
      <c r="CK24" s="7">
        <f>'AS400'!CI24</f>
        <v>0</v>
      </c>
      <c r="CL24" s="7">
        <f>'AS400'!CJ24</f>
        <v>0</v>
      </c>
      <c r="CM24" s="8">
        <f>'AS400'!CK24</f>
        <v>1</v>
      </c>
      <c r="CN24" s="7">
        <f>'AS400'!CL24</f>
        <v>3</v>
      </c>
      <c r="CO24" s="7" t="str">
        <f>'AS400'!CM24</f>
        <v>PUDT</v>
      </c>
      <c r="CP24" s="7">
        <f>'AS400'!CN24</f>
        <v>100</v>
      </c>
      <c r="CQ24" s="7">
        <f>'AS400'!CO24</f>
        <v>20180301</v>
      </c>
      <c r="CR24" s="7">
        <f>'AS400'!CP24</f>
        <v>20180301</v>
      </c>
      <c r="CS24" s="7" t="str">
        <f>'AS400'!CQ24</f>
        <v>S</v>
      </c>
      <c r="CT24" s="7" t="str">
        <f>'AS400'!CR24</f>
        <v>MT</v>
      </c>
      <c r="CU24" s="7">
        <f>'AS400'!CS24</f>
        <v>20180301</v>
      </c>
      <c r="CV24" s="7">
        <f>'AS400'!CT24</f>
        <v>0</v>
      </c>
      <c r="CW24" s="7">
        <f>'AS400'!CU24</f>
        <v>0</v>
      </c>
      <c r="CX24" s="7">
        <f>'AS400'!CV24</f>
        <v>0</v>
      </c>
      <c r="CY24" s="7">
        <f>'AS400'!CW24</f>
        <v>0</v>
      </c>
      <c r="CZ24" s="7" t="str">
        <f>'AS400'!CX24</f>
        <v>STLV</v>
      </c>
      <c r="DA24" s="7">
        <f>'AS400'!CY24</f>
        <v>818</v>
      </c>
      <c r="DB24" s="7">
        <f>'AS400'!CZ24</f>
        <v>0</v>
      </c>
      <c r="DC24" s="7">
        <f>'AS400'!DA24</f>
        <v>12</v>
      </c>
      <c r="DD24" s="7">
        <f>'AS400'!DB24</f>
        <v>20180201</v>
      </c>
      <c r="DE24" s="7">
        <f>'AS400'!DC24</f>
        <v>0</v>
      </c>
      <c r="DF24" s="7">
        <f>'AS400'!DD24</f>
        <v>0</v>
      </c>
      <c r="DG24" s="7">
        <f>'AS400'!DE24</f>
        <v>14</v>
      </c>
      <c r="DI24" s="7">
        <f>'AS400'!DF24</f>
        <v>67</v>
      </c>
      <c r="DJ24" s="7">
        <f>'AS400'!DG24</f>
        <v>0</v>
      </c>
      <c r="DK24" s="7">
        <f>'AS400'!DH24</f>
        <v>0</v>
      </c>
      <c r="DL24" s="7">
        <f>'AS400'!DI24</f>
        <v>0</v>
      </c>
      <c r="DM24" s="7">
        <f>'AS400'!DJ24</f>
        <v>0</v>
      </c>
      <c r="DN24" s="7">
        <f>'AS400'!DK24</f>
        <v>0</v>
      </c>
      <c r="DO24" s="7">
        <f>'AS400'!DL24</f>
        <v>0</v>
      </c>
      <c r="DP24" s="7">
        <f>'AS400'!DM24</f>
        <v>0</v>
      </c>
      <c r="DQ24" s="7">
        <f>'AS400'!DN24</f>
        <v>0</v>
      </c>
      <c r="DR24" s="7">
        <f>'AS400'!DO24</f>
        <v>0</v>
      </c>
      <c r="DS24" s="7">
        <f>'AS400'!DP24</f>
        <v>0</v>
      </c>
      <c r="DT24" s="7">
        <f>'AS400'!DQ24</f>
        <v>0</v>
      </c>
      <c r="DU24" s="7">
        <f>'AS400'!DR24</f>
        <v>0</v>
      </c>
      <c r="DV24" s="7">
        <f>'AS400'!DS24</f>
        <v>0</v>
      </c>
      <c r="DW24" s="7">
        <f>'AS400'!DT24</f>
        <v>0</v>
      </c>
      <c r="DX24" s="7">
        <f>'AS400'!DU24</f>
        <v>0</v>
      </c>
      <c r="DY24" s="7">
        <f>'AS400'!DV24</f>
        <v>0</v>
      </c>
      <c r="DZ24" s="8">
        <f>'AS400'!DW24</f>
        <v>1</v>
      </c>
      <c r="EA24" s="7">
        <f>'AS400'!DX24</f>
        <v>4</v>
      </c>
      <c r="EB24" s="7" t="str">
        <f>'AS400'!DY24</f>
        <v>PUDS</v>
      </c>
      <c r="EC24" s="7">
        <f>'AS400'!DZ24</f>
        <v>100</v>
      </c>
      <c r="ED24" s="7">
        <f>'AS400'!EA24</f>
        <v>20180301</v>
      </c>
      <c r="EE24" s="7">
        <f>'AS400'!EB24</f>
        <v>20180301</v>
      </c>
      <c r="EF24" s="7" t="str">
        <f>'AS400'!EC24</f>
        <v>S</v>
      </c>
      <c r="EG24" s="7" t="str">
        <f>'AS400'!ED24</f>
        <v>MS</v>
      </c>
      <c r="EH24" s="7">
        <f>'AS400'!EE24</f>
        <v>20180301</v>
      </c>
      <c r="EI24" s="7">
        <f>'AS400'!EF24</f>
        <v>0</v>
      </c>
      <c r="EJ24" s="7">
        <f>'AS400'!EG24</f>
        <v>0</v>
      </c>
      <c r="EK24" s="7">
        <f>'AS400'!EH24</f>
        <v>0</v>
      </c>
      <c r="EL24" s="7">
        <f>'AS400'!EI24</f>
        <v>0</v>
      </c>
      <c r="EM24" s="7" t="str">
        <f>'AS400'!EJ24</f>
        <v>STLV</v>
      </c>
      <c r="EN24" s="7">
        <f>'AS400'!EK24</f>
        <v>818</v>
      </c>
      <c r="EO24" s="7">
        <f>'AS400'!EL24</f>
        <v>0</v>
      </c>
      <c r="EP24" s="7">
        <f>'AS400'!EM24</f>
        <v>12</v>
      </c>
      <c r="EQ24" s="7">
        <f>'AS400'!EN24</f>
        <v>20180201</v>
      </c>
      <c r="ER24" s="7">
        <f>'AS400'!EO24</f>
        <v>0</v>
      </c>
      <c r="ES24" s="7">
        <f>'AS400'!EP24</f>
        <v>0</v>
      </c>
      <c r="ET24" s="7">
        <f>'AS400'!EQ24</f>
        <v>6</v>
      </c>
      <c r="EV24" s="7">
        <f>'AS400'!ER24</f>
        <v>67</v>
      </c>
      <c r="EW24" s="7">
        <f>'AS400'!ES24</f>
        <v>0</v>
      </c>
      <c r="EX24" s="7">
        <f>'AS400'!ET24</f>
        <v>0</v>
      </c>
      <c r="EY24" s="7">
        <f>'AS400'!EU24</f>
        <v>0</v>
      </c>
      <c r="EZ24" s="7">
        <f>'AS400'!EV24</f>
        <v>0</v>
      </c>
      <c r="FA24" s="7">
        <f>'AS400'!EW24</f>
        <v>0</v>
      </c>
      <c r="FB24" s="7">
        <f>'AS400'!EX24</f>
        <v>0</v>
      </c>
      <c r="FC24" s="7">
        <f>'AS400'!EY24</f>
        <v>0</v>
      </c>
      <c r="FD24" s="7">
        <f>'AS400'!EZ24</f>
        <v>0</v>
      </c>
      <c r="FE24" s="7">
        <f>'AS400'!FA24</f>
        <v>0</v>
      </c>
      <c r="FF24" s="7">
        <f>'AS400'!FB24</f>
        <v>0</v>
      </c>
      <c r="FG24" s="7">
        <f>'AS400'!FC24</f>
        <v>0</v>
      </c>
      <c r="FH24" s="7">
        <f>'AS400'!FD24</f>
        <v>0</v>
      </c>
      <c r="FI24" s="7">
        <f>'AS400'!FE24</f>
        <v>0</v>
      </c>
      <c r="FJ24" s="7">
        <f>'AS400'!FF24</f>
        <v>0</v>
      </c>
      <c r="FK24" s="7">
        <f>'AS400'!FG24</f>
        <v>0</v>
      </c>
      <c r="FL24" s="7">
        <f>'AS400'!FH24</f>
        <v>0</v>
      </c>
      <c r="FM24" s="7">
        <f>'AS400'!FI24</f>
        <v>1</v>
      </c>
      <c r="FN24" s="7">
        <f>'AS400'!FJ24</f>
        <v>1</v>
      </c>
      <c r="FO24" s="7">
        <f>'AS400'!FO24</f>
        <v>0</v>
      </c>
      <c r="FP24" s="7">
        <f>'AS400'!FP24</f>
        <v>4</v>
      </c>
      <c r="FQ24" s="7">
        <f>'AS400'!FQ24</f>
        <v>1</v>
      </c>
      <c r="FR24" s="7">
        <f>'AS400'!FR24</f>
        <v>1</v>
      </c>
      <c r="FS24" s="13">
        <f>'AS400'!FO24</f>
        <v>0</v>
      </c>
    </row>
    <row r="25" spans="1:175">
      <c r="A25" s="7">
        <f>'AS400'!A25</f>
        <v>19</v>
      </c>
      <c r="B25" s="7">
        <f>'AS400'!B25</f>
        <v>20190301</v>
      </c>
      <c r="C25" s="7">
        <f>'AS400'!C25</f>
        <v>0</v>
      </c>
      <c r="D25" s="7" t="str">
        <f>'AS400'!D25</f>
        <v>N</v>
      </c>
      <c r="E25" s="7" t="str">
        <f>'AS400'!E25</f>
        <v>N</v>
      </c>
      <c r="F25" s="7" t="str">
        <f>'AS400'!F25</f>
        <v>Y</v>
      </c>
      <c r="G25" s="7">
        <f>'AS400'!G25</f>
        <v>0</v>
      </c>
      <c r="H25" s="14"/>
      <c r="I25" s="7" t="str">
        <f>'AS400'!I25</f>
        <v>RSA</v>
      </c>
      <c r="J25" s="7" t="str">
        <f>'AS400'!J25</f>
        <v>METR</v>
      </c>
      <c r="K25" s="7" t="str">
        <f>'AS400'!K25</f>
        <v>N</v>
      </c>
      <c r="L25" s="7">
        <f>'AS400'!L25</f>
        <v>4</v>
      </c>
      <c r="M25" s="8">
        <f>'AS400'!M25</f>
        <v>1</v>
      </c>
      <c r="N25" s="7">
        <f>'AS400'!N25</f>
        <v>1</v>
      </c>
      <c r="O25" s="7" t="str">
        <f>'AS400'!O25</f>
        <v>MFSP</v>
      </c>
      <c r="P25" s="7">
        <f>'AS400'!P25</f>
        <v>100</v>
      </c>
      <c r="Q25" s="7">
        <f>'AS400'!Q25</f>
        <v>20180301</v>
      </c>
      <c r="R25" s="7">
        <f>'AS400'!R25</f>
        <v>20180301</v>
      </c>
      <c r="S25" s="7" t="str">
        <f>'AS400'!S25</f>
        <v>M</v>
      </c>
      <c r="T25" s="7" t="str">
        <f>'AS400'!T25</f>
        <v>ML</v>
      </c>
      <c r="U25" s="7">
        <f>'AS400'!U25</f>
        <v>20190301</v>
      </c>
      <c r="V25" s="7">
        <f>'AS400'!V25</f>
        <v>6</v>
      </c>
      <c r="W25" s="7">
        <f>'AS400'!W25</f>
        <v>6</v>
      </c>
      <c r="X25" s="7" t="str">
        <f>'AS400'!X25</f>
        <v>MFIX</v>
      </c>
      <c r="Y25" s="7">
        <f>'AS400'!Y25</f>
        <v>0</v>
      </c>
      <c r="Z25" s="7" t="str">
        <f>'AS400'!Z25</f>
        <v>STLV</v>
      </c>
      <c r="AA25" s="7">
        <f>'AS400'!AA25</f>
        <v>818</v>
      </c>
      <c r="AB25" s="7">
        <f>'AS400'!AB25</f>
        <v>0</v>
      </c>
      <c r="AC25" s="7">
        <f>'AS400'!AC25</f>
        <v>12</v>
      </c>
      <c r="AD25" s="7">
        <f>'AS400'!AD25</f>
        <v>20180201</v>
      </c>
      <c r="AE25" s="7">
        <f>'AS400'!AE25</f>
        <v>0</v>
      </c>
      <c r="AF25" s="7">
        <f>'AS400'!AF25</f>
        <v>10000</v>
      </c>
      <c r="AG25" s="7">
        <f>'AS400'!AG25</f>
        <v>63</v>
      </c>
      <c r="AI25" s="7">
        <f>'AS400'!AH25</f>
        <v>66</v>
      </c>
      <c r="AJ25" s="7">
        <f>'AS400'!AI25</f>
        <v>0</v>
      </c>
      <c r="AK25" s="7">
        <f>'AS400'!AJ25</f>
        <v>0</v>
      </c>
      <c r="AL25" s="7">
        <f>'AS400'!AK25</f>
        <v>0</v>
      </c>
      <c r="AM25" s="7">
        <f>'AS400'!AL25</f>
        <v>0</v>
      </c>
      <c r="AN25" s="7">
        <f>'AS400'!AM25</f>
        <v>0</v>
      </c>
      <c r="AO25" s="7">
        <f>'AS400'!AN25</f>
        <v>0</v>
      </c>
      <c r="AP25" s="7">
        <f>'AS400'!AO25</f>
        <v>0</v>
      </c>
      <c r="AQ25" s="7">
        <f>'AS400'!AP25</f>
        <v>0</v>
      </c>
      <c r="AR25" s="7">
        <f>'AS400'!AQ25</f>
        <v>0</v>
      </c>
      <c r="AS25" s="7">
        <f>'AS400'!AR25</f>
        <v>0</v>
      </c>
      <c r="AT25" s="7">
        <f>'AS400'!AS25</f>
        <v>0</v>
      </c>
      <c r="AU25" s="7">
        <f>'AS400'!AT25</f>
        <v>0</v>
      </c>
      <c r="AV25" s="7">
        <f>'AS400'!AU25</f>
        <v>0</v>
      </c>
      <c r="AW25" s="7">
        <f>'AS400'!AV25</f>
        <v>0</v>
      </c>
      <c r="AX25" s="7">
        <f>'AS400'!AW25</f>
        <v>0</v>
      </c>
      <c r="AY25" s="7">
        <f>'AS400'!AX25</f>
        <v>0</v>
      </c>
      <c r="AZ25" s="8">
        <f>'AS400'!AY25</f>
        <v>1</v>
      </c>
      <c r="BA25" s="7">
        <f>'AS400'!AZ25</f>
        <v>2</v>
      </c>
      <c r="BB25" s="7" t="str">
        <f>'AS400'!BA25</f>
        <v>PURO</v>
      </c>
      <c r="BC25" s="7">
        <f>'AS400'!BB25</f>
        <v>100</v>
      </c>
      <c r="BD25" s="7">
        <f>'AS400'!BC25</f>
        <v>20180301</v>
      </c>
      <c r="BE25" s="7">
        <f>'AS400'!BD25</f>
        <v>20180301</v>
      </c>
      <c r="BF25" s="7" t="str">
        <f>'AS400'!BE25</f>
        <v>S</v>
      </c>
      <c r="BG25" s="7" t="str">
        <f>'AS400'!BF25</f>
        <v>ME</v>
      </c>
      <c r="BH25" s="7">
        <f>'AS400'!BG25</f>
        <v>20180301</v>
      </c>
      <c r="BI25" s="7">
        <f>'AS400'!BH25</f>
        <v>0</v>
      </c>
      <c r="BJ25" s="7">
        <f>'AS400'!BI25</f>
        <v>0</v>
      </c>
      <c r="BK25" s="7">
        <f>'AS400'!BJ25</f>
        <v>0</v>
      </c>
      <c r="BL25" s="7">
        <f>'AS400'!BK25</f>
        <v>0</v>
      </c>
      <c r="BM25" s="7" t="str">
        <f>'AS400'!BL25</f>
        <v>STLV</v>
      </c>
      <c r="BN25" s="7">
        <f>'AS400'!BM25</f>
        <v>818</v>
      </c>
      <c r="BO25" s="7">
        <f>'AS400'!BN25</f>
        <v>0</v>
      </c>
      <c r="BP25" s="7">
        <f>'AS400'!BO25</f>
        <v>12</v>
      </c>
      <c r="BQ25" s="7">
        <f>'AS400'!BP25</f>
        <v>20180201</v>
      </c>
      <c r="BR25" s="7">
        <f>'AS400'!BQ25</f>
        <v>0</v>
      </c>
      <c r="BS25" s="7">
        <f>'AS400'!BR25</f>
        <v>0</v>
      </c>
      <c r="BT25" s="7">
        <f>'AS400'!BS25</f>
        <v>32</v>
      </c>
      <c r="BV25" s="7">
        <f>'AS400'!BT25</f>
        <v>66</v>
      </c>
      <c r="BW25" s="7">
        <f>'AS400'!BU25</f>
        <v>0</v>
      </c>
      <c r="BX25" s="7">
        <f>'AS400'!BV25</f>
        <v>0</v>
      </c>
      <c r="BY25" s="7">
        <f>'AS400'!BW25</f>
        <v>0</v>
      </c>
      <c r="BZ25" s="7">
        <f>'AS400'!BX25</f>
        <v>0</v>
      </c>
      <c r="CA25" s="7">
        <f>'AS400'!BY25</f>
        <v>0</v>
      </c>
      <c r="CB25" s="7">
        <f>'AS400'!BZ25</f>
        <v>0</v>
      </c>
      <c r="CC25" s="7">
        <f>'AS400'!CA25</f>
        <v>0</v>
      </c>
      <c r="CD25" s="7">
        <f>'AS400'!CB25</f>
        <v>0</v>
      </c>
      <c r="CE25" s="7">
        <f>'AS400'!CC25</f>
        <v>0</v>
      </c>
      <c r="CF25" s="7">
        <f>'AS400'!CD25</f>
        <v>0</v>
      </c>
      <c r="CG25" s="7">
        <f>'AS400'!CE25</f>
        <v>0</v>
      </c>
      <c r="CH25" s="7">
        <f>'AS400'!CF25</f>
        <v>0</v>
      </c>
      <c r="CI25" s="7">
        <f>'AS400'!CG25</f>
        <v>0</v>
      </c>
      <c r="CJ25" s="7">
        <f>'AS400'!CH25</f>
        <v>0</v>
      </c>
      <c r="CK25" s="7">
        <f>'AS400'!CI25</f>
        <v>0</v>
      </c>
      <c r="CL25" s="7">
        <f>'AS400'!CJ25</f>
        <v>0</v>
      </c>
      <c r="CM25" s="8">
        <f>'AS400'!CK25</f>
        <v>1</v>
      </c>
      <c r="CN25" s="7">
        <f>'AS400'!CL25</f>
        <v>3</v>
      </c>
      <c r="CO25" s="7" t="str">
        <f>'AS400'!CM25</f>
        <v>PUDT</v>
      </c>
      <c r="CP25" s="7">
        <f>'AS400'!CN25</f>
        <v>100</v>
      </c>
      <c r="CQ25" s="7">
        <f>'AS400'!CO25</f>
        <v>20180301</v>
      </c>
      <c r="CR25" s="7">
        <f>'AS400'!CP25</f>
        <v>20180301</v>
      </c>
      <c r="CS25" s="7" t="str">
        <f>'AS400'!CQ25</f>
        <v>S</v>
      </c>
      <c r="CT25" s="7" t="str">
        <f>'AS400'!CR25</f>
        <v>MT</v>
      </c>
      <c r="CU25" s="7">
        <f>'AS400'!CS25</f>
        <v>20180301</v>
      </c>
      <c r="CV25" s="7">
        <f>'AS400'!CT25</f>
        <v>0</v>
      </c>
      <c r="CW25" s="7">
        <f>'AS400'!CU25</f>
        <v>0</v>
      </c>
      <c r="CX25" s="7">
        <f>'AS400'!CV25</f>
        <v>0</v>
      </c>
      <c r="CY25" s="7">
        <f>'AS400'!CW25</f>
        <v>0</v>
      </c>
      <c r="CZ25" s="7" t="str">
        <f>'AS400'!CX25</f>
        <v>STLV</v>
      </c>
      <c r="DA25" s="7">
        <f>'AS400'!CY25</f>
        <v>818</v>
      </c>
      <c r="DB25" s="7">
        <f>'AS400'!CZ25</f>
        <v>0</v>
      </c>
      <c r="DC25" s="7">
        <f>'AS400'!DA25</f>
        <v>12</v>
      </c>
      <c r="DD25" s="7">
        <f>'AS400'!DB25</f>
        <v>20180201</v>
      </c>
      <c r="DE25" s="7">
        <f>'AS400'!DC25</f>
        <v>0</v>
      </c>
      <c r="DF25" s="7">
        <f>'AS400'!DD25</f>
        <v>0</v>
      </c>
      <c r="DG25" s="7">
        <f>'AS400'!DE25</f>
        <v>21</v>
      </c>
      <c r="DI25" s="7">
        <f>'AS400'!DF25</f>
        <v>66</v>
      </c>
      <c r="DJ25" s="7">
        <f>'AS400'!DG25</f>
        <v>0</v>
      </c>
      <c r="DK25" s="7">
        <f>'AS400'!DH25</f>
        <v>0</v>
      </c>
      <c r="DL25" s="7">
        <f>'AS400'!DI25</f>
        <v>0</v>
      </c>
      <c r="DM25" s="7">
        <f>'AS400'!DJ25</f>
        <v>0</v>
      </c>
      <c r="DN25" s="7">
        <f>'AS400'!DK25</f>
        <v>0</v>
      </c>
      <c r="DO25" s="7">
        <f>'AS400'!DL25</f>
        <v>0</v>
      </c>
      <c r="DP25" s="7">
        <f>'AS400'!DM25</f>
        <v>0</v>
      </c>
      <c r="DQ25" s="7">
        <f>'AS400'!DN25</f>
        <v>0</v>
      </c>
      <c r="DR25" s="7">
        <f>'AS400'!DO25</f>
        <v>0</v>
      </c>
      <c r="DS25" s="7">
        <f>'AS400'!DP25</f>
        <v>0</v>
      </c>
      <c r="DT25" s="7">
        <f>'AS400'!DQ25</f>
        <v>0</v>
      </c>
      <c r="DU25" s="7">
        <f>'AS400'!DR25</f>
        <v>0</v>
      </c>
      <c r="DV25" s="7">
        <f>'AS400'!DS25</f>
        <v>0</v>
      </c>
      <c r="DW25" s="7">
        <f>'AS400'!DT25</f>
        <v>0</v>
      </c>
      <c r="DX25" s="7">
        <f>'AS400'!DU25</f>
        <v>0</v>
      </c>
      <c r="DY25" s="7">
        <f>'AS400'!DV25</f>
        <v>0</v>
      </c>
      <c r="DZ25" s="8">
        <f>'AS400'!DW25</f>
        <v>1</v>
      </c>
      <c r="EA25" s="7">
        <f>'AS400'!DX25</f>
        <v>4</v>
      </c>
      <c r="EB25" s="7" t="str">
        <f>'AS400'!DY25</f>
        <v>PUDS</v>
      </c>
      <c r="EC25" s="7">
        <f>'AS400'!DZ25</f>
        <v>100</v>
      </c>
      <c r="ED25" s="7">
        <f>'AS400'!EA25</f>
        <v>20180301</v>
      </c>
      <c r="EE25" s="7">
        <f>'AS400'!EB25</f>
        <v>20180301</v>
      </c>
      <c r="EF25" s="7" t="str">
        <f>'AS400'!EC25</f>
        <v>S</v>
      </c>
      <c r="EG25" s="7" t="str">
        <f>'AS400'!ED25</f>
        <v>MS</v>
      </c>
      <c r="EH25" s="7">
        <f>'AS400'!EE25</f>
        <v>20180301</v>
      </c>
      <c r="EI25" s="7">
        <f>'AS400'!EF25</f>
        <v>0</v>
      </c>
      <c r="EJ25" s="7">
        <f>'AS400'!EG25</f>
        <v>0</v>
      </c>
      <c r="EK25" s="7">
        <f>'AS400'!EH25</f>
        <v>0</v>
      </c>
      <c r="EL25" s="7">
        <f>'AS400'!EI25</f>
        <v>0</v>
      </c>
      <c r="EM25" s="7" t="str">
        <f>'AS400'!EJ25</f>
        <v>STLV</v>
      </c>
      <c r="EN25" s="7">
        <f>'AS400'!EK25</f>
        <v>818</v>
      </c>
      <c r="EO25" s="7">
        <f>'AS400'!EL25</f>
        <v>0</v>
      </c>
      <c r="EP25" s="7">
        <f>'AS400'!EM25</f>
        <v>12</v>
      </c>
      <c r="EQ25" s="7">
        <f>'AS400'!EN25</f>
        <v>20180201</v>
      </c>
      <c r="ER25" s="7">
        <f>'AS400'!EO25</f>
        <v>0</v>
      </c>
      <c r="ES25" s="7">
        <f>'AS400'!EP25</f>
        <v>0</v>
      </c>
      <c r="ET25" s="7">
        <f>'AS400'!EQ25</f>
        <v>9</v>
      </c>
      <c r="EV25" s="7">
        <f>'AS400'!ER25</f>
        <v>66</v>
      </c>
      <c r="EW25" s="7">
        <f>'AS400'!ES25</f>
        <v>0</v>
      </c>
      <c r="EX25" s="7">
        <f>'AS400'!ET25</f>
        <v>0</v>
      </c>
      <c r="EY25" s="7">
        <f>'AS400'!EU25</f>
        <v>0</v>
      </c>
      <c r="EZ25" s="7">
        <f>'AS400'!EV25</f>
        <v>0</v>
      </c>
      <c r="FA25" s="7">
        <f>'AS400'!EW25</f>
        <v>0</v>
      </c>
      <c r="FB25" s="7">
        <f>'AS400'!EX25</f>
        <v>0</v>
      </c>
      <c r="FC25" s="7">
        <f>'AS400'!EY25</f>
        <v>0</v>
      </c>
      <c r="FD25" s="7">
        <f>'AS400'!EZ25</f>
        <v>0</v>
      </c>
      <c r="FE25" s="7">
        <f>'AS400'!FA25</f>
        <v>0</v>
      </c>
      <c r="FF25" s="7">
        <f>'AS400'!FB25</f>
        <v>0</v>
      </c>
      <c r="FG25" s="7">
        <f>'AS400'!FC25</f>
        <v>0</v>
      </c>
      <c r="FH25" s="7">
        <f>'AS400'!FD25</f>
        <v>0</v>
      </c>
      <c r="FI25" s="7">
        <f>'AS400'!FE25</f>
        <v>0</v>
      </c>
      <c r="FJ25" s="7">
        <f>'AS400'!FF25</f>
        <v>0</v>
      </c>
      <c r="FK25" s="7">
        <f>'AS400'!FG25</f>
        <v>0</v>
      </c>
      <c r="FL25" s="7">
        <f>'AS400'!FH25</f>
        <v>0</v>
      </c>
      <c r="FM25" s="7">
        <f>'AS400'!FI25</f>
        <v>1</v>
      </c>
      <c r="FN25" s="7">
        <f>'AS400'!FJ25</f>
        <v>1</v>
      </c>
      <c r="FO25" s="7">
        <f>'AS400'!FO25</f>
        <v>0</v>
      </c>
      <c r="FP25" s="7">
        <f>'AS400'!FP25</f>
        <v>4</v>
      </c>
      <c r="FQ25" s="7">
        <f>'AS400'!FQ25</f>
        <v>1</v>
      </c>
      <c r="FR25" s="7">
        <f>'AS400'!FR25</f>
        <v>1</v>
      </c>
      <c r="FS25" s="13">
        <f>'AS400'!FO25</f>
        <v>0</v>
      </c>
    </row>
    <row r="26" spans="1:175">
      <c r="A26" s="7">
        <f>'AS400'!A26</f>
        <v>20</v>
      </c>
      <c r="B26" s="7">
        <f>'AS400'!B26</f>
        <v>20190301</v>
      </c>
      <c r="C26" s="7">
        <f>'AS400'!C26</f>
        <v>0</v>
      </c>
      <c r="D26" s="7" t="str">
        <f>'AS400'!D26</f>
        <v>N</v>
      </c>
      <c r="E26" s="7" t="str">
        <f>'AS400'!E26</f>
        <v>N</v>
      </c>
      <c r="F26" s="7" t="str">
        <f>'AS400'!F26</f>
        <v>Y</v>
      </c>
      <c r="G26" s="7">
        <f>'AS400'!G26</f>
        <v>0</v>
      </c>
      <c r="H26" s="14"/>
      <c r="I26" s="7" t="str">
        <f>'AS400'!I26</f>
        <v>RSA</v>
      </c>
      <c r="J26" s="7" t="str">
        <f>'AS400'!J26</f>
        <v>METR</v>
      </c>
      <c r="K26" s="7" t="str">
        <f>'AS400'!K26</f>
        <v>N</v>
      </c>
      <c r="L26" s="7">
        <f>'AS400'!L26</f>
        <v>4</v>
      </c>
      <c r="M26" s="8">
        <f>'AS400'!M26</f>
        <v>1</v>
      </c>
      <c r="N26" s="7">
        <f>'AS400'!N26</f>
        <v>1</v>
      </c>
      <c r="O26" s="7" t="str">
        <f>'AS400'!O26</f>
        <v>MFSP</v>
      </c>
      <c r="P26" s="7">
        <f>'AS400'!P26</f>
        <v>100</v>
      </c>
      <c r="Q26" s="7">
        <f>'AS400'!Q26</f>
        <v>20180301</v>
      </c>
      <c r="R26" s="7">
        <f>'AS400'!R26</f>
        <v>20180301</v>
      </c>
      <c r="S26" s="7" t="str">
        <f>'AS400'!S26</f>
        <v>M</v>
      </c>
      <c r="T26" s="7" t="str">
        <f>'AS400'!T26</f>
        <v>ML</v>
      </c>
      <c r="U26" s="7">
        <f>'AS400'!U26</f>
        <v>20190301</v>
      </c>
      <c r="V26" s="7">
        <f>'AS400'!V26</f>
        <v>6</v>
      </c>
      <c r="W26" s="7">
        <f>'AS400'!W26</f>
        <v>6</v>
      </c>
      <c r="X26" s="7" t="str">
        <f>'AS400'!X26</f>
        <v>MFIX</v>
      </c>
      <c r="Y26" s="7">
        <f>'AS400'!Y26</f>
        <v>0</v>
      </c>
      <c r="Z26" s="7" t="str">
        <f>'AS400'!Z26</f>
        <v>STLV</v>
      </c>
      <c r="AA26" s="7">
        <f>'AS400'!AA26</f>
        <v>818</v>
      </c>
      <c r="AB26" s="7">
        <f>'AS400'!AB26</f>
        <v>0</v>
      </c>
      <c r="AC26" s="7">
        <f>'AS400'!AC26</f>
        <v>12</v>
      </c>
      <c r="AD26" s="7">
        <f>'AS400'!AD26</f>
        <v>20180201</v>
      </c>
      <c r="AE26" s="7">
        <f>'AS400'!AE26</f>
        <v>0</v>
      </c>
      <c r="AF26" s="7">
        <f>'AS400'!AF26</f>
        <v>15000</v>
      </c>
      <c r="AG26" s="7">
        <f>'AS400'!AG26</f>
        <v>64</v>
      </c>
      <c r="AI26" s="7">
        <f>'AS400'!AH26</f>
        <v>65</v>
      </c>
      <c r="AJ26" s="7">
        <f>'AS400'!AI26</f>
        <v>0</v>
      </c>
      <c r="AK26" s="7">
        <f>'AS400'!AJ26</f>
        <v>0</v>
      </c>
      <c r="AL26" s="7">
        <f>'AS400'!AK26</f>
        <v>0</v>
      </c>
      <c r="AM26" s="7">
        <f>'AS400'!AL26</f>
        <v>0</v>
      </c>
      <c r="AN26" s="7">
        <f>'AS400'!AM26</f>
        <v>0</v>
      </c>
      <c r="AO26" s="7">
        <f>'AS400'!AN26</f>
        <v>0</v>
      </c>
      <c r="AP26" s="7">
        <f>'AS400'!AO26</f>
        <v>0</v>
      </c>
      <c r="AQ26" s="7">
        <f>'AS400'!AP26</f>
        <v>0</v>
      </c>
      <c r="AR26" s="7">
        <f>'AS400'!AQ26</f>
        <v>0</v>
      </c>
      <c r="AS26" s="7">
        <f>'AS400'!AR26</f>
        <v>0</v>
      </c>
      <c r="AT26" s="7">
        <f>'AS400'!AS26</f>
        <v>0</v>
      </c>
      <c r="AU26" s="7">
        <f>'AS400'!AT26</f>
        <v>0</v>
      </c>
      <c r="AV26" s="7">
        <f>'AS400'!AU26</f>
        <v>0</v>
      </c>
      <c r="AW26" s="7">
        <f>'AS400'!AV26</f>
        <v>0</v>
      </c>
      <c r="AX26" s="7">
        <f>'AS400'!AW26</f>
        <v>0</v>
      </c>
      <c r="AY26" s="7">
        <f>'AS400'!AX26</f>
        <v>0</v>
      </c>
      <c r="AZ26" s="8">
        <f>'AS400'!AY26</f>
        <v>1</v>
      </c>
      <c r="BA26" s="7">
        <f>'AS400'!AZ26</f>
        <v>2</v>
      </c>
      <c r="BB26" s="7" t="str">
        <f>'AS400'!BA26</f>
        <v>PURO</v>
      </c>
      <c r="BC26" s="7">
        <f>'AS400'!BB26</f>
        <v>100</v>
      </c>
      <c r="BD26" s="7">
        <f>'AS400'!BC26</f>
        <v>20180301</v>
      </c>
      <c r="BE26" s="7">
        <f>'AS400'!BD26</f>
        <v>20180301</v>
      </c>
      <c r="BF26" s="7" t="str">
        <f>'AS400'!BE26</f>
        <v>S</v>
      </c>
      <c r="BG26" s="7" t="str">
        <f>'AS400'!BF26</f>
        <v>ME</v>
      </c>
      <c r="BH26" s="7">
        <f>'AS400'!BG26</f>
        <v>20180301</v>
      </c>
      <c r="BI26" s="7">
        <f>'AS400'!BH26</f>
        <v>0</v>
      </c>
      <c r="BJ26" s="7">
        <f>'AS400'!BI26</f>
        <v>0</v>
      </c>
      <c r="BK26" s="7">
        <f>'AS400'!BJ26</f>
        <v>0</v>
      </c>
      <c r="BL26" s="7">
        <f>'AS400'!BK26</f>
        <v>0</v>
      </c>
      <c r="BM26" s="7" t="str">
        <f>'AS400'!BL26</f>
        <v>STLV</v>
      </c>
      <c r="BN26" s="7">
        <f>'AS400'!BM26</f>
        <v>818</v>
      </c>
      <c r="BO26" s="7">
        <f>'AS400'!BN26</f>
        <v>0</v>
      </c>
      <c r="BP26" s="7">
        <f>'AS400'!BO26</f>
        <v>12</v>
      </c>
      <c r="BQ26" s="7">
        <f>'AS400'!BP26</f>
        <v>20180201</v>
      </c>
      <c r="BR26" s="7">
        <f>'AS400'!BQ26</f>
        <v>0</v>
      </c>
      <c r="BS26" s="7">
        <f>'AS400'!BR26</f>
        <v>0</v>
      </c>
      <c r="BT26" s="7">
        <f>'AS400'!BS26</f>
        <v>35</v>
      </c>
      <c r="BV26" s="7">
        <f>'AS400'!BT26</f>
        <v>65</v>
      </c>
      <c r="BW26" s="7">
        <f>'AS400'!BU26</f>
        <v>0</v>
      </c>
      <c r="BX26" s="7">
        <f>'AS400'!BV26</f>
        <v>0</v>
      </c>
      <c r="BY26" s="7">
        <f>'AS400'!BW26</f>
        <v>0</v>
      </c>
      <c r="BZ26" s="7">
        <f>'AS400'!BX26</f>
        <v>0</v>
      </c>
      <c r="CA26" s="7">
        <f>'AS400'!BY26</f>
        <v>0</v>
      </c>
      <c r="CB26" s="7">
        <f>'AS400'!BZ26</f>
        <v>0</v>
      </c>
      <c r="CC26" s="7">
        <f>'AS400'!CA26</f>
        <v>0</v>
      </c>
      <c r="CD26" s="7">
        <f>'AS400'!CB26</f>
        <v>0</v>
      </c>
      <c r="CE26" s="7">
        <f>'AS400'!CC26</f>
        <v>0</v>
      </c>
      <c r="CF26" s="7">
        <f>'AS400'!CD26</f>
        <v>0</v>
      </c>
      <c r="CG26" s="7">
        <f>'AS400'!CE26</f>
        <v>0</v>
      </c>
      <c r="CH26" s="7">
        <f>'AS400'!CF26</f>
        <v>0</v>
      </c>
      <c r="CI26" s="7">
        <f>'AS400'!CG26</f>
        <v>0</v>
      </c>
      <c r="CJ26" s="7">
        <f>'AS400'!CH26</f>
        <v>0</v>
      </c>
      <c r="CK26" s="7">
        <f>'AS400'!CI26</f>
        <v>0</v>
      </c>
      <c r="CL26" s="7">
        <f>'AS400'!CJ26</f>
        <v>0</v>
      </c>
      <c r="CM26" s="8">
        <f>'AS400'!CK26</f>
        <v>1</v>
      </c>
      <c r="CN26" s="7">
        <f>'AS400'!CL26</f>
        <v>3</v>
      </c>
      <c r="CO26" s="7" t="str">
        <f>'AS400'!CM26</f>
        <v>PUDT</v>
      </c>
      <c r="CP26" s="7">
        <f>'AS400'!CN26</f>
        <v>100</v>
      </c>
      <c r="CQ26" s="7">
        <f>'AS400'!CO26</f>
        <v>20180301</v>
      </c>
      <c r="CR26" s="7">
        <f>'AS400'!CP26</f>
        <v>20180301</v>
      </c>
      <c r="CS26" s="7" t="str">
        <f>'AS400'!CQ26</f>
        <v>S</v>
      </c>
      <c r="CT26" s="7" t="str">
        <f>'AS400'!CR26</f>
        <v>MT</v>
      </c>
      <c r="CU26" s="7">
        <f>'AS400'!CS26</f>
        <v>20180301</v>
      </c>
      <c r="CV26" s="7">
        <f>'AS400'!CT26</f>
        <v>0</v>
      </c>
      <c r="CW26" s="7">
        <f>'AS400'!CU26</f>
        <v>0</v>
      </c>
      <c r="CX26" s="7">
        <f>'AS400'!CV26</f>
        <v>0</v>
      </c>
      <c r="CY26" s="7">
        <f>'AS400'!CW26</f>
        <v>0</v>
      </c>
      <c r="CZ26" s="7" t="str">
        <f>'AS400'!CX26</f>
        <v>STLV</v>
      </c>
      <c r="DA26" s="7">
        <f>'AS400'!CY26</f>
        <v>818</v>
      </c>
      <c r="DB26" s="7">
        <f>'AS400'!CZ26</f>
        <v>0</v>
      </c>
      <c r="DC26" s="7">
        <f>'AS400'!DA26</f>
        <v>12</v>
      </c>
      <c r="DD26" s="7">
        <f>'AS400'!DB26</f>
        <v>20180201</v>
      </c>
      <c r="DE26" s="7">
        <f>'AS400'!DC26</f>
        <v>0</v>
      </c>
      <c r="DF26" s="7">
        <f>'AS400'!DD26</f>
        <v>0</v>
      </c>
      <c r="DG26" s="7">
        <f>'AS400'!DE26</f>
        <v>22</v>
      </c>
      <c r="DI26" s="7">
        <f>'AS400'!DF26</f>
        <v>65</v>
      </c>
      <c r="DJ26" s="7">
        <f>'AS400'!DG26</f>
        <v>0</v>
      </c>
      <c r="DK26" s="7">
        <f>'AS400'!DH26</f>
        <v>0</v>
      </c>
      <c r="DL26" s="7">
        <f>'AS400'!DI26</f>
        <v>0</v>
      </c>
      <c r="DM26" s="7">
        <f>'AS400'!DJ26</f>
        <v>0</v>
      </c>
      <c r="DN26" s="7">
        <f>'AS400'!DK26</f>
        <v>0</v>
      </c>
      <c r="DO26" s="7">
        <f>'AS400'!DL26</f>
        <v>0</v>
      </c>
      <c r="DP26" s="7">
        <f>'AS400'!DM26</f>
        <v>0</v>
      </c>
      <c r="DQ26" s="7">
        <f>'AS400'!DN26</f>
        <v>0</v>
      </c>
      <c r="DR26" s="7">
        <f>'AS400'!DO26</f>
        <v>0</v>
      </c>
      <c r="DS26" s="7">
        <f>'AS400'!DP26</f>
        <v>0</v>
      </c>
      <c r="DT26" s="7">
        <f>'AS400'!DQ26</f>
        <v>0</v>
      </c>
      <c r="DU26" s="7">
        <f>'AS400'!DR26</f>
        <v>0</v>
      </c>
      <c r="DV26" s="7">
        <f>'AS400'!DS26</f>
        <v>0</v>
      </c>
      <c r="DW26" s="7">
        <f>'AS400'!DT26</f>
        <v>0</v>
      </c>
      <c r="DX26" s="7">
        <f>'AS400'!DU26</f>
        <v>0</v>
      </c>
      <c r="DY26" s="7">
        <f>'AS400'!DV26</f>
        <v>0</v>
      </c>
      <c r="DZ26" s="8">
        <f>'AS400'!DW26</f>
        <v>1</v>
      </c>
      <c r="EA26" s="7">
        <f>'AS400'!DX26</f>
        <v>4</v>
      </c>
      <c r="EB26" s="7" t="str">
        <f>'AS400'!DY26</f>
        <v>PUDS</v>
      </c>
      <c r="EC26" s="7">
        <f>'AS400'!DZ26</f>
        <v>100</v>
      </c>
      <c r="ED26" s="7">
        <f>'AS400'!EA26</f>
        <v>20180301</v>
      </c>
      <c r="EE26" s="7">
        <f>'AS400'!EB26</f>
        <v>20180301</v>
      </c>
      <c r="EF26" s="7" t="str">
        <f>'AS400'!EC26</f>
        <v>S</v>
      </c>
      <c r="EG26" s="7" t="str">
        <f>'AS400'!ED26</f>
        <v>MS</v>
      </c>
      <c r="EH26" s="7">
        <f>'AS400'!EE26</f>
        <v>20180301</v>
      </c>
      <c r="EI26" s="7">
        <f>'AS400'!EF26</f>
        <v>0</v>
      </c>
      <c r="EJ26" s="7">
        <f>'AS400'!EG26</f>
        <v>0</v>
      </c>
      <c r="EK26" s="7">
        <f>'AS400'!EH26</f>
        <v>0</v>
      </c>
      <c r="EL26" s="7">
        <f>'AS400'!EI26</f>
        <v>0</v>
      </c>
      <c r="EM26" s="7" t="str">
        <f>'AS400'!EJ26</f>
        <v>STLV</v>
      </c>
      <c r="EN26" s="7">
        <f>'AS400'!EK26</f>
        <v>818</v>
      </c>
      <c r="EO26" s="7">
        <f>'AS400'!EL26</f>
        <v>0</v>
      </c>
      <c r="EP26" s="7">
        <f>'AS400'!EM26</f>
        <v>12</v>
      </c>
      <c r="EQ26" s="7">
        <f>'AS400'!EN26</f>
        <v>20180201</v>
      </c>
      <c r="ER26" s="7">
        <f>'AS400'!EO26</f>
        <v>0</v>
      </c>
      <c r="ES26" s="7">
        <f>'AS400'!EP26</f>
        <v>0</v>
      </c>
      <c r="ET26" s="7">
        <f>'AS400'!EQ26</f>
        <v>10</v>
      </c>
      <c r="EV26" s="7">
        <f>'AS400'!ER26</f>
        <v>65</v>
      </c>
      <c r="EW26" s="7">
        <f>'AS400'!ES26</f>
        <v>0</v>
      </c>
      <c r="EX26" s="7">
        <f>'AS400'!ET26</f>
        <v>0</v>
      </c>
      <c r="EY26" s="7">
        <f>'AS400'!EU26</f>
        <v>0</v>
      </c>
      <c r="EZ26" s="7">
        <f>'AS400'!EV26</f>
        <v>0</v>
      </c>
      <c r="FA26" s="7">
        <f>'AS400'!EW26</f>
        <v>0</v>
      </c>
      <c r="FB26" s="7">
        <f>'AS400'!EX26</f>
        <v>0</v>
      </c>
      <c r="FC26" s="7">
        <f>'AS400'!EY26</f>
        <v>0</v>
      </c>
      <c r="FD26" s="7">
        <f>'AS400'!EZ26</f>
        <v>0</v>
      </c>
      <c r="FE26" s="7">
        <f>'AS400'!FA26</f>
        <v>0</v>
      </c>
      <c r="FF26" s="7">
        <f>'AS400'!FB26</f>
        <v>0</v>
      </c>
      <c r="FG26" s="7">
        <f>'AS400'!FC26</f>
        <v>0</v>
      </c>
      <c r="FH26" s="7">
        <f>'AS400'!FD26</f>
        <v>0</v>
      </c>
      <c r="FI26" s="7">
        <f>'AS400'!FE26</f>
        <v>0</v>
      </c>
      <c r="FJ26" s="7">
        <f>'AS400'!FF26</f>
        <v>0</v>
      </c>
      <c r="FK26" s="7">
        <f>'AS400'!FG26</f>
        <v>0</v>
      </c>
      <c r="FL26" s="7">
        <f>'AS400'!FH26</f>
        <v>0</v>
      </c>
      <c r="FM26" s="7">
        <f>'AS400'!FI26</f>
        <v>1</v>
      </c>
      <c r="FN26" s="7">
        <f>'AS400'!FJ26</f>
        <v>1</v>
      </c>
      <c r="FO26" s="7">
        <f>'AS400'!FO26</f>
        <v>0</v>
      </c>
      <c r="FP26" s="7">
        <f>'AS400'!FP26</f>
        <v>4</v>
      </c>
      <c r="FQ26" s="7">
        <f>'AS400'!FQ26</f>
        <v>1</v>
      </c>
      <c r="FR26" s="7">
        <f>'AS400'!FR26</f>
        <v>1</v>
      </c>
      <c r="FS26" s="13">
        <f>'AS400'!FO26</f>
        <v>0</v>
      </c>
    </row>
    <row r="27" spans="1:175">
      <c r="A27" s="7">
        <f>'AS400'!A27</f>
        <v>21</v>
      </c>
      <c r="B27" s="7">
        <f>'AS400'!B27</f>
        <v>20190301</v>
      </c>
      <c r="C27" s="7">
        <f>'AS400'!C27</f>
        <v>0</v>
      </c>
      <c r="D27" s="7" t="str">
        <f>'AS400'!D27</f>
        <v>N</v>
      </c>
      <c r="E27" s="7" t="str">
        <f>'AS400'!E27</f>
        <v>N</v>
      </c>
      <c r="F27" s="7" t="str">
        <f>'AS400'!F27</f>
        <v>Y</v>
      </c>
      <c r="G27" s="7">
        <f>'AS400'!G27</f>
        <v>0</v>
      </c>
      <c r="H27" s="14"/>
      <c r="I27" s="7" t="str">
        <f>'AS400'!I27</f>
        <v>RSA</v>
      </c>
      <c r="J27" s="7" t="str">
        <f>'AS400'!J27</f>
        <v>METR</v>
      </c>
      <c r="K27" s="7" t="str">
        <f>'AS400'!K27</f>
        <v>N</v>
      </c>
      <c r="L27" s="7">
        <f>'AS400'!L27</f>
        <v>4</v>
      </c>
      <c r="M27" s="8">
        <f>'AS400'!M27</f>
        <v>1</v>
      </c>
      <c r="N27" s="7">
        <f>'AS400'!N27</f>
        <v>1</v>
      </c>
      <c r="O27" s="7" t="str">
        <f>'AS400'!O27</f>
        <v>MFSP</v>
      </c>
      <c r="P27" s="7">
        <f>'AS400'!P27</f>
        <v>100</v>
      </c>
      <c r="Q27" s="7">
        <f>'AS400'!Q27</f>
        <v>20180301</v>
      </c>
      <c r="R27" s="7">
        <f>'AS400'!R27</f>
        <v>20180301</v>
      </c>
      <c r="S27" s="7" t="str">
        <f>'AS400'!S27</f>
        <v>M</v>
      </c>
      <c r="T27" s="7" t="str">
        <f>'AS400'!T27</f>
        <v>MP</v>
      </c>
      <c r="U27" s="7">
        <f>'AS400'!U27</f>
        <v>20190301</v>
      </c>
      <c r="V27" s="7">
        <f>'AS400'!V27</f>
        <v>6</v>
      </c>
      <c r="W27" s="7">
        <f>'AS400'!W27</f>
        <v>6</v>
      </c>
      <c r="X27" s="7" t="str">
        <f>'AS400'!X27</f>
        <v>MFIX</v>
      </c>
      <c r="Y27" s="7">
        <f>'AS400'!Y27</f>
        <v>0</v>
      </c>
      <c r="Z27" s="7" t="str">
        <f>'AS400'!Z27</f>
        <v>STLV</v>
      </c>
      <c r="AA27" s="7">
        <f>'AS400'!AA27</f>
        <v>818</v>
      </c>
      <c r="AB27" s="7">
        <f>'AS400'!AB27</f>
        <v>0</v>
      </c>
      <c r="AC27" s="7">
        <f>'AS400'!AC27</f>
        <v>12</v>
      </c>
      <c r="AD27" s="7">
        <f>'AS400'!AD27</f>
        <v>20180201</v>
      </c>
      <c r="AE27" s="7">
        <f>'AS400'!AE27</f>
        <v>0</v>
      </c>
      <c r="AF27" s="7">
        <f>'AS400'!AF27</f>
        <v>20000</v>
      </c>
      <c r="AG27" s="7">
        <f>'AS400'!AG27</f>
        <v>80</v>
      </c>
      <c r="AI27" s="7">
        <f>'AS400'!AH27</f>
        <v>64</v>
      </c>
      <c r="AJ27" s="7">
        <f>'AS400'!AI27</f>
        <v>0</v>
      </c>
      <c r="AK27" s="7">
        <f>'AS400'!AJ27</f>
        <v>0</v>
      </c>
      <c r="AL27" s="7">
        <f>'AS400'!AK27</f>
        <v>0</v>
      </c>
      <c r="AM27" s="7">
        <f>'AS400'!AL27</f>
        <v>0</v>
      </c>
      <c r="AN27" s="7">
        <f>'AS400'!AM27</f>
        <v>0</v>
      </c>
      <c r="AO27" s="7">
        <f>'AS400'!AN27</f>
        <v>0</v>
      </c>
      <c r="AP27" s="7">
        <f>'AS400'!AO27</f>
        <v>0</v>
      </c>
      <c r="AQ27" s="7">
        <f>'AS400'!AP27</f>
        <v>0</v>
      </c>
      <c r="AR27" s="7">
        <f>'AS400'!AQ27</f>
        <v>0</v>
      </c>
      <c r="AS27" s="7">
        <f>'AS400'!AR27</f>
        <v>0</v>
      </c>
      <c r="AT27" s="7">
        <f>'AS400'!AS27</f>
        <v>0</v>
      </c>
      <c r="AU27" s="7">
        <f>'AS400'!AT27</f>
        <v>0</v>
      </c>
      <c r="AV27" s="7">
        <f>'AS400'!AU27</f>
        <v>0</v>
      </c>
      <c r="AW27" s="7">
        <f>'AS400'!AV27</f>
        <v>0</v>
      </c>
      <c r="AX27" s="7">
        <f>'AS400'!AW27</f>
        <v>0</v>
      </c>
      <c r="AY27" s="7">
        <f>'AS400'!AX27</f>
        <v>0</v>
      </c>
      <c r="AZ27" s="8">
        <f>'AS400'!AY27</f>
        <v>1</v>
      </c>
      <c r="BA27" s="7">
        <f>'AS400'!AZ27</f>
        <v>2</v>
      </c>
      <c r="BB27" s="7" t="str">
        <f>'AS400'!BA27</f>
        <v>PURO</v>
      </c>
      <c r="BC27" s="7">
        <f>'AS400'!BB27</f>
        <v>100</v>
      </c>
      <c r="BD27" s="7">
        <f>'AS400'!BC27</f>
        <v>20180301</v>
      </c>
      <c r="BE27" s="7">
        <f>'AS400'!BD27</f>
        <v>20180301</v>
      </c>
      <c r="BF27" s="7" t="str">
        <f>'AS400'!BE27</f>
        <v>S</v>
      </c>
      <c r="BG27" s="7" t="str">
        <f>'AS400'!BF27</f>
        <v>ME</v>
      </c>
      <c r="BH27" s="7">
        <f>'AS400'!BG27</f>
        <v>20180301</v>
      </c>
      <c r="BI27" s="7">
        <f>'AS400'!BH27</f>
        <v>0</v>
      </c>
      <c r="BJ27" s="7">
        <f>'AS400'!BI27</f>
        <v>0</v>
      </c>
      <c r="BK27" s="7">
        <f>'AS400'!BJ27</f>
        <v>0</v>
      </c>
      <c r="BL27" s="7">
        <f>'AS400'!BK27</f>
        <v>0</v>
      </c>
      <c r="BM27" s="7" t="str">
        <f>'AS400'!BL27</f>
        <v>STLV</v>
      </c>
      <c r="BN27" s="7">
        <f>'AS400'!BM27</f>
        <v>818</v>
      </c>
      <c r="BO27" s="7">
        <f>'AS400'!BN27</f>
        <v>0</v>
      </c>
      <c r="BP27" s="7">
        <f>'AS400'!BO27</f>
        <v>12</v>
      </c>
      <c r="BQ27" s="7">
        <f>'AS400'!BP27</f>
        <v>20180201</v>
      </c>
      <c r="BR27" s="7">
        <f>'AS400'!BQ27</f>
        <v>0</v>
      </c>
      <c r="BS27" s="7">
        <f>'AS400'!BR27</f>
        <v>0</v>
      </c>
      <c r="BT27" s="7">
        <f>'AS400'!BS27</f>
        <v>43</v>
      </c>
      <c r="BV27" s="7">
        <f>'AS400'!BT27</f>
        <v>64</v>
      </c>
      <c r="BW27" s="7">
        <f>'AS400'!BU27</f>
        <v>0</v>
      </c>
      <c r="BX27" s="7">
        <f>'AS400'!BV27</f>
        <v>0</v>
      </c>
      <c r="BY27" s="7">
        <f>'AS400'!BW27</f>
        <v>0</v>
      </c>
      <c r="BZ27" s="7">
        <f>'AS400'!BX27</f>
        <v>0</v>
      </c>
      <c r="CA27" s="7">
        <f>'AS400'!BY27</f>
        <v>0</v>
      </c>
      <c r="CB27" s="7">
        <f>'AS400'!BZ27</f>
        <v>0</v>
      </c>
      <c r="CC27" s="7">
        <f>'AS400'!CA27</f>
        <v>0</v>
      </c>
      <c r="CD27" s="7">
        <f>'AS400'!CB27</f>
        <v>0</v>
      </c>
      <c r="CE27" s="7">
        <f>'AS400'!CC27</f>
        <v>0</v>
      </c>
      <c r="CF27" s="7">
        <f>'AS400'!CD27</f>
        <v>0</v>
      </c>
      <c r="CG27" s="7">
        <f>'AS400'!CE27</f>
        <v>0</v>
      </c>
      <c r="CH27" s="7">
        <f>'AS400'!CF27</f>
        <v>0</v>
      </c>
      <c r="CI27" s="7">
        <f>'AS400'!CG27</f>
        <v>0</v>
      </c>
      <c r="CJ27" s="7">
        <f>'AS400'!CH27</f>
        <v>0</v>
      </c>
      <c r="CK27" s="7">
        <f>'AS400'!CI27</f>
        <v>0</v>
      </c>
      <c r="CL27" s="7">
        <f>'AS400'!CJ27</f>
        <v>0</v>
      </c>
      <c r="CM27" s="8">
        <f>'AS400'!CK27</f>
        <v>1</v>
      </c>
      <c r="CN27" s="7">
        <f>'AS400'!CL27</f>
        <v>3</v>
      </c>
      <c r="CO27" s="7" t="str">
        <f>'AS400'!CM27</f>
        <v>PUDT</v>
      </c>
      <c r="CP27" s="7">
        <f>'AS400'!CN27</f>
        <v>100</v>
      </c>
      <c r="CQ27" s="7">
        <f>'AS400'!CO27</f>
        <v>20180301</v>
      </c>
      <c r="CR27" s="7">
        <f>'AS400'!CP27</f>
        <v>20180301</v>
      </c>
      <c r="CS27" s="7" t="str">
        <f>'AS400'!CQ27</f>
        <v>S</v>
      </c>
      <c r="CT27" s="7" t="str">
        <f>'AS400'!CR27</f>
        <v>MT</v>
      </c>
      <c r="CU27" s="7">
        <f>'AS400'!CS27</f>
        <v>20180301</v>
      </c>
      <c r="CV27" s="7">
        <f>'AS400'!CT27</f>
        <v>0</v>
      </c>
      <c r="CW27" s="7">
        <f>'AS400'!CU27</f>
        <v>0</v>
      </c>
      <c r="CX27" s="7">
        <f>'AS400'!CV27</f>
        <v>0</v>
      </c>
      <c r="CY27" s="7">
        <f>'AS400'!CW27</f>
        <v>0</v>
      </c>
      <c r="CZ27" s="7" t="str">
        <f>'AS400'!CX27</f>
        <v>STLV</v>
      </c>
      <c r="DA27" s="7">
        <f>'AS400'!CY27</f>
        <v>818</v>
      </c>
      <c r="DB27" s="7">
        <f>'AS400'!CZ27</f>
        <v>0</v>
      </c>
      <c r="DC27" s="7">
        <f>'AS400'!DA27</f>
        <v>12</v>
      </c>
      <c r="DD27" s="7">
        <f>'AS400'!DB27</f>
        <v>20180201</v>
      </c>
      <c r="DE27" s="7">
        <f>'AS400'!DC27</f>
        <v>0</v>
      </c>
      <c r="DF27" s="7">
        <f>'AS400'!DD27</f>
        <v>0</v>
      </c>
      <c r="DG27" s="7">
        <f>'AS400'!DE27</f>
        <v>27</v>
      </c>
      <c r="DI27" s="7">
        <f>'AS400'!DF27</f>
        <v>64</v>
      </c>
      <c r="DJ27" s="7">
        <f>'AS400'!DG27</f>
        <v>0</v>
      </c>
      <c r="DK27" s="7">
        <f>'AS400'!DH27</f>
        <v>0</v>
      </c>
      <c r="DL27" s="7">
        <f>'AS400'!DI27</f>
        <v>0</v>
      </c>
      <c r="DM27" s="7">
        <f>'AS400'!DJ27</f>
        <v>0</v>
      </c>
      <c r="DN27" s="7">
        <f>'AS400'!DK27</f>
        <v>0</v>
      </c>
      <c r="DO27" s="7">
        <f>'AS400'!DL27</f>
        <v>0</v>
      </c>
      <c r="DP27" s="7">
        <f>'AS400'!DM27</f>
        <v>0</v>
      </c>
      <c r="DQ27" s="7">
        <f>'AS400'!DN27</f>
        <v>0</v>
      </c>
      <c r="DR27" s="7">
        <f>'AS400'!DO27</f>
        <v>0</v>
      </c>
      <c r="DS27" s="7">
        <f>'AS400'!DP27</f>
        <v>0</v>
      </c>
      <c r="DT27" s="7">
        <f>'AS400'!DQ27</f>
        <v>0</v>
      </c>
      <c r="DU27" s="7">
        <f>'AS400'!DR27</f>
        <v>0</v>
      </c>
      <c r="DV27" s="7">
        <f>'AS400'!DS27</f>
        <v>0</v>
      </c>
      <c r="DW27" s="7">
        <f>'AS400'!DT27</f>
        <v>0</v>
      </c>
      <c r="DX27" s="7">
        <f>'AS400'!DU27</f>
        <v>0</v>
      </c>
      <c r="DY27" s="7">
        <f>'AS400'!DV27</f>
        <v>0</v>
      </c>
      <c r="DZ27" s="8">
        <f>'AS400'!DW27</f>
        <v>1</v>
      </c>
      <c r="EA27" s="7">
        <f>'AS400'!DX27</f>
        <v>4</v>
      </c>
      <c r="EB27" s="7" t="str">
        <f>'AS400'!DY27</f>
        <v>PUDS</v>
      </c>
      <c r="EC27" s="7">
        <f>'AS400'!DZ27</f>
        <v>100</v>
      </c>
      <c r="ED27" s="7">
        <f>'AS400'!EA27</f>
        <v>20180301</v>
      </c>
      <c r="EE27" s="7">
        <f>'AS400'!EB27</f>
        <v>20180301</v>
      </c>
      <c r="EF27" s="7" t="str">
        <f>'AS400'!EC27</f>
        <v>S</v>
      </c>
      <c r="EG27" s="7" t="str">
        <f>'AS400'!ED27</f>
        <v>MS</v>
      </c>
      <c r="EH27" s="7">
        <f>'AS400'!EE27</f>
        <v>20180301</v>
      </c>
      <c r="EI27" s="7">
        <f>'AS400'!EF27</f>
        <v>0</v>
      </c>
      <c r="EJ27" s="7">
        <f>'AS400'!EG27</f>
        <v>0</v>
      </c>
      <c r="EK27" s="7">
        <f>'AS400'!EH27</f>
        <v>0</v>
      </c>
      <c r="EL27" s="7">
        <f>'AS400'!EI27</f>
        <v>0</v>
      </c>
      <c r="EM27" s="7" t="str">
        <f>'AS400'!EJ27</f>
        <v>STLV</v>
      </c>
      <c r="EN27" s="7">
        <f>'AS400'!EK27</f>
        <v>818</v>
      </c>
      <c r="EO27" s="7">
        <f>'AS400'!EL27</f>
        <v>0</v>
      </c>
      <c r="EP27" s="7">
        <f>'AS400'!EM27</f>
        <v>12</v>
      </c>
      <c r="EQ27" s="7">
        <f>'AS400'!EN27</f>
        <v>20180201</v>
      </c>
      <c r="ER27" s="7">
        <f>'AS400'!EO27</f>
        <v>0</v>
      </c>
      <c r="ES27" s="7">
        <f>'AS400'!EP27</f>
        <v>0</v>
      </c>
      <c r="ET27" s="7">
        <f>'AS400'!EQ27</f>
        <v>11</v>
      </c>
      <c r="EV27" s="7">
        <f>'AS400'!ER27</f>
        <v>64</v>
      </c>
      <c r="EW27" s="7">
        <f>'AS400'!ES27</f>
        <v>0</v>
      </c>
      <c r="EX27" s="7">
        <f>'AS400'!ET27</f>
        <v>0</v>
      </c>
      <c r="EY27" s="7">
        <f>'AS400'!EU27</f>
        <v>0</v>
      </c>
      <c r="EZ27" s="7">
        <f>'AS400'!EV27</f>
        <v>0</v>
      </c>
      <c r="FA27" s="7">
        <f>'AS400'!EW27</f>
        <v>0</v>
      </c>
      <c r="FB27" s="7">
        <f>'AS400'!EX27</f>
        <v>0</v>
      </c>
      <c r="FC27" s="7">
        <f>'AS400'!EY27</f>
        <v>0</v>
      </c>
      <c r="FD27" s="7">
        <f>'AS400'!EZ27</f>
        <v>0</v>
      </c>
      <c r="FE27" s="7">
        <f>'AS400'!FA27</f>
        <v>0</v>
      </c>
      <c r="FF27" s="7">
        <f>'AS400'!FB27</f>
        <v>0</v>
      </c>
      <c r="FG27" s="7">
        <f>'AS400'!FC27</f>
        <v>0</v>
      </c>
      <c r="FH27" s="7">
        <f>'AS400'!FD27</f>
        <v>0</v>
      </c>
      <c r="FI27" s="7">
        <f>'AS400'!FE27</f>
        <v>0</v>
      </c>
      <c r="FJ27" s="7">
        <f>'AS400'!FF27</f>
        <v>0</v>
      </c>
      <c r="FK27" s="7">
        <f>'AS400'!FG27</f>
        <v>0</v>
      </c>
      <c r="FL27" s="7">
        <f>'AS400'!FH27</f>
        <v>0</v>
      </c>
      <c r="FM27" s="7">
        <f>'AS400'!FI27</f>
        <v>1</v>
      </c>
      <c r="FN27" s="7">
        <f>'AS400'!FJ27</f>
        <v>1</v>
      </c>
      <c r="FO27" s="7">
        <f>'AS400'!FO27</f>
        <v>0</v>
      </c>
      <c r="FP27" s="7">
        <f>'AS400'!FP27</f>
        <v>4</v>
      </c>
      <c r="FQ27" s="7">
        <f>'AS400'!FQ27</f>
        <v>1</v>
      </c>
      <c r="FR27" s="7">
        <f>'AS400'!FR27</f>
        <v>1</v>
      </c>
      <c r="FS27" s="13">
        <f>'AS400'!FO27</f>
        <v>0</v>
      </c>
    </row>
    <row r="28" spans="1:175">
      <c r="A28" s="7">
        <f>'AS400'!A28</f>
        <v>22</v>
      </c>
      <c r="B28" s="7">
        <f>'AS400'!B28</f>
        <v>20190301</v>
      </c>
      <c r="C28" s="7">
        <f>'AS400'!C28</f>
        <v>0</v>
      </c>
      <c r="D28" s="7" t="str">
        <f>'AS400'!D28</f>
        <v>N</v>
      </c>
      <c r="E28" s="7" t="str">
        <f>'AS400'!E28</f>
        <v>N</v>
      </c>
      <c r="F28" s="7" t="str">
        <f>'AS400'!F28</f>
        <v>Y</v>
      </c>
      <c r="G28" s="7">
        <f>'AS400'!G28</f>
        <v>0</v>
      </c>
      <c r="H28" s="14"/>
      <c r="I28" s="7" t="str">
        <f>'AS400'!I28</f>
        <v>RSA</v>
      </c>
      <c r="J28" s="7" t="str">
        <f>'AS400'!J28</f>
        <v>METR</v>
      </c>
      <c r="K28" s="7" t="str">
        <f>'AS400'!K28</f>
        <v>N</v>
      </c>
      <c r="L28" s="7">
        <f>'AS400'!L28</f>
        <v>4</v>
      </c>
      <c r="M28" s="8">
        <f>'AS400'!M28</f>
        <v>1</v>
      </c>
      <c r="N28" s="7">
        <f>'AS400'!N28</f>
        <v>1</v>
      </c>
      <c r="O28" s="7" t="str">
        <f>'AS400'!O28</f>
        <v>MFSP</v>
      </c>
      <c r="P28" s="7">
        <f>'AS400'!P28</f>
        <v>100</v>
      </c>
      <c r="Q28" s="7">
        <f>'AS400'!Q28</f>
        <v>20180301</v>
      </c>
      <c r="R28" s="7">
        <f>'AS400'!R28</f>
        <v>20180301</v>
      </c>
      <c r="S28" s="7" t="str">
        <f>'AS400'!S28</f>
        <v>M</v>
      </c>
      <c r="T28" s="7" t="str">
        <f>'AS400'!T28</f>
        <v>MP</v>
      </c>
      <c r="U28" s="7">
        <f>'AS400'!U28</f>
        <v>20190301</v>
      </c>
      <c r="V28" s="7">
        <f>'AS400'!V28</f>
        <v>6</v>
      </c>
      <c r="W28" s="7">
        <f>'AS400'!W28</f>
        <v>6</v>
      </c>
      <c r="X28" s="7" t="str">
        <f>'AS400'!X28</f>
        <v>MFIX</v>
      </c>
      <c r="Y28" s="7">
        <f>'AS400'!Y28</f>
        <v>0</v>
      </c>
      <c r="Z28" s="7" t="str">
        <f>'AS400'!Z28</f>
        <v>STLV</v>
      </c>
      <c r="AA28" s="7">
        <f>'AS400'!AA28</f>
        <v>818</v>
      </c>
      <c r="AB28" s="7">
        <f>'AS400'!AB28</f>
        <v>0</v>
      </c>
      <c r="AC28" s="7">
        <f>'AS400'!AC28</f>
        <v>12</v>
      </c>
      <c r="AD28" s="7">
        <f>'AS400'!AD28</f>
        <v>20180201</v>
      </c>
      <c r="AE28" s="7">
        <f>'AS400'!AE28</f>
        <v>0</v>
      </c>
      <c r="AF28" s="7">
        <f>'AS400'!AF28</f>
        <v>25000</v>
      </c>
      <c r="AG28" s="7">
        <f>'AS400'!AG28</f>
        <v>96</v>
      </c>
      <c r="AI28" s="7">
        <f>'AS400'!AH28</f>
        <v>63</v>
      </c>
      <c r="AJ28" s="7">
        <f>'AS400'!AI28</f>
        <v>0</v>
      </c>
      <c r="AK28" s="7">
        <f>'AS400'!AJ28</f>
        <v>0</v>
      </c>
      <c r="AL28" s="7">
        <f>'AS400'!AK28</f>
        <v>0</v>
      </c>
      <c r="AM28" s="7">
        <f>'AS400'!AL28</f>
        <v>0</v>
      </c>
      <c r="AN28" s="7">
        <f>'AS400'!AM28</f>
        <v>0</v>
      </c>
      <c r="AO28" s="7">
        <f>'AS400'!AN28</f>
        <v>0</v>
      </c>
      <c r="AP28" s="7">
        <f>'AS400'!AO28</f>
        <v>0</v>
      </c>
      <c r="AQ28" s="7">
        <f>'AS400'!AP28</f>
        <v>0</v>
      </c>
      <c r="AR28" s="7">
        <f>'AS400'!AQ28</f>
        <v>0</v>
      </c>
      <c r="AS28" s="7">
        <f>'AS400'!AR28</f>
        <v>0</v>
      </c>
      <c r="AT28" s="7">
        <f>'AS400'!AS28</f>
        <v>0</v>
      </c>
      <c r="AU28" s="7">
        <f>'AS400'!AT28</f>
        <v>0</v>
      </c>
      <c r="AV28" s="7">
        <f>'AS400'!AU28</f>
        <v>0</v>
      </c>
      <c r="AW28" s="7">
        <f>'AS400'!AV28</f>
        <v>0</v>
      </c>
      <c r="AX28" s="7">
        <f>'AS400'!AW28</f>
        <v>0</v>
      </c>
      <c r="AY28" s="7">
        <f>'AS400'!AX28</f>
        <v>0</v>
      </c>
      <c r="AZ28" s="8">
        <f>'AS400'!AY28</f>
        <v>1</v>
      </c>
      <c r="BA28" s="7">
        <f>'AS400'!AZ28</f>
        <v>2</v>
      </c>
      <c r="BB28" s="7" t="str">
        <f>'AS400'!BA28</f>
        <v>PURO</v>
      </c>
      <c r="BC28" s="7">
        <f>'AS400'!BB28</f>
        <v>100</v>
      </c>
      <c r="BD28" s="7">
        <f>'AS400'!BC28</f>
        <v>20180301</v>
      </c>
      <c r="BE28" s="7">
        <f>'AS400'!BD28</f>
        <v>20180301</v>
      </c>
      <c r="BF28" s="7" t="str">
        <f>'AS400'!BE28</f>
        <v>S</v>
      </c>
      <c r="BG28" s="7" t="str">
        <f>'AS400'!BF28</f>
        <v>ME</v>
      </c>
      <c r="BH28" s="7">
        <f>'AS400'!BG28</f>
        <v>20180301</v>
      </c>
      <c r="BI28" s="7">
        <f>'AS400'!BH28</f>
        <v>0</v>
      </c>
      <c r="BJ28" s="7">
        <f>'AS400'!BI28</f>
        <v>0</v>
      </c>
      <c r="BK28" s="7">
        <f>'AS400'!BJ28</f>
        <v>0</v>
      </c>
      <c r="BL28" s="7">
        <f>'AS400'!BK28</f>
        <v>0</v>
      </c>
      <c r="BM28" s="7" t="str">
        <f>'AS400'!BL28</f>
        <v>STLV</v>
      </c>
      <c r="BN28" s="7">
        <f>'AS400'!BM28</f>
        <v>818</v>
      </c>
      <c r="BO28" s="7">
        <f>'AS400'!BN28</f>
        <v>0</v>
      </c>
      <c r="BP28" s="7">
        <f>'AS400'!BO28</f>
        <v>12</v>
      </c>
      <c r="BQ28" s="7">
        <f>'AS400'!BP28</f>
        <v>20180201</v>
      </c>
      <c r="BR28" s="7">
        <f>'AS400'!BQ28</f>
        <v>0</v>
      </c>
      <c r="BS28" s="7">
        <f>'AS400'!BR28</f>
        <v>0</v>
      </c>
      <c r="BT28" s="7">
        <f>'AS400'!BS28</f>
        <v>51</v>
      </c>
      <c r="BV28" s="7">
        <f>'AS400'!BT28</f>
        <v>63</v>
      </c>
      <c r="BW28" s="7">
        <f>'AS400'!BU28</f>
        <v>0</v>
      </c>
      <c r="BX28" s="7">
        <f>'AS400'!BV28</f>
        <v>0</v>
      </c>
      <c r="BY28" s="7">
        <f>'AS400'!BW28</f>
        <v>0</v>
      </c>
      <c r="BZ28" s="7">
        <f>'AS400'!BX28</f>
        <v>0</v>
      </c>
      <c r="CA28" s="7">
        <f>'AS400'!BY28</f>
        <v>0</v>
      </c>
      <c r="CB28" s="7">
        <f>'AS400'!BZ28</f>
        <v>0</v>
      </c>
      <c r="CC28" s="7">
        <f>'AS400'!CA28</f>
        <v>0</v>
      </c>
      <c r="CD28" s="7">
        <f>'AS400'!CB28</f>
        <v>0</v>
      </c>
      <c r="CE28" s="7">
        <f>'AS400'!CC28</f>
        <v>0</v>
      </c>
      <c r="CF28" s="7">
        <f>'AS400'!CD28</f>
        <v>0</v>
      </c>
      <c r="CG28" s="7">
        <f>'AS400'!CE28</f>
        <v>0</v>
      </c>
      <c r="CH28" s="7">
        <f>'AS400'!CF28</f>
        <v>0</v>
      </c>
      <c r="CI28" s="7">
        <f>'AS400'!CG28</f>
        <v>0</v>
      </c>
      <c r="CJ28" s="7">
        <f>'AS400'!CH28</f>
        <v>0</v>
      </c>
      <c r="CK28" s="7">
        <f>'AS400'!CI28</f>
        <v>0</v>
      </c>
      <c r="CL28" s="7">
        <f>'AS400'!CJ28</f>
        <v>0</v>
      </c>
      <c r="CM28" s="8">
        <f>'AS400'!CK28</f>
        <v>1</v>
      </c>
      <c r="CN28" s="7">
        <f>'AS400'!CL28</f>
        <v>3</v>
      </c>
      <c r="CO28" s="7" t="str">
        <f>'AS400'!CM28</f>
        <v>PUDT</v>
      </c>
      <c r="CP28" s="7">
        <f>'AS400'!CN28</f>
        <v>100</v>
      </c>
      <c r="CQ28" s="7">
        <f>'AS400'!CO28</f>
        <v>20180301</v>
      </c>
      <c r="CR28" s="7">
        <f>'AS400'!CP28</f>
        <v>20180301</v>
      </c>
      <c r="CS28" s="7" t="str">
        <f>'AS400'!CQ28</f>
        <v>S</v>
      </c>
      <c r="CT28" s="7" t="str">
        <f>'AS400'!CR28</f>
        <v>MT</v>
      </c>
      <c r="CU28" s="7">
        <f>'AS400'!CS28</f>
        <v>20180301</v>
      </c>
      <c r="CV28" s="7">
        <f>'AS400'!CT28</f>
        <v>0</v>
      </c>
      <c r="CW28" s="7">
        <f>'AS400'!CU28</f>
        <v>0</v>
      </c>
      <c r="CX28" s="7">
        <f>'AS400'!CV28</f>
        <v>0</v>
      </c>
      <c r="CY28" s="7">
        <f>'AS400'!CW28</f>
        <v>0</v>
      </c>
      <c r="CZ28" s="7" t="str">
        <f>'AS400'!CX28</f>
        <v>STLV</v>
      </c>
      <c r="DA28" s="7">
        <f>'AS400'!CY28</f>
        <v>818</v>
      </c>
      <c r="DB28" s="7">
        <f>'AS400'!CZ28</f>
        <v>0</v>
      </c>
      <c r="DC28" s="7">
        <f>'AS400'!DA28</f>
        <v>12</v>
      </c>
      <c r="DD28" s="7">
        <f>'AS400'!DB28</f>
        <v>20180201</v>
      </c>
      <c r="DE28" s="7">
        <f>'AS400'!DC28</f>
        <v>0</v>
      </c>
      <c r="DF28" s="7">
        <f>'AS400'!DD28</f>
        <v>0</v>
      </c>
      <c r="DG28" s="7">
        <f>'AS400'!DE28</f>
        <v>32</v>
      </c>
      <c r="DI28" s="7">
        <f>'AS400'!DF28</f>
        <v>63</v>
      </c>
      <c r="DJ28" s="7">
        <f>'AS400'!DG28</f>
        <v>0</v>
      </c>
      <c r="DK28" s="7">
        <f>'AS400'!DH28</f>
        <v>0</v>
      </c>
      <c r="DL28" s="7">
        <f>'AS400'!DI28</f>
        <v>0</v>
      </c>
      <c r="DM28" s="7">
        <f>'AS400'!DJ28</f>
        <v>0</v>
      </c>
      <c r="DN28" s="7">
        <f>'AS400'!DK28</f>
        <v>0</v>
      </c>
      <c r="DO28" s="7">
        <f>'AS400'!DL28</f>
        <v>0</v>
      </c>
      <c r="DP28" s="7">
        <f>'AS400'!DM28</f>
        <v>0</v>
      </c>
      <c r="DQ28" s="7">
        <f>'AS400'!DN28</f>
        <v>0</v>
      </c>
      <c r="DR28" s="7">
        <f>'AS400'!DO28</f>
        <v>0</v>
      </c>
      <c r="DS28" s="7">
        <f>'AS400'!DP28</f>
        <v>0</v>
      </c>
      <c r="DT28" s="7">
        <f>'AS400'!DQ28</f>
        <v>0</v>
      </c>
      <c r="DU28" s="7">
        <f>'AS400'!DR28</f>
        <v>0</v>
      </c>
      <c r="DV28" s="7">
        <f>'AS400'!DS28</f>
        <v>0</v>
      </c>
      <c r="DW28" s="7">
        <f>'AS400'!DT28</f>
        <v>0</v>
      </c>
      <c r="DX28" s="7">
        <f>'AS400'!DU28</f>
        <v>0</v>
      </c>
      <c r="DY28" s="7">
        <f>'AS400'!DV28</f>
        <v>0</v>
      </c>
      <c r="DZ28" s="8">
        <f>'AS400'!DW28</f>
        <v>1</v>
      </c>
      <c r="EA28" s="7">
        <f>'AS400'!DX28</f>
        <v>4</v>
      </c>
      <c r="EB28" s="7" t="str">
        <f>'AS400'!DY28</f>
        <v>PUDS</v>
      </c>
      <c r="EC28" s="7">
        <f>'AS400'!DZ28</f>
        <v>100</v>
      </c>
      <c r="ED28" s="7">
        <f>'AS400'!EA28</f>
        <v>20180301</v>
      </c>
      <c r="EE28" s="7">
        <f>'AS400'!EB28</f>
        <v>20180301</v>
      </c>
      <c r="EF28" s="7" t="str">
        <f>'AS400'!EC28</f>
        <v>S</v>
      </c>
      <c r="EG28" s="7" t="str">
        <f>'AS400'!ED28</f>
        <v>MS</v>
      </c>
      <c r="EH28" s="7">
        <f>'AS400'!EE28</f>
        <v>20180301</v>
      </c>
      <c r="EI28" s="7">
        <f>'AS400'!EF28</f>
        <v>0</v>
      </c>
      <c r="EJ28" s="7">
        <f>'AS400'!EG28</f>
        <v>0</v>
      </c>
      <c r="EK28" s="7">
        <f>'AS400'!EH28</f>
        <v>0</v>
      </c>
      <c r="EL28" s="7">
        <f>'AS400'!EI28</f>
        <v>0</v>
      </c>
      <c r="EM28" s="7" t="str">
        <f>'AS400'!EJ28</f>
        <v>STLV</v>
      </c>
      <c r="EN28" s="7">
        <f>'AS400'!EK28</f>
        <v>818</v>
      </c>
      <c r="EO28" s="7">
        <f>'AS400'!EL28</f>
        <v>0</v>
      </c>
      <c r="EP28" s="7">
        <f>'AS400'!EM28</f>
        <v>12</v>
      </c>
      <c r="EQ28" s="7">
        <f>'AS400'!EN28</f>
        <v>20180201</v>
      </c>
      <c r="ER28" s="7">
        <f>'AS400'!EO28</f>
        <v>0</v>
      </c>
      <c r="ES28" s="7">
        <f>'AS400'!EP28</f>
        <v>0</v>
      </c>
      <c r="ET28" s="7">
        <f>'AS400'!EQ28</f>
        <v>13</v>
      </c>
      <c r="EV28" s="7">
        <f>'AS400'!ER28</f>
        <v>63</v>
      </c>
      <c r="EW28" s="7">
        <f>'AS400'!ES28</f>
        <v>0</v>
      </c>
      <c r="EX28" s="7">
        <f>'AS400'!ET28</f>
        <v>0</v>
      </c>
      <c r="EY28" s="7">
        <f>'AS400'!EU28</f>
        <v>0</v>
      </c>
      <c r="EZ28" s="7">
        <f>'AS400'!EV28</f>
        <v>0</v>
      </c>
      <c r="FA28" s="7">
        <f>'AS400'!EW28</f>
        <v>0</v>
      </c>
      <c r="FB28" s="7">
        <f>'AS400'!EX28</f>
        <v>0</v>
      </c>
      <c r="FC28" s="7">
        <f>'AS400'!EY28</f>
        <v>0</v>
      </c>
      <c r="FD28" s="7">
        <f>'AS400'!EZ28</f>
        <v>0</v>
      </c>
      <c r="FE28" s="7">
        <f>'AS400'!FA28</f>
        <v>0</v>
      </c>
      <c r="FF28" s="7">
        <f>'AS400'!FB28</f>
        <v>0</v>
      </c>
      <c r="FG28" s="7">
        <f>'AS400'!FC28</f>
        <v>0</v>
      </c>
      <c r="FH28" s="7">
        <f>'AS400'!FD28</f>
        <v>0</v>
      </c>
      <c r="FI28" s="7">
        <f>'AS400'!FE28</f>
        <v>0</v>
      </c>
      <c r="FJ28" s="7">
        <f>'AS400'!FF28</f>
        <v>0</v>
      </c>
      <c r="FK28" s="7">
        <f>'AS400'!FG28</f>
        <v>0</v>
      </c>
      <c r="FL28" s="7">
        <f>'AS400'!FH28</f>
        <v>0</v>
      </c>
      <c r="FM28" s="7">
        <f>'AS400'!FI28</f>
        <v>1</v>
      </c>
      <c r="FN28" s="7">
        <f>'AS400'!FJ28</f>
        <v>1</v>
      </c>
      <c r="FO28" s="7">
        <f>'AS400'!FO28</f>
        <v>0</v>
      </c>
      <c r="FP28" s="7">
        <f>'AS400'!FP28</f>
        <v>4</v>
      </c>
      <c r="FQ28" s="7">
        <f>'AS400'!FQ28</f>
        <v>1</v>
      </c>
      <c r="FR28" s="7">
        <f>'AS400'!FR28</f>
        <v>1</v>
      </c>
      <c r="FS28" s="13">
        <f>'AS400'!FO28</f>
        <v>0</v>
      </c>
    </row>
    <row r="29" spans="1:175">
      <c r="A29" s="7">
        <f>'AS400'!A29</f>
        <v>23</v>
      </c>
      <c r="B29" s="7">
        <f>'AS400'!B29</f>
        <v>20190301</v>
      </c>
      <c r="C29" s="7">
        <f>'AS400'!C29</f>
        <v>0</v>
      </c>
      <c r="D29" s="7" t="str">
        <f>'AS400'!D29</f>
        <v>N</v>
      </c>
      <c r="E29" s="7" t="str">
        <f>'AS400'!E29</f>
        <v>N</v>
      </c>
      <c r="F29" s="7" t="str">
        <f>'AS400'!F29</f>
        <v>Y</v>
      </c>
      <c r="G29" s="7">
        <f>'AS400'!G29</f>
        <v>0</v>
      </c>
      <c r="H29" s="14"/>
      <c r="I29" s="7" t="str">
        <f>'AS400'!I29</f>
        <v>RSA</v>
      </c>
      <c r="J29" s="7" t="str">
        <f>'AS400'!J29</f>
        <v>METR</v>
      </c>
      <c r="K29" s="7" t="str">
        <f>'AS400'!K29</f>
        <v>N</v>
      </c>
      <c r="L29" s="7">
        <f>'AS400'!L29</f>
        <v>4</v>
      </c>
      <c r="M29" s="8">
        <f>'AS400'!M29</f>
        <v>1</v>
      </c>
      <c r="N29" s="7">
        <f>'AS400'!N29</f>
        <v>1</v>
      </c>
      <c r="O29" s="7" t="str">
        <f>'AS400'!O29</f>
        <v>MFSP</v>
      </c>
      <c r="P29" s="7">
        <f>'AS400'!P29</f>
        <v>100</v>
      </c>
      <c r="Q29" s="7">
        <f>'AS400'!Q29</f>
        <v>20180301</v>
      </c>
      <c r="R29" s="7">
        <f>'AS400'!R29</f>
        <v>20180301</v>
      </c>
      <c r="S29" s="7" t="str">
        <f>'AS400'!S29</f>
        <v>M</v>
      </c>
      <c r="T29" s="7" t="str">
        <f>'AS400'!T29</f>
        <v>MP</v>
      </c>
      <c r="U29" s="7">
        <f>'AS400'!U29</f>
        <v>20190301</v>
      </c>
      <c r="V29" s="7">
        <f>'AS400'!V29</f>
        <v>6</v>
      </c>
      <c r="W29" s="7">
        <f>'AS400'!W29</f>
        <v>6</v>
      </c>
      <c r="X29" s="7" t="str">
        <f>'AS400'!X29</f>
        <v>MFIX</v>
      </c>
      <c r="Y29" s="7">
        <f>'AS400'!Y29</f>
        <v>0</v>
      </c>
      <c r="Z29" s="7" t="str">
        <f>'AS400'!Z29</f>
        <v>STLV</v>
      </c>
      <c r="AA29" s="7">
        <f>'AS400'!AA29</f>
        <v>818</v>
      </c>
      <c r="AB29" s="7">
        <f>'AS400'!AB29</f>
        <v>0</v>
      </c>
      <c r="AC29" s="7">
        <f>'AS400'!AC29</f>
        <v>12</v>
      </c>
      <c r="AD29" s="7">
        <f>'AS400'!AD29</f>
        <v>20180201</v>
      </c>
      <c r="AE29" s="7">
        <f>'AS400'!AE29</f>
        <v>0</v>
      </c>
      <c r="AF29" s="7">
        <f>'AS400'!AF29</f>
        <v>30000</v>
      </c>
      <c r="AG29" s="7">
        <f>'AS400'!AG29</f>
        <v>111</v>
      </c>
      <c r="AI29" s="7">
        <f>'AS400'!AH29</f>
        <v>62</v>
      </c>
      <c r="AJ29" s="7">
        <f>'AS400'!AI29</f>
        <v>0</v>
      </c>
      <c r="AK29" s="7">
        <f>'AS400'!AJ29</f>
        <v>0</v>
      </c>
      <c r="AL29" s="7">
        <f>'AS400'!AK29</f>
        <v>0</v>
      </c>
      <c r="AM29" s="7">
        <f>'AS400'!AL29</f>
        <v>0</v>
      </c>
      <c r="AN29" s="7">
        <f>'AS400'!AM29</f>
        <v>0</v>
      </c>
      <c r="AO29" s="7">
        <f>'AS400'!AN29</f>
        <v>0</v>
      </c>
      <c r="AP29" s="7">
        <f>'AS400'!AO29</f>
        <v>0</v>
      </c>
      <c r="AQ29" s="7">
        <f>'AS400'!AP29</f>
        <v>0</v>
      </c>
      <c r="AR29" s="7">
        <f>'AS400'!AQ29</f>
        <v>0</v>
      </c>
      <c r="AS29" s="7">
        <f>'AS400'!AR29</f>
        <v>0</v>
      </c>
      <c r="AT29" s="7">
        <f>'AS400'!AS29</f>
        <v>0</v>
      </c>
      <c r="AU29" s="7">
        <f>'AS400'!AT29</f>
        <v>0</v>
      </c>
      <c r="AV29" s="7">
        <f>'AS400'!AU29</f>
        <v>0</v>
      </c>
      <c r="AW29" s="7">
        <f>'AS400'!AV29</f>
        <v>0</v>
      </c>
      <c r="AX29" s="7">
        <f>'AS400'!AW29</f>
        <v>0</v>
      </c>
      <c r="AY29" s="7">
        <f>'AS400'!AX29</f>
        <v>0</v>
      </c>
      <c r="AZ29" s="8">
        <f>'AS400'!AY29</f>
        <v>1</v>
      </c>
      <c r="BA29" s="7">
        <f>'AS400'!AZ29</f>
        <v>2</v>
      </c>
      <c r="BB29" s="7" t="str">
        <f>'AS400'!BA29</f>
        <v>PURO</v>
      </c>
      <c r="BC29" s="7">
        <f>'AS400'!BB29</f>
        <v>100</v>
      </c>
      <c r="BD29" s="7">
        <f>'AS400'!BC29</f>
        <v>20180301</v>
      </c>
      <c r="BE29" s="7">
        <f>'AS400'!BD29</f>
        <v>20180301</v>
      </c>
      <c r="BF29" s="7" t="str">
        <f>'AS400'!BE29</f>
        <v>S</v>
      </c>
      <c r="BG29" s="7" t="str">
        <f>'AS400'!BF29</f>
        <v>ME</v>
      </c>
      <c r="BH29" s="7">
        <f>'AS400'!BG29</f>
        <v>20180301</v>
      </c>
      <c r="BI29" s="7">
        <f>'AS400'!BH29</f>
        <v>0</v>
      </c>
      <c r="BJ29" s="7">
        <f>'AS400'!BI29</f>
        <v>0</v>
      </c>
      <c r="BK29" s="7">
        <f>'AS400'!BJ29</f>
        <v>0</v>
      </c>
      <c r="BL29" s="7">
        <f>'AS400'!BK29</f>
        <v>0</v>
      </c>
      <c r="BM29" s="7" t="str">
        <f>'AS400'!BL29</f>
        <v>STLV</v>
      </c>
      <c r="BN29" s="7">
        <f>'AS400'!BM29</f>
        <v>818</v>
      </c>
      <c r="BO29" s="7">
        <f>'AS400'!BN29</f>
        <v>0</v>
      </c>
      <c r="BP29" s="7">
        <f>'AS400'!BO29</f>
        <v>12</v>
      </c>
      <c r="BQ29" s="7">
        <f>'AS400'!BP29</f>
        <v>20180201</v>
      </c>
      <c r="BR29" s="7">
        <f>'AS400'!BQ29</f>
        <v>0</v>
      </c>
      <c r="BS29" s="7">
        <f>'AS400'!BR29</f>
        <v>0</v>
      </c>
      <c r="BT29" s="7">
        <f>'AS400'!BS29</f>
        <v>59</v>
      </c>
      <c r="BV29" s="7">
        <f>'AS400'!BT29</f>
        <v>62</v>
      </c>
      <c r="BW29" s="7">
        <f>'AS400'!BU29</f>
        <v>0</v>
      </c>
      <c r="BX29" s="7">
        <f>'AS400'!BV29</f>
        <v>0</v>
      </c>
      <c r="BY29" s="7">
        <f>'AS400'!BW29</f>
        <v>0</v>
      </c>
      <c r="BZ29" s="7">
        <f>'AS400'!BX29</f>
        <v>0</v>
      </c>
      <c r="CA29" s="7">
        <f>'AS400'!BY29</f>
        <v>0</v>
      </c>
      <c r="CB29" s="7">
        <f>'AS400'!BZ29</f>
        <v>0</v>
      </c>
      <c r="CC29" s="7">
        <f>'AS400'!CA29</f>
        <v>0</v>
      </c>
      <c r="CD29" s="7">
        <f>'AS400'!CB29</f>
        <v>0</v>
      </c>
      <c r="CE29" s="7">
        <f>'AS400'!CC29</f>
        <v>0</v>
      </c>
      <c r="CF29" s="7">
        <f>'AS400'!CD29</f>
        <v>0</v>
      </c>
      <c r="CG29" s="7">
        <f>'AS400'!CE29</f>
        <v>0</v>
      </c>
      <c r="CH29" s="7">
        <f>'AS400'!CF29</f>
        <v>0</v>
      </c>
      <c r="CI29" s="7">
        <f>'AS400'!CG29</f>
        <v>0</v>
      </c>
      <c r="CJ29" s="7">
        <f>'AS400'!CH29</f>
        <v>0</v>
      </c>
      <c r="CK29" s="7">
        <f>'AS400'!CI29</f>
        <v>0</v>
      </c>
      <c r="CL29" s="7">
        <f>'AS400'!CJ29</f>
        <v>0</v>
      </c>
      <c r="CM29" s="8">
        <f>'AS400'!CK29</f>
        <v>1</v>
      </c>
      <c r="CN29" s="7">
        <f>'AS400'!CL29</f>
        <v>3</v>
      </c>
      <c r="CO29" s="7" t="str">
        <f>'AS400'!CM29</f>
        <v>PUDT</v>
      </c>
      <c r="CP29" s="7">
        <f>'AS400'!CN29</f>
        <v>100</v>
      </c>
      <c r="CQ29" s="7">
        <f>'AS400'!CO29</f>
        <v>20180301</v>
      </c>
      <c r="CR29" s="7">
        <f>'AS400'!CP29</f>
        <v>20180301</v>
      </c>
      <c r="CS29" s="7" t="str">
        <f>'AS400'!CQ29</f>
        <v>S</v>
      </c>
      <c r="CT29" s="7" t="str">
        <f>'AS400'!CR29</f>
        <v>MT</v>
      </c>
      <c r="CU29" s="7">
        <f>'AS400'!CS29</f>
        <v>20180301</v>
      </c>
      <c r="CV29" s="7">
        <f>'AS400'!CT29</f>
        <v>0</v>
      </c>
      <c r="CW29" s="7">
        <f>'AS400'!CU29</f>
        <v>0</v>
      </c>
      <c r="CX29" s="7">
        <f>'AS400'!CV29</f>
        <v>0</v>
      </c>
      <c r="CY29" s="7">
        <f>'AS400'!CW29</f>
        <v>0</v>
      </c>
      <c r="CZ29" s="7" t="str">
        <f>'AS400'!CX29</f>
        <v>STLV</v>
      </c>
      <c r="DA29" s="7">
        <f>'AS400'!CY29</f>
        <v>818</v>
      </c>
      <c r="DB29" s="7">
        <f>'AS400'!CZ29</f>
        <v>0</v>
      </c>
      <c r="DC29" s="7">
        <f>'AS400'!DA29</f>
        <v>12</v>
      </c>
      <c r="DD29" s="7">
        <f>'AS400'!DB29</f>
        <v>20180201</v>
      </c>
      <c r="DE29" s="7">
        <f>'AS400'!DC29</f>
        <v>0</v>
      </c>
      <c r="DF29" s="7">
        <f>'AS400'!DD29</f>
        <v>0</v>
      </c>
      <c r="DG29" s="7">
        <f>'AS400'!DE29</f>
        <v>37</v>
      </c>
      <c r="DI29" s="7">
        <f>'AS400'!DF29</f>
        <v>62</v>
      </c>
      <c r="DJ29" s="7">
        <f>'AS400'!DG29</f>
        <v>0</v>
      </c>
      <c r="DK29" s="7">
        <f>'AS400'!DH29</f>
        <v>0</v>
      </c>
      <c r="DL29" s="7">
        <f>'AS400'!DI29</f>
        <v>0</v>
      </c>
      <c r="DM29" s="7">
        <f>'AS400'!DJ29</f>
        <v>0</v>
      </c>
      <c r="DN29" s="7">
        <f>'AS400'!DK29</f>
        <v>0</v>
      </c>
      <c r="DO29" s="7">
        <f>'AS400'!DL29</f>
        <v>0</v>
      </c>
      <c r="DP29" s="7">
        <f>'AS400'!DM29</f>
        <v>0</v>
      </c>
      <c r="DQ29" s="7">
        <f>'AS400'!DN29</f>
        <v>0</v>
      </c>
      <c r="DR29" s="7">
        <f>'AS400'!DO29</f>
        <v>0</v>
      </c>
      <c r="DS29" s="7">
        <f>'AS400'!DP29</f>
        <v>0</v>
      </c>
      <c r="DT29" s="7">
        <f>'AS400'!DQ29</f>
        <v>0</v>
      </c>
      <c r="DU29" s="7">
        <f>'AS400'!DR29</f>
        <v>0</v>
      </c>
      <c r="DV29" s="7">
        <f>'AS400'!DS29</f>
        <v>0</v>
      </c>
      <c r="DW29" s="7">
        <f>'AS400'!DT29</f>
        <v>0</v>
      </c>
      <c r="DX29" s="7">
        <f>'AS400'!DU29</f>
        <v>0</v>
      </c>
      <c r="DY29" s="7">
        <f>'AS400'!DV29</f>
        <v>0</v>
      </c>
      <c r="DZ29" s="8">
        <f>'AS400'!DW29</f>
        <v>1</v>
      </c>
      <c r="EA29" s="7">
        <f>'AS400'!DX29</f>
        <v>4</v>
      </c>
      <c r="EB29" s="7" t="str">
        <f>'AS400'!DY29</f>
        <v>PUDS</v>
      </c>
      <c r="EC29" s="7">
        <f>'AS400'!DZ29</f>
        <v>100</v>
      </c>
      <c r="ED29" s="7">
        <f>'AS400'!EA29</f>
        <v>20180301</v>
      </c>
      <c r="EE29" s="7">
        <f>'AS400'!EB29</f>
        <v>20180301</v>
      </c>
      <c r="EF29" s="7" t="str">
        <f>'AS400'!EC29</f>
        <v>S</v>
      </c>
      <c r="EG29" s="7" t="str">
        <f>'AS400'!ED29</f>
        <v>MS</v>
      </c>
      <c r="EH29" s="7">
        <f>'AS400'!EE29</f>
        <v>20180301</v>
      </c>
      <c r="EI29" s="7">
        <f>'AS400'!EF29</f>
        <v>0</v>
      </c>
      <c r="EJ29" s="7">
        <f>'AS400'!EG29</f>
        <v>0</v>
      </c>
      <c r="EK29" s="7">
        <f>'AS400'!EH29</f>
        <v>0</v>
      </c>
      <c r="EL29" s="7">
        <f>'AS400'!EI29</f>
        <v>0</v>
      </c>
      <c r="EM29" s="7" t="str">
        <f>'AS400'!EJ29</f>
        <v>STLV</v>
      </c>
      <c r="EN29" s="7">
        <f>'AS400'!EK29</f>
        <v>818</v>
      </c>
      <c r="EO29" s="7">
        <f>'AS400'!EL29</f>
        <v>0</v>
      </c>
      <c r="EP29" s="7">
        <f>'AS400'!EM29</f>
        <v>12</v>
      </c>
      <c r="EQ29" s="7">
        <f>'AS400'!EN29</f>
        <v>20180201</v>
      </c>
      <c r="ER29" s="7">
        <f>'AS400'!EO29</f>
        <v>0</v>
      </c>
      <c r="ES29" s="7">
        <f>'AS400'!EP29</f>
        <v>0</v>
      </c>
      <c r="ET29" s="7">
        <f>'AS400'!EQ29</f>
        <v>15</v>
      </c>
      <c r="EV29" s="7">
        <f>'AS400'!ER29</f>
        <v>62</v>
      </c>
      <c r="EW29" s="7">
        <f>'AS400'!ES29</f>
        <v>0</v>
      </c>
      <c r="EX29" s="7">
        <f>'AS400'!ET29</f>
        <v>0</v>
      </c>
      <c r="EY29" s="7">
        <f>'AS400'!EU29</f>
        <v>0</v>
      </c>
      <c r="EZ29" s="7">
        <f>'AS400'!EV29</f>
        <v>0</v>
      </c>
      <c r="FA29" s="7">
        <f>'AS400'!EW29</f>
        <v>0</v>
      </c>
      <c r="FB29" s="7">
        <f>'AS400'!EX29</f>
        <v>0</v>
      </c>
      <c r="FC29" s="7">
        <f>'AS400'!EY29</f>
        <v>0</v>
      </c>
      <c r="FD29" s="7">
        <f>'AS400'!EZ29</f>
        <v>0</v>
      </c>
      <c r="FE29" s="7">
        <f>'AS400'!FA29</f>
        <v>0</v>
      </c>
      <c r="FF29" s="7">
        <f>'AS400'!FB29</f>
        <v>0</v>
      </c>
      <c r="FG29" s="7">
        <f>'AS400'!FC29</f>
        <v>0</v>
      </c>
      <c r="FH29" s="7">
        <f>'AS400'!FD29</f>
        <v>0</v>
      </c>
      <c r="FI29" s="7">
        <f>'AS400'!FE29</f>
        <v>0</v>
      </c>
      <c r="FJ29" s="7">
        <f>'AS400'!FF29</f>
        <v>0</v>
      </c>
      <c r="FK29" s="7">
        <f>'AS400'!FG29</f>
        <v>0</v>
      </c>
      <c r="FL29" s="7">
        <f>'AS400'!FH29</f>
        <v>0</v>
      </c>
      <c r="FM29" s="7">
        <f>'AS400'!FI29</f>
        <v>1</v>
      </c>
      <c r="FN29" s="7">
        <f>'AS400'!FJ29</f>
        <v>1</v>
      </c>
      <c r="FO29" s="7">
        <f>'AS400'!FO29</f>
        <v>0</v>
      </c>
      <c r="FP29" s="7">
        <f>'AS400'!FP29</f>
        <v>4</v>
      </c>
      <c r="FQ29" s="7">
        <f>'AS400'!FQ29</f>
        <v>1</v>
      </c>
      <c r="FR29" s="7">
        <f>'AS400'!FR29</f>
        <v>1</v>
      </c>
      <c r="FS29" s="13">
        <f>'AS400'!FO29</f>
        <v>0</v>
      </c>
    </row>
    <row r="30" spans="1:175">
      <c r="A30" s="7">
        <f>'AS400'!A30</f>
        <v>24</v>
      </c>
      <c r="B30" s="7">
        <f>'AS400'!B30</f>
        <v>20190301</v>
      </c>
      <c r="C30" s="7">
        <f>'AS400'!C30</f>
        <v>0</v>
      </c>
      <c r="D30" s="7" t="str">
        <f>'AS400'!D30</f>
        <v>N</v>
      </c>
      <c r="E30" s="7" t="str">
        <f>'AS400'!E30</f>
        <v>N</v>
      </c>
      <c r="F30" s="7" t="str">
        <f>'AS400'!F30</f>
        <v>Y</v>
      </c>
      <c r="G30" s="7">
        <f>'AS400'!G30</f>
        <v>0</v>
      </c>
      <c r="H30" s="14"/>
      <c r="I30" s="7" t="str">
        <f>'AS400'!I30</f>
        <v>RSA</v>
      </c>
      <c r="J30" s="7" t="str">
        <f>'AS400'!J30</f>
        <v>METR</v>
      </c>
      <c r="K30" s="7" t="str">
        <f>'AS400'!K30</f>
        <v>N</v>
      </c>
      <c r="L30" s="7">
        <f>'AS400'!L30</f>
        <v>4</v>
      </c>
      <c r="M30" s="8">
        <f>'AS400'!M30</f>
        <v>1</v>
      </c>
      <c r="N30" s="7">
        <f>'AS400'!N30</f>
        <v>1</v>
      </c>
      <c r="O30" s="7" t="str">
        <f>'AS400'!O30</f>
        <v>MFSP</v>
      </c>
      <c r="P30" s="7">
        <f>'AS400'!P30</f>
        <v>100</v>
      </c>
      <c r="Q30" s="7">
        <f>'AS400'!Q30</f>
        <v>20180301</v>
      </c>
      <c r="R30" s="7">
        <f>'AS400'!R30</f>
        <v>20180301</v>
      </c>
      <c r="S30" s="7" t="str">
        <f>'AS400'!S30</f>
        <v>M</v>
      </c>
      <c r="T30" s="7" t="str">
        <f>'AS400'!T30</f>
        <v>MP</v>
      </c>
      <c r="U30" s="7">
        <f>'AS400'!U30</f>
        <v>20190301</v>
      </c>
      <c r="V30" s="7">
        <f>'AS400'!V30</f>
        <v>10</v>
      </c>
      <c r="W30" s="7">
        <f>'AS400'!W30</f>
        <v>10</v>
      </c>
      <c r="X30" s="7" t="str">
        <f>'AS400'!X30</f>
        <v>MFIX</v>
      </c>
      <c r="Y30" s="7">
        <f>'AS400'!Y30</f>
        <v>0</v>
      </c>
      <c r="Z30" s="7" t="str">
        <f>'AS400'!Z30</f>
        <v>STLV</v>
      </c>
      <c r="AA30" s="7">
        <f>'AS400'!AA30</f>
        <v>818</v>
      </c>
      <c r="AB30" s="7">
        <f>'AS400'!AB30</f>
        <v>0</v>
      </c>
      <c r="AC30" s="7">
        <f>'AS400'!AC30</f>
        <v>12</v>
      </c>
      <c r="AD30" s="7">
        <f>'AS400'!AD30</f>
        <v>20180201</v>
      </c>
      <c r="AE30" s="7">
        <f>'AS400'!AE30</f>
        <v>0</v>
      </c>
      <c r="AF30" s="7">
        <f>'AS400'!AF30</f>
        <v>35000</v>
      </c>
      <c r="AG30" s="7">
        <f>'AS400'!AG30</f>
        <v>127</v>
      </c>
      <c r="AI30" s="7">
        <f>'AS400'!AH30</f>
        <v>61</v>
      </c>
      <c r="AJ30" s="7">
        <f>'AS400'!AI30</f>
        <v>0</v>
      </c>
      <c r="AK30" s="7">
        <f>'AS400'!AJ30</f>
        <v>0</v>
      </c>
      <c r="AL30" s="7">
        <f>'AS400'!AK30</f>
        <v>0</v>
      </c>
      <c r="AM30" s="7">
        <f>'AS400'!AL30</f>
        <v>0</v>
      </c>
      <c r="AN30" s="7">
        <f>'AS400'!AM30</f>
        <v>0</v>
      </c>
      <c r="AO30" s="7">
        <f>'AS400'!AN30</f>
        <v>0</v>
      </c>
      <c r="AP30" s="7">
        <f>'AS400'!AO30</f>
        <v>0</v>
      </c>
      <c r="AQ30" s="7">
        <f>'AS400'!AP30</f>
        <v>0</v>
      </c>
      <c r="AR30" s="7">
        <f>'AS400'!AQ30</f>
        <v>0</v>
      </c>
      <c r="AS30" s="7">
        <f>'AS400'!AR30</f>
        <v>0</v>
      </c>
      <c r="AT30" s="7">
        <f>'AS400'!AS30</f>
        <v>0</v>
      </c>
      <c r="AU30" s="7">
        <f>'AS400'!AT30</f>
        <v>0</v>
      </c>
      <c r="AV30" s="7">
        <f>'AS400'!AU30</f>
        <v>0</v>
      </c>
      <c r="AW30" s="7">
        <f>'AS400'!AV30</f>
        <v>0</v>
      </c>
      <c r="AX30" s="7">
        <f>'AS400'!AW30</f>
        <v>0</v>
      </c>
      <c r="AY30" s="7">
        <f>'AS400'!AX30</f>
        <v>0</v>
      </c>
      <c r="AZ30" s="8">
        <f>'AS400'!AY30</f>
        <v>1</v>
      </c>
      <c r="BA30" s="7">
        <f>'AS400'!AZ30</f>
        <v>2</v>
      </c>
      <c r="BB30" s="7" t="str">
        <f>'AS400'!BA30</f>
        <v>PURO</v>
      </c>
      <c r="BC30" s="7">
        <f>'AS400'!BB30</f>
        <v>100</v>
      </c>
      <c r="BD30" s="7">
        <f>'AS400'!BC30</f>
        <v>20180301</v>
      </c>
      <c r="BE30" s="7">
        <f>'AS400'!BD30</f>
        <v>20180301</v>
      </c>
      <c r="BF30" s="7" t="str">
        <f>'AS400'!BE30</f>
        <v>S</v>
      </c>
      <c r="BG30" s="7" t="str">
        <f>'AS400'!BF30</f>
        <v>ME</v>
      </c>
      <c r="BH30" s="7">
        <f>'AS400'!BG30</f>
        <v>20180301</v>
      </c>
      <c r="BI30" s="7">
        <f>'AS400'!BH30</f>
        <v>0</v>
      </c>
      <c r="BJ30" s="7">
        <f>'AS400'!BI30</f>
        <v>0</v>
      </c>
      <c r="BK30" s="7">
        <f>'AS400'!BJ30</f>
        <v>0</v>
      </c>
      <c r="BL30" s="7">
        <f>'AS400'!BK30</f>
        <v>0</v>
      </c>
      <c r="BM30" s="7" t="str">
        <f>'AS400'!BL30</f>
        <v>STLV</v>
      </c>
      <c r="BN30" s="7">
        <f>'AS400'!BM30</f>
        <v>818</v>
      </c>
      <c r="BO30" s="7">
        <f>'AS400'!BN30</f>
        <v>0</v>
      </c>
      <c r="BP30" s="7">
        <f>'AS400'!BO30</f>
        <v>12</v>
      </c>
      <c r="BQ30" s="7">
        <f>'AS400'!BP30</f>
        <v>20180201</v>
      </c>
      <c r="BR30" s="7">
        <f>'AS400'!BQ30</f>
        <v>0</v>
      </c>
      <c r="BS30" s="7">
        <f>'AS400'!BR30</f>
        <v>0</v>
      </c>
      <c r="BT30" s="7">
        <f>'AS400'!BS30</f>
        <v>67</v>
      </c>
      <c r="BV30" s="7">
        <f>'AS400'!BT30</f>
        <v>61</v>
      </c>
      <c r="BW30" s="7">
        <f>'AS400'!BU30</f>
        <v>0</v>
      </c>
      <c r="BX30" s="7">
        <f>'AS400'!BV30</f>
        <v>0</v>
      </c>
      <c r="BY30" s="7">
        <f>'AS400'!BW30</f>
        <v>0</v>
      </c>
      <c r="BZ30" s="7">
        <f>'AS400'!BX30</f>
        <v>0</v>
      </c>
      <c r="CA30" s="7">
        <f>'AS400'!BY30</f>
        <v>0</v>
      </c>
      <c r="CB30" s="7">
        <f>'AS400'!BZ30</f>
        <v>0</v>
      </c>
      <c r="CC30" s="7">
        <f>'AS400'!CA30</f>
        <v>0</v>
      </c>
      <c r="CD30" s="7">
        <f>'AS400'!CB30</f>
        <v>0</v>
      </c>
      <c r="CE30" s="7">
        <f>'AS400'!CC30</f>
        <v>0</v>
      </c>
      <c r="CF30" s="7">
        <f>'AS400'!CD30</f>
        <v>0</v>
      </c>
      <c r="CG30" s="7">
        <f>'AS400'!CE30</f>
        <v>0</v>
      </c>
      <c r="CH30" s="7">
        <f>'AS400'!CF30</f>
        <v>0</v>
      </c>
      <c r="CI30" s="7">
        <f>'AS400'!CG30</f>
        <v>0</v>
      </c>
      <c r="CJ30" s="7">
        <f>'AS400'!CH30</f>
        <v>0</v>
      </c>
      <c r="CK30" s="7">
        <f>'AS400'!CI30</f>
        <v>0</v>
      </c>
      <c r="CL30" s="7">
        <f>'AS400'!CJ30</f>
        <v>0</v>
      </c>
      <c r="CM30" s="8">
        <f>'AS400'!CK30</f>
        <v>1</v>
      </c>
      <c r="CN30" s="7">
        <f>'AS400'!CL30</f>
        <v>3</v>
      </c>
      <c r="CO30" s="7" t="str">
        <f>'AS400'!CM30</f>
        <v>PUDT</v>
      </c>
      <c r="CP30" s="7">
        <f>'AS400'!CN30</f>
        <v>100</v>
      </c>
      <c r="CQ30" s="7">
        <f>'AS400'!CO30</f>
        <v>20180301</v>
      </c>
      <c r="CR30" s="7">
        <f>'AS400'!CP30</f>
        <v>20180301</v>
      </c>
      <c r="CS30" s="7" t="str">
        <f>'AS400'!CQ30</f>
        <v>S</v>
      </c>
      <c r="CT30" s="7" t="str">
        <f>'AS400'!CR30</f>
        <v>MT</v>
      </c>
      <c r="CU30" s="7">
        <f>'AS400'!CS30</f>
        <v>20180301</v>
      </c>
      <c r="CV30" s="7">
        <f>'AS400'!CT30</f>
        <v>0</v>
      </c>
      <c r="CW30" s="7">
        <f>'AS400'!CU30</f>
        <v>0</v>
      </c>
      <c r="CX30" s="7">
        <f>'AS400'!CV30</f>
        <v>0</v>
      </c>
      <c r="CY30" s="7">
        <f>'AS400'!CW30</f>
        <v>0</v>
      </c>
      <c r="CZ30" s="7" t="str">
        <f>'AS400'!CX30</f>
        <v>STLV</v>
      </c>
      <c r="DA30" s="7">
        <f>'AS400'!CY30</f>
        <v>818</v>
      </c>
      <c r="DB30" s="7">
        <f>'AS400'!CZ30</f>
        <v>0</v>
      </c>
      <c r="DC30" s="7">
        <f>'AS400'!DA30</f>
        <v>12</v>
      </c>
      <c r="DD30" s="7">
        <f>'AS400'!DB30</f>
        <v>20180201</v>
      </c>
      <c r="DE30" s="7">
        <f>'AS400'!DC30</f>
        <v>0</v>
      </c>
      <c r="DF30" s="7">
        <f>'AS400'!DD30</f>
        <v>0</v>
      </c>
      <c r="DG30" s="7">
        <f>'AS400'!DE30</f>
        <v>42</v>
      </c>
      <c r="DI30" s="7">
        <f>'AS400'!DF30</f>
        <v>61</v>
      </c>
      <c r="DJ30" s="7">
        <f>'AS400'!DG30</f>
        <v>0</v>
      </c>
      <c r="DK30" s="7">
        <f>'AS400'!DH30</f>
        <v>0</v>
      </c>
      <c r="DL30" s="7">
        <f>'AS400'!DI30</f>
        <v>0</v>
      </c>
      <c r="DM30" s="7">
        <f>'AS400'!DJ30</f>
        <v>0</v>
      </c>
      <c r="DN30" s="7">
        <f>'AS400'!DK30</f>
        <v>0</v>
      </c>
      <c r="DO30" s="7">
        <f>'AS400'!DL30</f>
        <v>0</v>
      </c>
      <c r="DP30" s="7">
        <f>'AS400'!DM30</f>
        <v>0</v>
      </c>
      <c r="DQ30" s="7">
        <f>'AS400'!DN30</f>
        <v>0</v>
      </c>
      <c r="DR30" s="7">
        <f>'AS400'!DO30</f>
        <v>0</v>
      </c>
      <c r="DS30" s="7">
        <f>'AS400'!DP30</f>
        <v>0</v>
      </c>
      <c r="DT30" s="7">
        <f>'AS400'!DQ30</f>
        <v>0</v>
      </c>
      <c r="DU30" s="7">
        <f>'AS400'!DR30</f>
        <v>0</v>
      </c>
      <c r="DV30" s="7">
        <f>'AS400'!DS30</f>
        <v>0</v>
      </c>
      <c r="DW30" s="7">
        <f>'AS400'!DT30</f>
        <v>0</v>
      </c>
      <c r="DX30" s="7">
        <f>'AS400'!DU30</f>
        <v>0</v>
      </c>
      <c r="DY30" s="7">
        <f>'AS400'!DV30</f>
        <v>0</v>
      </c>
      <c r="DZ30" s="8">
        <f>'AS400'!DW30</f>
        <v>1</v>
      </c>
      <c r="EA30" s="7">
        <f>'AS400'!DX30</f>
        <v>4</v>
      </c>
      <c r="EB30" s="7" t="str">
        <f>'AS400'!DY30</f>
        <v>PUDS</v>
      </c>
      <c r="EC30" s="7">
        <f>'AS400'!DZ30</f>
        <v>100</v>
      </c>
      <c r="ED30" s="7">
        <f>'AS400'!EA30</f>
        <v>20180301</v>
      </c>
      <c r="EE30" s="7">
        <f>'AS400'!EB30</f>
        <v>20180301</v>
      </c>
      <c r="EF30" s="7" t="str">
        <f>'AS400'!EC30</f>
        <v>S</v>
      </c>
      <c r="EG30" s="7" t="str">
        <f>'AS400'!ED30</f>
        <v>MS</v>
      </c>
      <c r="EH30" s="7">
        <f>'AS400'!EE30</f>
        <v>20180301</v>
      </c>
      <c r="EI30" s="7">
        <f>'AS400'!EF30</f>
        <v>0</v>
      </c>
      <c r="EJ30" s="7">
        <f>'AS400'!EG30</f>
        <v>0</v>
      </c>
      <c r="EK30" s="7">
        <f>'AS400'!EH30</f>
        <v>0</v>
      </c>
      <c r="EL30" s="7">
        <f>'AS400'!EI30</f>
        <v>0</v>
      </c>
      <c r="EM30" s="7" t="str">
        <f>'AS400'!EJ30</f>
        <v>STLV</v>
      </c>
      <c r="EN30" s="7">
        <f>'AS400'!EK30</f>
        <v>818</v>
      </c>
      <c r="EO30" s="7">
        <f>'AS400'!EL30</f>
        <v>0</v>
      </c>
      <c r="EP30" s="7">
        <f>'AS400'!EM30</f>
        <v>12</v>
      </c>
      <c r="EQ30" s="7">
        <f>'AS400'!EN30</f>
        <v>20180201</v>
      </c>
      <c r="ER30" s="7">
        <f>'AS400'!EO30</f>
        <v>0</v>
      </c>
      <c r="ES30" s="7">
        <f>'AS400'!EP30</f>
        <v>0</v>
      </c>
      <c r="ET30" s="7">
        <f>'AS400'!EQ30</f>
        <v>17</v>
      </c>
      <c r="EV30" s="7">
        <f>'AS400'!ER30</f>
        <v>61</v>
      </c>
      <c r="EW30" s="7">
        <f>'AS400'!ES30</f>
        <v>0</v>
      </c>
      <c r="EX30" s="7">
        <f>'AS400'!ET30</f>
        <v>0</v>
      </c>
      <c r="EY30" s="7">
        <f>'AS400'!EU30</f>
        <v>0</v>
      </c>
      <c r="EZ30" s="7">
        <f>'AS400'!EV30</f>
        <v>0</v>
      </c>
      <c r="FA30" s="7">
        <f>'AS400'!EW30</f>
        <v>0</v>
      </c>
      <c r="FB30" s="7">
        <f>'AS400'!EX30</f>
        <v>0</v>
      </c>
      <c r="FC30" s="7">
        <f>'AS400'!EY30</f>
        <v>0</v>
      </c>
      <c r="FD30" s="7">
        <f>'AS400'!EZ30</f>
        <v>0</v>
      </c>
      <c r="FE30" s="7">
        <f>'AS400'!FA30</f>
        <v>0</v>
      </c>
      <c r="FF30" s="7">
        <f>'AS400'!FB30</f>
        <v>0</v>
      </c>
      <c r="FG30" s="7">
        <f>'AS400'!FC30</f>
        <v>0</v>
      </c>
      <c r="FH30" s="7">
        <f>'AS400'!FD30</f>
        <v>0</v>
      </c>
      <c r="FI30" s="7">
        <f>'AS400'!FE30</f>
        <v>0</v>
      </c>
      <c r="FJ30" s="7">
        <f>'AS400'!FF30</f>
        <v>0</v>
      </c>
      <c r="FK30" s="7">
        <f>'AS400'!FG30</f>
        <v>0</v>
      </c>
      <c r="FL30" s="7">
        <f>'AS400'!FH30</f>
        <v>0</v>
      </c>
      <c r="FM30" s="7">
        <f>'AS400'!FI30</f>
        <v>1</v>
      </c>
      <c r="FN30" s="7">
        <f>'AS400'!FJ30</f>
        <v>1</v>
      </c>
      <c r="FO30" s="7">
        <f>'AS400'!FO30</f>
        <v>0</v>
      </c>
      <c r="FP30" s="7">
        <f>'AS400'!FP30</f>
        <v>4</v>
      </c>
      <c r="FQ30" s="7">
        <f>'AS400'!FQ30</f>
        <v>1</v>
      </c>
      <c r="FR30" s="7">
        <f>'AS400'!FR30</f>
        <v>1</v>
      </c>
      <c r="FS30" s="13">
        <f>'AS400'!FO30</f>
        <v>0</v>
      </c>
    </row>
    <row r="31" spans="1:175">
      <c r="A31" s="7">
        <f>'AS400'!A31</f>
        <v>25</v>
      </c>
      <c r="B31" s="7">
        <f>'AS400'!B31</f>
        <v>20190301</v>
      </c>
      <c r="C31" s="7">
        <f>'AS400'!C31</f>
        <v>0</v>
      </c>
      <c r="D31" s="7" t="str">
        <f>'AS400'!D31</f>
        <v>N</v>
      </c>
      <c r="E31" s="7" t="str">
        <f>'AS400'!E31</f>
        <v>N</v>
      </c>
      <c r="F31" s="7" t="str">
        <f>'AS400'!F31</f>
        <v>Y</v>
      </c>
      <c r="G31" s="7">
        <f>'AS400'!G31</f>
        <v>0</v>
      </c>
      <c r="H31" s="14"/>
      <c r="I31" s="7" t="str">
        <f>'AS400'!I31</f>
        <v>RSA</v>
      </c>
      <c r="J31" s="7" t="str">
        <f>'AS400'!J31</f>
        <v>METR</v>
      </c>
      <c r="K31" s="7" t="str">
        <f>'AS400'!K31</f>
        <v>N</v>
      </c>
      <c r="L31" s="7">
        <f>'AS400'!L31</f>
        <v>4</v>
      </c>
      <c r="M31" s="8">
        <f>'AS400'!M31</f>
        <v>1</v>
      </c>
      <c r="N31" s="7">
        <f>'AS400'!N31</f>
        <v>1</v>
      </c>
      <c r="O31" s="7" t="str">
        <f>'AS400'!O31</f>
        <v>MFSP</v>
      </c>
      <c r="P31" s="7">
        <f>'AS400'!P31</f>
        <v>100</v>
      </c>
      <c r="Q31" s="7">
        <f>'AS400'!Q31</f>
        <v>20180301</v>
      </c>
      <c r="R31" s="7">
        <f>'AS400'!R31</f>
        <v>20180301</v>
      </c>
      <c r="S31" s="7" t="str">
        <f>'AS400'!S31</f>
        <v>M</v>
      </c>
      <c r="T31" s="7" t="str">
        <f>'AS400'!T31</f>
        <v>MM</v>
      </c>
      <c r="U31" s="7">
        <f>'AS400'!U31</f>
        <v>20190301</v>
      </c>
      <c r="V31" s="7">
        <f>'AS400'!V31</f>
        <v>10</v>
      </c>
      <c r="W31" s="7">
        <f>'AS400'!W31</f>
        <v>10</v>
      </c>
      <c r="X31" s="7" t="str">
        <f>'AS400'!X31</f>
        <v>MFIX</v>
      </c>
      <c r="Y31" s="7">
        <f>'AS400'!Y31</f>
        <v>0</v>
      </c>
      <c r="Z31" s="7" t="str">
        <f>'AS400'!Z31</f>
        <v>STLV</v>
      </c>
      <c r="AA31" s="7">
        <f>'AS400'!AA31</f>
        <v>818</v>
      </c>
      <c r="AB31" s="7">
        <f>'AS400'!AB31</f>
        <v>0</v>
      </c>
      <c r="AC31" s="7">
        <f>'AS400'!AC31</f>
        <v>12</v>
      </c>
      <c r="AD31" s="7">
        <f>'AS400'!AD31</f>
        <v>20180201</v>
      </c>
      <c r="AE31" s="7">
        <f>'AS400'!AE31</f>
        <v>0</v>
      </c>
      <c r="AF31" s="7">
        <f>'AS400'!AF31</f>
        <v>40000</v>
      </c>
      <c r="AG31" s="7">
        <f>'AS400'!AG31</f>
        <v>120</v>
      </c>
      <c r="AI31" s="7">
        <f>'AS400'!AH31</f>
        <v>60</v>
      </c>
      <c r="AJ31" s="7">
        <f>'AS400'!AI31</f>
        <v>0</v>
      </c>
      <c r="AK31" s="7">
        <f>'AS400'!AJ31</f>
        <v>0</v>
      </c>
      <c r="AL31" s="7">
        <f>'AS400'!AK31</f>
        <v>0</v>
      </c>
      <c r="AM31" s="7">
        <f>'AS400'!AL31</f>
        <v>0</v>
      </c>
      <c r="AN31" s="7">
        <f>'AS400'!AM31</f>
        <v>0</v>
      </c>
      <c r="AO31" s="7">
        <f>'AS400'!AN31</f>
        <v>0</v>
      </c>
      <c r="AP31" s="7">
        <f>'AS400'!AO31</f>
        <v>0</v>
      </c>
      <c r="AQ31" s="7">
        <f>'AS400'!AP31</f>
        <v>0</v>
      </c>
      <c r="AR31" s="7">
        <f>'AS400'!AQ31</f>
        <v>0</v>
      </c>
      <c r="AS31" s="7">
        <f>'AS400'!AR31</f>
        <v>0</v>
      </c>
      <c r="AT31" s="7">
        <f>'AS400'!AS31</f>
        <v>0</v>
      </c>
      <c r="AU31" s="7">
        <f>'AS400'!AT31</f>
        <v>0</v>
      </c>
      <c r="AV31" s="7">
        <f>'AS400'!AU31</f>
        <v>0</v>
      </c>
      <c r="AW31" s="7">
        <f>'AS400'!AV31</f>
        <v>0</v>
      </c>
      <c r="AX31" s="7">
        <f>'AS400'!AW31</f>
        <v>0</v>
      </c>
      <c r="AY31" s="7">
        <f>'AS400'!AX31</f>
        <v>0</v>
      </c>
      <c r="AZ31" s="8">
        <f>'AS400'!AY31</f>
        <v>1</v>
      </c>
      <c r="BA31" s="7">
        <f>'AS400'!AZ31</f>
        <v>2</v>
      </c>
      <c r="BB31" s="7" t="str">
        <f>'AS400'!BA31</f>
        <v>PURO</v>
      </c>
      <c r="BC31" s="7">
        <f>'AS400'!BB31</f>
        <v>100</v>
      </c>
      <c r="BD31" s="7">
        <f>'AS400'!BC31</f>
        <v>20180301</v>
      </c>
      <c r="BE31" s="7">
        <f>'AS400'!BD31</f>
        <v>20180301</v>
      </c>
      <c r="BF31" s="7" t="str">
        <f>'AS400'!BE31</f>
        <v>S</v>
      </c>
      <c r="BG31" s="7" t="str">
        <f>'AS400'!BF31</f>
        <v>ME</v>
      </c>
      <c r="BH31" s="7">
        <f>'AS400'!BG31</f>
        <v>20180301</v>
      </c>
      <c r="BI31" s="7">
        <f>'AS400'!BH31</f>
        <v>0</v>
      </c>
      <c r="BJ31" s="7">
        <f>'AS400'!BI31</f>
        <v>0</v>
      </c>
      <c r="BK31" s="7">
        <f>'AS400'!BJ31</f>
        <v>0</v>
      </c>
      <c r="BL31" s="7">
        <f>'AS400'!BK31</f>
        <v>0</v>
      </c>
      <c r="BM31" s="7" t="str">
        <f>'AS400'!BL31</f>
        <v>STLV</v>
      </c>
      <c r="BN31" s="7">
        <f>'AS400'!BM31</f>
        <v>818</v>
      </c>
      <c r="BO31" s="7">
        <f>'AS400'!BN31</f>
        <v>0</v>
      </c>
      <c r="BP31" s="7">
        <f>'AS400'!BO31</f>
        <v>12</v>
      </c>
      <c r="BQ31" s="7">
        <f>'AS400'!BP31</f>
        <v>20180201</v>
      </c>
      <c r="BR31" s="7">
        <f>'AS400'!BQ31</f>
        <v>0</v>
      </c>
      <c r="BS31" s="7">
        <f>'AS400'!BR31</f>
        <v>0</v>
      </c>
      <c r="BT31" s="7">
        <f>'AS400'!BS31</f>
        <v>60</v>
      </c>
      <c r="BV31" s="7">
        <f>'AS400'!BT31</f>
        <v>60</v>
      </c>
      <c r="BW31" s="7">
        <f>'AS400'!BU31</f>
        <v>0</v>
      </c>
      <c r="BX31" s="7">
        <f>'AS400'!BV31</f>
        <v>0</v>
      </c>
      <c r="BY31" s="7">
        <f>'AS400'!BW31</f>
        <v>0</v>
      </c>
      <c r="BZ31" s="7">
        <f>'AS400'!BX31</f>
        <v>0</v>
      </c>
      <c r="CA31" s="7">
        <f>'AS400'!BY31</f>
        <v>0</v>
      </c>
      <c r="CB31" s="7">
        <f>'AS400'!BZ31</f>
        <v>0</v>
      </c>
      <c r="CC31" s="7">
        <f>'AS400'!CA31</f>
        <v>0</v>
      </c>
      <c r="CD31" s="7">
        <f>'AS400'!CB31</f>
        <v>0</v>
      </c>
      <c r="CE31" s="7">
        <f>'AS400'!CC31</f>
        <v>0</v>
      </c>
      <c r="CF31" s="7">
        <f>'AS400'!CD31</f>
        <v>0</v>
      </c>
      <c r="CG31" s="7">
        <f>'AS400'!CE31</f>
        <v>0</v>
      </c>
      <c r="CH31" s="7">
        <f>'AS400'!CF31</f>
        <v>0</v>
      </c>
      <c r="CI31" s="7">
        <f>'AS400'!CG31</f>
        <v>0</v>
      </c>
      <c r="CJ31" s="7">
        <f>'AS400'!CH31</f>
        <v>0</v>
      </c>
      <c r="CK31" s="7">
        <f>'AS400'!CI31</f>
        <v>0</v>
      </c>
      <c r="CL31" s="7">
        <f>'AS400'!CJ31</f>
        <v>0</v>
      </c>
      <c r="CM31" s="8">
        <f>'AS400'!CK31</f>
        <v>1</v>
      </c>
      <c r="CN31" s="7">
        <f>'AS400'!CL31</f>
        <v>3</v>
      </c>
      <c r="CO31" s="7" t="str">
        <f>'AS400'!CM31</f>
        <v>PUDT</v>
      </c>
      <c r="CP31" s="7">
        <f>'AS400'!CN31</f>
        <v>100</v>
      </c>
      <c r="CQ31" s="7">
        <f>'AS400'!CO31</f>
        <v>20180301</v>
      </c>
      <c r="CR31" s="7">
        <f>'AS400'!CP31</f>
        <v>20180301</v>
      </c>
      <c r="CS31" s="7" t="str">
        <f>'AS400'!CQ31</f>
        <v>S</v>
      </c>
      <c r="CT31" s="7" t="str">
        <f>'AS400'!CR31</f>
        <v>MT</v>
      </c>
      <c r="CU31" s="7">
        <f>'AS400'!CS31</f>
        <v>20180301</v>
      </c>
      <c r="CV31" s="7">
        <f>'AS400'!CT31</f>
        <v>0</v>
      </c>
      <c r="CW31" s="7">
        <f>'AS400'!CU31</f>
        <v>0</v>
      </c>
      <c r="CX31" s="7">
        <f>'AS400'!CV31</f>
        <v>0</v>
      </c>
      <c r="CY31" s="7">
        <f>'AS400'!CW31</f>
        <v>0</v>
      </c>
      <c r="CZ31" s="7" t="str">
        <f>'AS400'!CX31</f>
        <v>STLV</v>
      </c>
      <c r="DA31" s="7">
        <f>'AS400'!CY31</f>
        <v>818</v>
      </c>
      <c r="DB31" s="7">
        <f>'AS400'!CZ31</f>
        <v>0</v>
      </c>
      <c r="DC31" s="7">
        <f>'AS400'!DA31</f>
        <v>12</v>
      </c>
      <c r="DD31" s="7">
        <f>'AS400'!DB31</f>
        <v>20180201</v>
      </c>
      <c r="DE31" s="7">
        <f>'AS400'!DC31</f>
        <v>0</v>
      </c>
      <c r="DF31" s="7">
        <f>'AS400'!DD31</f>
        <v>0</v>
      </c>
      <c r="DG31" s="7">
        <f>'AS400'!DE31</f>
        <v>38</v>
      </c>
      <c r="DI31" s="7">
        <f>'AS400'!DF31</f>
        <v>60</v>
      </c>
      <c r="DJ31" s="7">
        <f>'AS400'!DG31</f>
        <v>0</v>
      </c>
      <c r="DK31" s="7">
        <f>'AS400'!DH31</f>
        <v>0</v>
      </c>
      <c r="DL31" s="7">
        <f>'AS400'!DI31</f>
        <v>0</v>
      </c>
      <c r="DM31" s="7">
        <f>'AS400'!DJ31</f>
        <v>0</v>
      </c>
      <c r="DN31" s="7">
        <f>'AS400'!DK31</f>
        <v>0</v>
      </c>
      <c r="DO31" s="7">
        <f>'AS400'!DL31</f>
        <v>0</v>
      </c>
      <c r="DP31" s="7">
        <f>'AS400'!DM31</f>
        <v>0</v>
      </c>
      <c r="DQ31" s="7">
        <f>'AS400'!DN31</f>
        <v>0</v>
      </c>
      <c r="DR31" s="7">
        <f>'AS400'!DO31</f>
        <v>0</v>
      </c>
      <c r="DS31" s="7">
        <f>'AS400'!DP31</f>
        <v>0</v>
      </c>
      <c r="DT31" s="7">
        <f>'AS400'!DQ31</f>
        <v>0</v>
      </c>
      <c r="DU31" s="7">
        <f>'AS400'!DR31</f>
        <v>0</v>
      </c>
      <c r="DV31" s="7">
        <f>'AS400'!DS31</f>
        <v>0</v>
      </c>
      <c r="DW31" s="7">
        <f>'AS400'!DT31</f>
        <v>0</v>
      </c>
      <c r="DX31" s="7">
        <f>'AS400'!DU31</f>
        <v>0</v>
      </c>
      <c r="DY31" s="7">
        <f>'AS400'!DV31</f>
        <v>0</v>
      </c>
      <c r="DZ31" s="8">
        <f>'AS400'!DW31</f>
        <v>1</v>
      </c>
      <c r="EA31" s="7">
        <f>'AS400'!DX31</f>
        <v>4</v>
      </c>
      <c r="EB31" s="7" t="str">
        <f>'AS400'!DY31</f>
        <v>PUDS</v>
      </c>
      <c r="EC31" s="7">
        <f>'AS400'!DZ31</f>
        <v>100</v>
      </c>
      <c r="ED31" s="7">
        <f>'AS400'!EA31</f>
        <v>20180301</v>
      </c>
      <c r="EE31" s="7">
        <f>'AS400'!EB31</f>
        <v>20180301</v>
      </c>
      <c r="EF31" s="7" t="str">
        <f>'AS400'!EC31</f>
        <v>S</v>
      </c>
      <c r="EG31" s="7" t="str">
        <f>'AS400'!ED31</f>
        <v>MS</v>
      </c>
      <c r="EH31" s="7">
        <f>'AS400'!EE31</f>
        <v>20180301</v>
      </c>
      <c r="EI31" s="7">
        <f>'AS400'!EF31</f>
        <v>0</v>
      </c>
      <c r="EJ31" s="7">
        <f>'AS400'!EG31</f>
        <v>0</v>
      </c>
      <c r="EK31" s="7">
        <f>'AS400'!EH31</f>
        <v>0</v>
      </c>
      <c r="EL31" s="7">
        <f>'AS400'!EI31</f>
        <v>0</v>
      </c>
      <c r="EM31" s="7" t="str">
        <f>'AS400'!EJ31</f>
        <v>STLV</v>
      </c>
      <c r="EN31" s="7">
        <f>'AS400'!EK31</f>
        <v>818</v>
      </c>
      <c r="EO31" s="7">
        <f>'AS400'!EL31</f>
        <v>0</v>
      </c>
      <c r="EP31" s="7">
        <f>'AS400'!EM31</f>
        <v>12</v>
      </c>
      <c r="EQ31" s="7">
        <f>'AS400'!EN31</f>
        <v>20180201</v>
      </c>
      <c r="ER31" s="7">
        <f>'AS400'!EO31</f>
        <v>0</v>
      </c>
      <c r="ES31" s="7">
        <f>'AS400'!EP31</f>
        <v>0</v>
      </c>
      <c r="ET31" s="7">
        <f>'AS400'!EQ31</f>
        <v>17</v>
      </c>
      <c r="EV31" s="7">
        <f>'AS400'!ER31</f>
        <v>60</v>
      </c>
      <c r="EW31" s="7">
        <f>'AS400'!ES31</f>
        <v>0</v>
      </c>
      <c r="EX31" s="7">
        <f>'AS400'!ET31</f>
        <v>0</v>
      </c>
      <c r="EY31" s="7">
        <f>'AS400'!EU31</f>
        <v>0</v>
      </c>
      <c r="EZ31" s="7">
        <f>'AS400'!EV31</f>
        <v>0</v>
      </c>
      <c r="FA31" s="7">
        <f>'AS400'!EW31</f>
        <v>0</v>
      </c>
      <c r="FB31" s="7">
        <f>'AS400'!EX31</f>
        <v>0</v>
      </c>
      <c r="FC31" s="7">
        <f>'AS400'!EY31</f>
        <v>0</v>
      </c>
      <c r="FD31" s="7">
        <f>'AS400'!EZ31</f>
        <v>0</v>
      </c>
      <c r="FE31" s="7">
        <f>'AS400'!FA31</f>
        <v>0</v>
      </c>
      <c r="FF31" s="7">
        <f>'AS400'!FB31</f>
        <v>0</v>
      </c>
      <c r="FG31" s="7">
        <f>'AS400'!FC31</f>
        <v>0</v>
      </c>
      <c r="FH31" s="7">
        <f>'AS400'!FD31</f>
        <v>0</v>
      </c>
      <c r="FI31" s="7">
        <f>'AS400'!FE31</f>
        <v>0</v>
      </c>
      <c r="FJ31" s="7">
        <f>'AS400'!FF31</f>
        <v>0</v>
      </c>
      <c r="FK31" s="7">
        <f>'AS400'!FG31</f>
        <v>0</v>
      </c>
      <c r="FL31" s="7">
        <f>'AS400'!FH31</f>
        <v>0</v>
      </c>
      <c r="FM31" s="7">
        <f>'AS400'!FI31</f>
        <v>1</v>
      </c>
      <c r="FN31" s="7">
        <f>'AS400'!FJ31</f>
        <v>1</v>
      </c>
      <c r="FO31" s="7">
        <f>'AS400'!FO31</f>
        <v>0</v>
      </c>
      <c r="FP31" s="7">
        <f>'AS400'!FP31</f>
        <v>4</v>
      </c>
      <c r="FQ31" s="7">
        <f>'AS400'!FQ31</f>
        <v>1</v>
      </c>
      <c r="FR31" s="7">
        <f>'AS400'!FR31</f>
        <v>1</v>
      </c>
      <c r="FS31" s="13">
        <f>'AS400'!FO31</f>
        <v>0</v>
      </c>
    </row>
    <row r="32" spans="1:175">
      <c r="A32" s="7">
        <f>'AS400'!A32</f>
        <v>26</v>
      </c>
      <c r="B32" s="7">
        <f>'AS400'!B32</f>
        <v>20190301</v>
      </c>
      <c r="C32" s="7">
        <f>'AS400'!C32</f>
        <v>0</v>
      </c>
      <c r="D32" s="7" t="str">
        <f>'AS400'!D32</f>
        <v>N</v>
      </c>
      <c r="E32" s="7" t="str">
        <f>'AS400'!E32</f>
        <v>N</v>
      </c>
      <c r="F32" s="7" t="str">
        <f>'AS400'!F32</f>
        <v>Y</v>
      </c>
      <c r="G32" s="7">
        <f>'AS400'!G32</f>
        <v>0</v>
      </c>
      <c r="H32" s="14"/>
      <c r="I32" s="7" t="str">
        <f>'AS400'!I32</f>
        <v>RSA</v>
      </c>
      <c r="J32" s="7" t="str">
        <f>'AS400'!J32</f>
        <v>METR</v>
      </c>
      <c r="K32" s="7" t="str">
        <f>'AS400'!K32</f>
        <v>N</v>
      </c>
      <c r="L32" s="7">
        <f>'AS400'!L32</f>
        <v>4</v>
      </c>
      <c r="M32" s="8">
        <f>'AS400'!M32</f>
        <v>1</v>
      </c>
      <c r="N32" s="7">
        <f>'AS400'!N32</f>
        <v>1</v>
      </c>
      <c r="O32" s="7" t="str">
        <f>'AS400'!O32</f>
        <v>MFSP</v>
      </c>
      <c r="P32" s="7">
        <f>'AS400'!P32</f>
        <v>100</v>
      </c>
      <c r="Q32" s="7">
        <f>'AS400'!Q32</f>
        <v>20180301</v>
      </c>
      <c r="R32" s="7">
        <f>'AS400'!R32</f>
        <v>20180301</v>
      </c>
      <c r="S32" s="7" t="str">
        <f>'AS400'!S32</f>
        <v>M</v>
      </c>
      <c r="T32" s="7" t="str">
        <f>'AS400'!T32</f>
        <v>MM</v>
      </c>
      <c r="U32" s="7">
        <f>'AS400'!U32</f>
        <v>20190301</v>
      </c>
      <c r="V32" s="7">
        <f>'AS400'!V32</f>
        <v>10</v>
      </c>
      <c r="W32" s="7">
        <f>'AS400'!W32</f>
        <v>10</v>
      </c>
      <c r="X32" s="7" t="str">
        <f>'AS400'!X32</f>
        <v>MFIX</v>
      </c>
      <c r="Y32" s="7">
        <f>'AS400'!Y32</f>
        <v>0</v>
      </c>
      <c r="Z32" s="7" t="str">
        <f>'AS400'!Z32</f>
        <v>STLV</v>
      </c>
      <c r="AA32" s="7">
        <f>'AS400'!AA32</f>
        <v>818</v>
      </c>
      <c r="AB32" s="7">
        <f>'AS400'!AB32</f>
        <v>0</v>
      </c>
      <c r="AC32" s="7">
        <f>'AS400'!AC32</f>
        <v>12</v>
      </c>
      <c r="AD32" s="7">
        <f>'AS400'!AD32</f>
        <v>20180201</v>
      </c>
      <c r="AE32" s="7">
        <f>'AS400'!AE32</f>
        <v>0</v>
      </c>
      <c r="AF32" s="7">
        <f>'AS400'!AF32</f>
        <v>45000</v>
      </c>
      <c r="AG32" s="7">
        <f>'AS400'!AG32</f>
        <v>133</v>
      </c>
      <c r="AI32" s="7">
        <f>'AS400'!AH32</f>
        <v>59</v>
      </c>
      <c r="AJ32" s="7">
        <f>'AS400'!AI32</f>
        <v>0</v>
      </c>
      <c r="AK32" s="7">
        <f>'AS400'!AJ32</f>
        <v>0</v>
      </c>
      <c r="AL32" s="7">
        <f>'AS400'!AK32</f>
        <v>0</v>
      </c>
      <c r="AM32" s="7">
        <f>'AS400'!AL32</f>
        <v>0</v>
      </c>
      <c r="AN32" s="7">
        <f>'AS400'!AM32</f>
        <v>0</v>
      </c>
      <c r="AO32" s="7">
        <f>'AS400'!AN32</f>
        <v>0</v>
      </c>
      <c r="AP32" s="7">
        <f>'AS400'!AO32</f>
        <v>0</v>
      </c>
      <c r="AQ32" s="7">
        <f>'AS400'!AP32</f>
        <v>0</v>
      </c>
      <c r="AR32" s="7">
        <f>'AS400'!AQ32</f>
        <v>0</v>
      </c>
      <c r="AS32" s="7">
        <f>'AS400'!AR32</f>
        <v>0</v>
      </c>
      <c r="AT32" s="7">
        <f>'AS400'!AS32</f>
        <v>0</v>
      </c>
      <c r="AU32" s="7">
        <f>'AS400'!AT32</f>
        <v>0</v>
      </c>
      <c r="AV32" s="7">
        <f>'AS400'!AU32</f>
        <v>0</v>
      </c>
      <c r="AW32" s="7">
        <f>'AS400'!AV32</f>
        <v>0</v>
      </c>
      <c r="AX32" s="7">
        <f>'AS400'!AW32</f>
        <v>0</v>
      </c>
      <c r="AY32" s="7">
        <f>'AS400'!AX32</f>
        <v>0</v>
      </c>
      <c r="AZ32" s="8">
        <f>'AS400'!AY32</f>
        <v>1</v>
      </c>
      <c r="BA32" s="7">
        <f>'AS400'!AZ32</f>
        <v>2</v>
      </c>
      <c r="BB32" s="7" t="str">
        <f>'AS400'!BA32</f>
        <v>PURO</v>
      </c>
      <c r="BC32" s="7">
        <f>'AS400'!BB32</f>
        <v>100</v>
      </c>
      <c r="BD32" s="7">
        <f>'AS400'!BC32</f>
        <v>20180301</v>
      </c>
      <c r="BE32" s="7">
        <f>'AS400'!BD32</f>
        <v>20180301</v>
      </c>
      <c r="BF32" s="7" t="str">
        <f>'AS400'!BE32</f>
        <v>S</v>
      </c>
      <c r="BG32" s="7" t="str">
        <f>'AS400'!BF32</f>
        <v>ME</v>
      </c>
      <c r="BH32" s="7">
        <f>'AS400'!BG32</f>
        <v>20180301</v>
      </c>
      <c r="BI32" s="7">
        <f>'AS400'!BH32</f>
        <v>0</v>
      </c>
      <c r="BJ32" s="7">
        <f>'AS400'!BI32</f>
        <v>0</v>
      </c>
      <c r="BK32" s="7">
        <f>'AS400'!BJ32</f>
        <v>0</v>
      </c>
      <c r="BL32" s="7">
        <f>'AS400'!BK32</f>
        <v>0</v>
      </c>
      <c r="BM32" s="7" t="str">
        <f>'AS400'!BL32</f>
        <v>STLV</v>
      </c>
      <c r="BN32" s="7">
        <f>'AS400'!BM32</f>
        <v>818</v>
      </c>
      <c r="BO32" s="7">
        <f>'AS400'!BN32</f>
        <v>0</v>
      </c>
      <c r="BP32" s="7">
        <f>'AS400'!BO32</f>
        <v>12</v>
      </c>
      <c r="BQ32" s="7">
        <f>'AS400'!BP32</f>
        <v>20180201</v>
      </c>
      <c r="BR32" s="7">
        <f>'AS400'!BQ32</f>
        <v>0</v>
      </c>
      <c r="BS32" s="7">
        <f>'AS400'!BR32</f>
        <v>0</v>
      </c>
      <c r="BT32" s="7">
        <f>'AS400'!BS32</f>
        <v>66</v>
      </c>
      <c r="BV32" s="7">
        <f>'AS400'!BT32</f>
        <v>59</v>
      </c>
      <c r="BW32" s="7">
        <f>'AS400'!BU32</f>
        <v>0</v>
      </c>
      <c r="BX32" s="7">
        <f>'AS400'!BV32</f>
        <v>0</v>
      </c>
      <c r="BY32" s="7">
        <f>'AS400'!BW32</f>
        <v>0</v>
      </c>
      <c r="BZ32" s="7">
        <f>'AS400'!BX32</f>
        <v>0</v>
      </c>
      <c r="CA32" s="7">
        <f>'AS400'!BY32</f>
        <v>0</v>
      </c>
      <c r="CB32" s="7">
        <f>'AS400'!BZ32</f>
        <v>0</v>
      </c>
      <c r="CC32" s="7">
        <f>'AS400'!CA32</f>
        <v>0</v>
      </c>
      <c r="CD32" s="7">
        <f>'AS400'!CB32</f>
        <v>0</v>
      </c>
      <c r="CE32" s="7">
        <f>'AS400'!CC32</f>
        <v>0</v>
      </c>
      <c r="CF32" s="7">
        <f>'AS400'!CD32</f>
        <v>0</v>
      </c>
      <c r="CG32" s="7">
        <f>'AS400'!CE32</f>
        <v>0</v>
      </c>
      <c r="CH32" s="7">
        <f>'AS400'!CF32</f>
        <v>0</v>
      </c>
      <c r="CI32" s="7">
        <f>'AS400'!CG32</f>
        <v>0</v>
      </c>
      <c r="CJ32" s="7">
        <f>'AS400'!CH32</f>
        <v>0</v>
      </c>
      <c r="CK32" s="7">
        <f>'AS400'!CI32</f>
        <v>0</v>
      </c>
      <c r="CL32" s="7">
        <f>'AS400'!CJ32</f>
        <v>0</v>
      </c>
      <c r="CM32" s="8">
        <f>'AS400'!CK32</f>
        <v>1</v>
      </c>
      <c r="CN32" s="7">
        <f>'AS400'!CL32</f>
        <v>3</v>
      </c>
      <c r="CO32" s="7" t="str">
        <f>'AS400'!CM32</f>
        <v>PUDT</v>
      </c>
      <c r="CP32" s="7">
        <f>'AS400'!CN32</f>
        <v>100</v>
      </c>
      <c r="CQ32" s="7">
        <f>'AS400'!CO32</f>
        <v>20180301</v>
      </c>
      <c r="CR32" s="7">
        <f>'AS400'!CP32</f>
        <v>20180301</v>
      </c>
      <c r="CS32" s="7" t="str">
        <f>'AS400'!CQ32</f>
        <v>S</v>
      </c>
      <c r="CT32" s="7" t="str">
        <f>'AS400'!CR32</f>
        <v>MT</v>
      </c>
      <c r="CU32" s="7">
        <f>'AS400'!CS32</f>
        <v>20180301</v>
      </c>
      <c r="CV32" s="7">
        <f>'AS400'!CT32</f>
        <v>0</v>
      </c>
      <c r="CW32" s="7">
        <f>'AS400'!CU32</f>
        <v>0</v>
      </c>
      <c r="CX32" s="7">
        <f>'AS400'!CV32</f>
        <v>0</v>
      </c>
      <c r="CY32" s="7">
        <f>'AS400'!CW32</f>
        <v>0</v>
      </c>
      <c r="CZ32" s="7" t="str">
        <f>'AS400'!CX32</f>
        <v>STLV</v>
      </c>
      <c r="DA32" s="7">
        <f>'AS400'!CY32</f>
        <v>818</v>
      </c>
      <c r="DB32" s="7">
        <f>'AS400'!CZ32</f>
        <v>0</v>
      </c>
      <c r="DC32" s="7">
        <f>'AS400'!DA32</f>
        <v>12</v>
      </c>
      <c r="DD32" s="7">
        <f>'AS400'!DB32</f>
        <v>20180201</v>
      </c>
      <c r="DE32" s="7">
        <f>'AS400'!DC32</f>
        <v>0</v>
      </c>
      <c r="DF32" s="7">
        <f>'AS400'!DD32</f>
        <v>0</v>
      </c>
      <c r="DG32" s="7">
        <f>'AS400'!DE32</f>
        <v>42</v>
      </c>
      <c r="DI32" s="7">
        <f>'AS400'!DF32</f>
        <v>59</v>
      </c>
      <c r="DJ32" s="7">
        <f>'AS400'!DG32</f>
        <v>0</v>
      </c>
      <c r="DK32" s="7">
        <f>'AS400'!DH32</f>
        <v>0</v>
      </c>
      <c r="DL32" s="7">
        <f>'AS400'!DI32</f>
        <v>0</v>
      </c>
      <c r="DM32" s="7">
        <f>'AS400'!DJ32</f>
        <v>0</v>
      </c>
      <c r="DN32" s="7">
        <f>'AS400'!DK32</f>
        <v>0</v>
      </c>
      <c r="DO32" s="7">
        <f>'AS400'!DL32</f>
        <v>0</v>
      </c>
      <c r="DP32" s="7">
        <f>'AS400'!DM32</f>
        <v>0</v>
      </c>
      <c r="DQ32" s="7">
        <f>'AS400'!DN32</f>
        <v>0</v>
      </c>
      <c r="DR32" s="7">
        <f>'AS400'!DO32</f>
        <v>0</v>
      </c>
      <c r="DS32" s="7">
        <f>'AS400'!DP32</f>
        <v>0</v>
      </c>
      <c r="DT32" s="7">
        <f>'AS400'!DQ32</f>
        <v>0</v>
      </c>
      <c r="DU32" s="7">
        <f>'AS400'!DR32</f>
        <v>0</v>
      </c>
      <c r="DV32" s="7">
        <f>'AS400'!DS32</f>
        <v>0</v>
      </c>
      <c r="DW32" s="7">
        <f>'AS400'!DT32</f>
        <v>0</v>
      </c>
      <c r="DX32" s="7">
        <f>'AS400'!DU32</f>
        <v>0</v>
      </c>
      <c r="DY32" s="7">
        <f>'AS400'!DV32</f>
        <v>0</v>
      </c>
      <c r="DZ32" s="8">
        <f>'AS400'!DW32</f>
        <v>1</v>
      </c>
      <c r="EA32" s="7">
        <f>'AS400'!DX32</f>
        <v>4</v>
      </c>
      <c r="EB32" s="7" t="str">
        <f>'AS400'!DY32</f>
        <v>PUDS</v>
      </c>
      <c r="EC32" s="7">
        <f>'AS400'!DZ32</f>
        <v>100</v>
      </c>
      <c r="ED32" s="7">
        <f>'AS400'!EA32</f>
        <v>20180301</v>
      </c>
      <c r="EE32" s="7">
        <f>'AS400'!EB32</f>
        <v>20180301</v>
      </c>
      <c r="EF32" s="7" t="str">
        <f>'AS400'!EC32</f>
        <v>S</v>
      </c>
      <c r="EG32" s="7" t="str">
        <f>'AS400'!ED32</f>
        <v>MS</v>
      </c>
      <c r="EH32" s="7">
        <f>'AS400'!EE32</f>
        <v>20180301</v>
      </c>
      <c r="EI32" s="7">
        <f>'AS400'!EF32</f>
        <v>0</v>
      </c>
      <c r="EJ32" s="7">
        <f>'AS400'!EG32</f>
        <v>0</v>
      </c>
      <c r="EK32" s="7">
        <f>'AS400'!EH32</f>
        <v>0</v>
      </c>
      <c r="EL32" s="7">
        <f>'AS400'!EI32</f>
        <v>0</v>
      </c>
      <c r="EM32" s="7" t="str">
        <f>'AS400'!EJ32</f>
        <v>STLV</v>
      </c>
      <c r="EN32" s="7">
        <f>'AS400'!EK32</f>
        <v>818</v>
      </c>
      <c r="EO32" s="7">
        <f>'AS400'!EL32</f>
        <v>0</v>
      </c>
      <c r="EP32" s="7">
        <f>'AS400'!EM32</f>
        <v>12</v>
      </c>
      <c r="EQ32" s="7">
        <f>'AS400'!EN32</f>
        <v>20180201</v>
      </c>
      <c r="ER32" s="7">
        <f>'AS400'!EO32</f>
        <v>0</v>
      </c>
      <c r="ES32" s="7">
        <f>'AS400'!EP32</f>
        <v>0</v>
      </c>
      <c r="ET32" s="7">
        <f>'AS400'!EQ32</f>
        <v>19</v>
      </c>
      <c r="EV32" s="7">
        <f>'AS400'!ER32</f>
        <v>59</v>
      </c>
      <c r="EW32" s="7">
        <f>'AS400'!ES32</f>
        <v>0</v>
      </c>
      <c r="EX32" s="7">
        <f>'AS400'!ET32</f>
        <v>0</v>
      </c>
      <c r="EY32" s="7">
        <f>'AS400'!EU32</f>
        <v>0</v>
      </c>
      <c r="EZ32" s="7">
        <f>'AS400'!EV32</f>
        <v>0</v>
      </c>
      <c r="FA32" s="7">
        <f>'AS400'!EW32</f>
        <v>0</v>
      </c>
      <c r="FB32" s="7">
        <f>'AS400'!EX32</f>
        <v>0</v>
      </c>
      <c r="FC32" s="7">
        <f>'AS400'!EY32</f>
        <v>0</v>
      </c>
      <c r="FD32" s="7">
        <f>'AS400'!EZ32</f>
        <v>0</v>
      </c>
      <c r="FE32" s="7">
        <f>'AS400'!FA32</f>
        <v>0</v>
      </c>
      <c r="FF32" s="7">
        <f>'AS400'!FB32</f>
        <v>0</v>
      </c>
      <c r="FG32" s="7">
        <f>'AS400'!FC32</f>
        <v>0</v>
      </c>
      <c r="FH32" s="7">
        <f>'AS400'!FD32</f>
        <v>0</v>
      </c>
      <c r="FI32" s="7">
        <f>'AS400'!FE32</f>
        <v>0</v>
      </c>
      <c r="FJ32" s="7">
        <f>'AS400'!FF32</f>
        <v>0</v>
      </c>
      <c r="FK32" s="7">
        <f>'AS400'!FG32</f>
        <v>0</v>
      </c>
      <c r="FL32" s="7">
        <f>'AS400'!FH32</f>
        <v>0</v>
      </c>
      <c r="FM32" s="7">
        <f>'AS400'!FI32</f>
        <v>1</v>
      </c>
      <c r="FN32" s="7">
        <f>'AS400'!FJ32</f>
        <v>1</v>
      </c>
      <c r="FO32" s="7">
        <f>'AS400'!FO32</f>
        <v>0</v>
      </c>
      <c r="FP32" s="7">
        <f>'AS400'!FP32</f>
        <v>4</v>
      </c>
      <c r="FQ32" s="7">
        <f>'AS400'!FQ32</f>
        <v>1</v>
      </c>
      <c r="FR32" s="7">
        <f>'AS400'!FR32</f>
        <v>1</v>
      </c>
      <c r="FS32" s="13">
        <f>'AS400'!FO32</f>
        <v>0</v>
      </c>
    </row>
    <row r="33" spans="1:175">
      <c r="A33" s="7">
        <f>'AS400'!A33</f>
        <v>27</v>
      </c>
      <c r="B33" s="7">
        <f>'AS400'!B33</f>
        <v>20190301</v>
      </c>
      <c r="C33" s="7">
        <f>'AS400'!C33</f>
        <v>0</v>
      </c>
      <c r="D33" s="7" t="str">
        <f>'AS400'!D33</f>
        <v>N</v>
      </c>
      <c r="E33" s="7" t="str">
        <f>'AS400'!E33</f>
        <v>N</v>
      </c>
      <c r="F33" s="7" t="str">
        <f>'AS400'!F33</f>
        <v>Y</v>
      </c>
      <c r="G33" s="7">
        <f>'AS400'!G33</f>
        <v>0</v>
      </c>
      <c r="H33" s="14"/>
      <c r="I33" s="7" t="str">
        <f>'AS400'!I33</f>
        <v>RSA</v>
      </c>
      <c r="J33" s="7" t="str">
        <f>'AS400'!J33</f>
        <v>METR</v>
      </c>
      <c r="K33" s="7" t="str">
        <f>'AS400'!K33</f>
        <v>N</v>
      </c>
      <c r="L33" s="7">
        <f>'AS400'!L33</f>
        <v>4</v>
      </c>
      <c r="M33" s="8">
        <f>'AS400'!M33</f>
        <v>1</v>
      </c>
      <c r="N33" s="7">
        <f>'AS400'!N33</f>
        <v>1</v>
      </c>
      <c r="O33" s="7" t="str">
        <f>'AS400'!O33</f>
        <v>MFSP</v>
      </c>
      <c r="P33" s="7">
        <f>'AS400'!P33</f>
        <v>100</v>
      </c>
      <c r="Q33" s="7">
        <f>'AS400'!Q33</f>
        <v>20180301</v>
      </c>
      <c r="R33" s="7">
        <f>'AS400'!R33</f>
        <v>20180301</v>
      </c>
      <c r="S33" s="7" t="str">
        <f>'AS400'!S33</f>
        <v>M</v>
      </c>
      <c r="T33" s="7" t="str">
        <f>'AS400'!T33</f>
        <v>MM</v>
      </c>
      <c r="U33" s="7">
        <f>'AS400'!U33</f>
        <v>20190301</v>
      </c>
      <c r="V33" s="7">
        <f>'AS400'!V33</f>
        <v>10</v>
      </c>
      <c r="W33" s="7">
        <f>'AS400'!W33</f>
        <v>10</v>
      </c>
      <c r="X33" s="7" t="str">
        <f>'AS400'!X33</f>
        <v>MFIX</v>
      </c>
      <c r="Y33" s="7">
        <f>'AS400'!Y33</f>
        <v>0</v>
      </c>
      <c r="Z33" s="7" t="str">
        <f>'AS400'!Z33</f>
        <v>STLV</v>
      </c>
      <c r="AA33" s="7">
        <f>'AS400'!AA33</f>
        <v>818</v>
      </c>
      <c r="AB33" s="7">
        <f>'AS400'!AB33</f>
        <v>0</v>
      </c>
      <c r="AC33" s="7">
        <f>'AS400'!AC33</f>
        <v>12</v>
      </c>
      <c r="AD33" s="7">
        <f>'AS400'!AD33</f>
        <v>20180201</v>
      </c>
      <c r="AE33" s="7">
        <f>'AS400'!AE33</f>
        <v>0</v>
      </c>
      <c r="AF33" s="7">
        <f>'AS400'!AF33</f>
        <v>50000</v>
      </c>
      <c r="AG33" s="7">
        <f>'AS400'!AG33</f>
        <v>145</v>
      </c>
      <c r="AI33" s="7">
        <f>'AS400'!AH33</f>
        <v>58</v>
      </c>
      <c r="AJ33" s="7">
        <f>'AS400'!AI33</f>
        <v>0</v>
      </c>
      <c r="AK33" s="7">
        <f>'AS400'!AJ33</f>
        <v>0</v>
      </c>
      <c r="AL33" s="7">
        <f>'AS400'!AK33</f>
        <v>0</v>
      </c>
      <c r="AM33" s="7">
        <f>'AS400'!AL33</f>
        <v>0</v>
      </c>
      <c r="AN33" s="7">
        <f>'AS400'!AM33</f>
        <v>0</v>
      </c>
      <c r="AO33" s="7">
        <f>'AS400'!AN33</f>
        <v>0</v>
      </c>
      <c r="AP33" s="7">
        <f>'AS400'!AO33</f>
        <v>0</v>
      </c>
      <c r="AQ33" s="7">
        <f>'AS400'!AP33</f>
        <v>0</v>
      </c>
      <c r="AR33" s="7">
        <f>'AS400'!AQ33</f>
        <v>0</v>
      </c>
      <c r="AS33" s="7">
        <f>'AS400'!AR33</f>
        <v>0</v>
      </c>
      <c r="AT33" s="7">
        <f>'AS400'!AS33</f>
        <v>0</v>
      </c>
      <c r="AU33" s="7">
        <f>'AS400'!AT33</f>
        <v>0</v>
      </c>
      <c r="AV33" s="7">
        <f>'AS400'!AU33</f>
        <v>0</v>
      </c>
      <c r="AW33" s="7">
        <f>'AS400'!AV33</f>
        <v>0</v>
      </c>
      <c r="AX33" s="7">
        <f>'AS400'!AW33</f>
        <v>0</v>
      </c>
      <c r="AY33" s="7">
        <f>'AS400'!AX33</f>
        <v>0</v>
      </c>
      <c r="AZ33" s="8">
        <f>'AS400'!AY33</f>
        <v>1</v>
      </c>
      <c r="BA33" s="7">
        <f>'AS400'!AZ33</f>
        <v>2</v>
      </c>
      <c r="BB33" s="7" t="str">
        <f>'AS400'!BA33</f>
        <v>PURO</v>
      </c>
      <c r="BC33" s="7">
        <f>'AS400'!BB33</f>
        <v>100</v>
      </c>
      <c r="BD33" s="7">
        <f>'AS400'!BC33</f>
        <v>20180301</v>
      </c>
      <c r="BE33" s="7">
        <f>'AS400'!BD33</f>
        <v>20180301</v>
      </c>
      <c r="BF33" s="7" t="str">
        <f>'AS400'!BE33</f>
        <v>S</v>
      </c>
      <c r="BG33" s="7" t="str">
        <f>'AS400'!BF33</f>
        <v>ME</v>
      </c>
      <c r="BH33" s="7">
        <f>'AS400'!BG33</f>
        <v>20180301</v>
      </c>
      <c r="BI33" s="7">
        <f>'AS400'!BH33</f>
        <v>0</v>
      </c>
      <c r="BJ33" s="7">
        <f>'AS400'!BI33</f>
        <v>0</v>
      </c>
      <c r="BK33" s="7">
        <f>'AS400'!BJ33</f>
        <v>0</v>
      </c>
      <c r="BL33" s="7">
        <f>'AS400'!BK33</f>
        <v>0</v>
      </c>
      <c r="BM33" s="7" t="str">
        <f>'AS400'!BL33</f>
        <v>STLV</v>
      </c>
      <c r="BN33" s="7">
        <f>'AS400'!BM33</f>
        <v>818</v>
      </c>
      <c r="BO33" s="7">
        <f>'AS400'!BN33</f>
        <v>0</v>
      </c>
      <c r="BP33" s="7">
        <f>'AS400'!BO33</f>
        <v>12</v>
      </c>
      <c r="BQ33" s="7">
        <f>'AS400'!BP33</f>
        <v>20180201</v>
      </c>
      <c r="BR33" s="7">
        <f>'AS400'!BQ33</f>
        <v>0</v>
      </c>
      <c r="BS33" s="7">
        <f>'AS400'!BR33</f>
        <v>0</v>
      </c>
      <c r="BT33" s="7">
        <f>'AS400'!BS33</f>
        <v>72</v>
      </c>
      <c r="BV33" s="7">
        <f>'AS400'!BT33</f>
        <v>58</v>
      </c>
      <c r="BW33" s="7">
        <f>'AS400'!BU33</f>
        <v>0</v>
      </c>
      <c r="BX33" s="7">
        <f>'AS400'!BV33</f>
        <v>0</v>
      </c>
      <c r="BY33" s="7">
        <f>'AS400'!BW33</f>
        <v>0</v>
      </c>
      <c r="BZ33" s="7">
        <f>'AS400'!BX33</f>
        <v>0</v>
      </c>
      <c r="CA33" s="7">
        <f>'AS400'!BY33</f>
        <v>0</v>
      </c>
      <c r="CB33" s="7">
        <f>'AS400'!BZ33</f>
        <v>0</v>
      </c>
      <c r="CC33" s="7">
        <f>'AS400'!CA33</f>
        <v>0</v>
      </c>
      <c r="CD33" s="7">
        <f>'AS400'!CB33</f>
        <v>0</v>
      </c>
      <c r="CE33" s="7">
        <f>'AS400'!CC33</f>
        <v>0</v>
      </c>
      <c r="CF33" s="7">
        <f>'AS400'!CD33</f>
        <v>0</v>
      </c>
      <c r="CG33" s="7">
        <f>'AS400'!CE33</f>
        <v>0</v>
      </c>
      <c r="CH33" s="7">
        <f>'AS400'!CF33</f>
        <v>0</v>
      </c>
      <c r="CI33" s="7">
        <f>'AS400'!CG33</f>
        <v>0</v>
      </c>
      <c r="CJ33" s="7">
        <f>'AS400'!CH33</f>
        <v>0</v>
      </c>
      <c r="CK33" s="7">
        <f>'AS400'!CI33</f>
        <v>0</v>
      </c>
      <c r="CL33" s="7">
        <f>'AS400'!CJ33</f>
        <v>0</v>
      </c>
      <c r="CM33" s="8">
        <f>'AS400'!CK33</f>
        <v>1</v>
      </c>
      <c r="CN33" s="7">
        <f>'AS400'!CL33</f>
        <v>3</v>
      </c>
      <c r="CO33" s="7" t="str">
        <f>'AS400'!CM33</f>
        <v>PUDT</v>
      </c>
      <c r="CP33" s="7">
        <f>'AS400'!CN33</f>
        <v>100</v>
      </c>
      <c r="CQ33" s="7">
        <f>'AS400'!CO33</f>
        <v>20180301</v>
      </c>
      <c r="CR33" s="7">
        <f>'AS400'!CP33</f>
        <v>20180301</v>
      </c>
      <c r="CS33" s="7" t="str">
        <f>'AS400'!CQ33</f>
        <v>S</v>
      </c>
      <c r="CT33" s="7" t="str">
        <f>'AS400'!CR33</f>
        <v>MT</v>
      </c>
      <c r="CU33" s="7">
        <f>'AS400'!CS33</f>
        <v>20180301</v>
      </c>
      <c r="CV33" s="7">
        <f>'AS400'!CT33</f>
        <v>0</v>
      </c>
      <c r="CW33" s="7">
        <f>'AS400'!CU33</f>
        <v>0</v>
      </c>
      <c r="CX33" s="7">
        <f>'AS400'!CV33</f>
        <v>0</v>
      </c>
      <c r="CY33" s="7">
        <f>'AS400'!CW33</f>
        <v>0</v>
      </c>
      <c r="CZ33" s="7" t="str">
        <f>'AS400'!CX33</f>
        <v>STLV</v>
      </c>
      <c r="DA33" s="7">
        <f>'AS400'!CY33</f>
        <v>818</v>
      </c>
      <c r="DB33" s="7">
        <f>'AS400'!CZ33</f>
        <v>0</v>
      </c>
      <c r="DC33" s="7">
        <f>'AS400'!DA33</f>
        <v>12</v>
      </c>
      <c r="DD33" s="7">
        <f>'AS400'!DB33</f>
        <v>20180201</v>
      </c>
      <c r="DE33" s="7">
        <f>'AS400'!DC33</f>
        <v>0</v>
      </c>
      <c r="DF33" s="7">
        <f>'AS400'!DD33</f>
        <v>0</v>
      </c>
      <c r="DG33" s="7">
        <f>'AS400'!DE33</f>
        <v>46</v>
      </c>
      <c r="DI33" s="7">
        <f>'AS400'!DF33</f>
        <v>58</v>
      </c>
      <c r="DJ33" s="7">
        <f>'AS400'!DG33</f>
        <v>0</v>
      </c>
      <c r="DK33" s="7">
        <f>'AS400'!DH33</f>
        <v>0</v>
      </c>
      <c r="DL33" s="7">
        <f>'AS400'!DI33</f>
        <v>0</v>
      </c>
      <c r="DM33" s="7">
        <f>'AS400'!DJ33</f>
        <v>0</v>
      </c>
      <c r="DN33" s="7">
        <f>'AS400'!DK33</f>
        <v>0</v>
      </c>
      <c r="DO33" s="7">
        <f>'AS400'!DL33</f>
        <v>0</v>
      </c>
      <c r="DP33" s="7">
        <f>'AS400'!DM33</f>
        <v>0</v>
      </c>
      <c r="DQ33" s="7">
        <f>'AS400'!DN33</f>
        <v>0</v>
      </c>
      <c r="DR33" s="7">
        <f>'AS400'!DO33</f>
        <v>0</v>
      </c>
      <c r="DS33" s="7">
        <f>'AS400'!DP33</f>
        <v>0</v>
      </c>
      <c r="DT33" s="7">
        <f>'AS400'!DQ33</f>
        <v>0</v>
      </c>
      <c r="DU33" s="7">
        <f>'AS400'!DR33</f>
        <v>0</v>
      </c>
      <c r="DV33" s="7">
        <f>'AS400'!DS33</f>
        <v>0</v>
      </c>
      <c r="DW33" s="7">
        <f>'AS400'!DT33</f>
        <v>0</v>
      </c>
      <c r="DX33" s="7">
        <f>'AS400'!DU33</f>
        <v>0</v>
      </c>
      <c r="DY33" s="7">
        <f>'AS400'!DV33</f>
        <v>0</v>
      </c>
      <c r="DZ33" s="8">
        <f>'AS400'!DW33</f>
        <v>1</v>
      </c>
      <c r="EA33" s="7">
        <f>'AS400'!DX33</f>
        <v>4</v>
      </c>
      <c r="EB33" s="7" t="str">
        <f>'AS400'!DY33</f>
        <v>PUDS</v>
      </c>
      <c r="EC33" s="7">
        <f>'AS400'!DZ33</f>
        <v>100</v>
      </c>
      <c r="ED33" s="7">
        <f>'AS400'!EA33</f>
        <v>20180301</v>
      </c>
      <c r="EE33" s="7">
        <f>'AS400'!EB33</f>
        <v>20180301</v>
      </c>
      <c r="EF33" s="7" t="str">
        <f>'AS400'!EC33</f>
        <v>S</v>
      </c>
      <c r="EG33" s="7" t="str">
        <f>'AS400'!ED33</f>
        <v>MS</v>
      </c>
      <c r="EH33" s="7">
        <f>'AS400'!EE33</f>
        <v>20180301</v>
      </c>
      <c r="EI33" s="7">
        <f>'AS400'!EF33</f>
        <v>0</v>
      </c>
      <c r="EJ33" s="7">
        <f>'AS400'!EG33</f>
        <v>0</v>
      </c>
      <c r="EK33" s="7">
        <f>'AS400'!EH33</f>
        <v>0</v>
      </c>
      <c r="EL33" s="7">
        <f>'AS400'!EI33</f>
        <v>0</v>
      </c>
      <c r="EM33" s="7" t="str">
        <f>'AS400'!EJ33</f>
        <v>STLV</v>
      </c>
      <c r="EN33" s="7">
        <f>'AS400'!EK33</f>
        <v>818</v>
      </c>
      <c r="EO33" s="7">
        <f>'AS400'!EL33</f>
        <v>0</v>
      </c>
      <c r="EP33" s="7">
        <f>'AS400'!EM33</f>
        <v>12</v>
      </c>
      <c r="EQ33" s="7">
        <f>'AS400'!EN33</f>
        <v>20180201</v>
      </c>
      <c r="ER33" s="7">
        <f>'AS400'!EO33</f>
        <v>0</v>
      </c>
      <c r="ES33" s="7">
        <f>'AS400'!EP33</f>
        <v>0</v>
      </c>
      <c r="ET33" s="7">
        <f>'AS400'!EQ33</f>
        <v>20</v>
      </c>
      <c r="EV33" s="7">
        <f>'AS400'!ER33</f>
        <v>58</v>
      </c>
      <c r="EW33" s="7">
        <f>'AS400'!ES33</f>
        <v>0</v>
      </c>
      <c r="EX33" s="7">
        <f>'AS400'!ET33</f>
        <v>0</v>
      </c>
      <c r="EY33" s="7">
        <f>'AS400'!EU33</f>
        <v>0</v>
      </c>
      <c r="EZ33" s="7">
        <f>'AS400'!EV33</f>
        <v>0</v>
      </c>
      <c r="FA33" s="7">
        <f>'AS400'!EW33</f>
        <v>0</v>
      </c>
      <c r="FB33" s="7">
        <f>'AS400'!EX33</f>
        <v>0</v>
      </c>
      <c r="FC33" s="7">
        <f>'AS400'!EY33</f>
        <v>0</v>
      </c>
      <c r="FD33" s="7">
        <f>'AS400'!EZ33</f>
        <v>0</v>
      </c>
      <c r="FE33" s="7">
        <f>'AS400'!FA33</f>
        <v>0</v>
      </c>
      <c r="FF33" s="7">
        <f>'AS400'!FB33</f>
        <v>0</v>
      </c>
      <c r="FG33" s="7">
        <f>'AS400'!FC33</f>
        <v>0</v>
      </c>
      <c r="FH33" s="7">
        <f>'AS400'!FD33</f>
        <v>0</v>
      </c>
      <c r="FI33" s="7">
        <f>'AS400'!FE33</f>
        <v>0</v>
      </c>
      <c r="FJ33" s="7">
        <f>'AS400'!FF33</f>
        <v>0</v>
      </c>
      <c r="FK33" s="7">
        <f>'AS400'!FG33</f>
        <v>0</v>
      </c>
      <c r="FL33" s="7">
        <f>'AS400'!FH33</f>
        <v>0</v>
      </c>
      <c r="FM33" s="7">
        <f>'AS400'!FI33</f>
        <v>1</v>
      </c>
      <c r="FN33" s="7">
        <f>'AS400'!FJ33</f>
        <v>1</v>
      </c>
      <c r="FO33" s="7">
        <f>'AS400'!FO33</f>
        <v>0</v>
      </c>
      <c r="FP33" s="7">
        <f>'AS400'!FP33</f>
        <v>4</v>
      </c>
      <c r="FQ33" s="7">
        <f>'AS400'!FQ33</f>
        <v>1</v>
      </c>
      <c r="FR33" s="7">
        <f>'AS400'!FR33</f>
        <v>1</v>
      </c>
      <c r="FS33" s="13">
        <f>'AS400'!FO33</f>
        <v>0</v>
      </c>
    </row>
    <row r="34" spans="1:175">
      <c r="A34" s="7">
        <f>'AS400'!A34</f>
        <v>28</v>
      </c>
      <c r="B34" s="7">
        <f>'AS400'!B34</f>
        <v>20190301</v>
      </c>
      <c r="C34" s="7">
        <f>'AS400'!C34</f>
        <v>0</v>
      </c>
      <c r="D34" s="7" t="str">
        <f>'AS400'!D34</f>
        <v>N</v>
      </c>
      <c r="E34" s="7" t="str">
        <f>'AS400'!E34</f>
        <v>N</v>
      </c>
      <c r="F34" s="7" t="str">
        <f>'AS400'!F34</f>
        <v>Y</v>
      </c>
      <c r="G34" s="7">
        <f>'AS400'!G34</f>
        <v>0</v>
      </c>
      <c r="H34" s="14"/>
      <c r="I34" s="7" t="str">
        <f>'AS400'!I34</f>
        <v>RSA</v>
      </c>
      <c r="J34" s="7" t="str">
        <f>'AS400'!J34</f>
        <v>METR</v>
      </c>
      <c r="K34" s="7" t="str">
        <f>'AS400'!K34</f>
        <v>N</v>
      </c>
      <c r="L34" s="7">
        <f>'AS400'!L34</f>
        <v>4</v>
      </c>
      <c r="M34" s="8">
        <f>'AS400'!M34</f>
        <v>1</v>
      </c>
      <c r="N34" s="7">
        <f>'AS400'!N34</f>
        <v>1</v>
      </c>
      <c r="O34" s="7" t="str">
        <f>'AS400'!O34</f>
        <v>MFSP</v>
      </c>
      <c r="P34" s="7">
        <f>'AS400'!P34</f>
        <v>100</v>
      </c>
      <c r="Q34" s="7">
        <f>'AS400'!Q34</f>
        <v>20180301</v>
      </c>
      <c r="R34" s="7">
        <f>'AS400'!R34</f>
        <v>20180301</v>
      </c>
      <c r="S34" s="7" t="str">
        <f>'AS400'!S34</f>
        <v>M</v>
      </c>
      <c r="T34" s="7" t="str">
        <f>'AS400'!T34</f>
        <v>MM</v>
      </c>
      <c r="U34" s="7">
        <f>'AS400'!U34</f>
        <v>20190301</v>
      </c>
      <c r="V34" s="7">
        <f>'AS400'!V34</f>
        <v>10</v>
      </c>
      <c r="W34" s="7">
        <f>'AS400'!W34</f>
        <v>10</v>
      </c>
      <c r="X34" s="7" t="str">
        <f>'AS400'!X34</f>
        <v>MFIX</v>
      </c>
      <c r="Y34" s="7">
        <f>'AS400'!Y34</f>
        <v>0</v>
      </c>
      <c r="Z34" s="7" t="str">
        <f>'AS400'!Z34</f>
        <v>STLV</v>
      </c>
      <c r="AA34" s="7">
        <f>'AS400'!AA34</f>
        <v>818</v>
      </c>
      <c r="AB34" s="7">
        <f>'AS400'!AB34</f>
        <v>0</v>
      </c>
      <c r="AC34" s="7">
        <f>'AS400'!AC34</f>
        <v>12</v>
      </c>
      <c r="AD34" s="7">
        <f>'AS400'!AD34</f>
        <v>20180201</v>
      </c>
      <c r="AE34" s="7">
        <f>'AS400'!AE34</f>
        <v>0</v>
      </c>
      <c r="AF34" s="7">
        <f>'AS400'!AF34</f>
        <v>55000</v>
      </c>
      <c r="AG34" s="7">
        <f>'AS400'!AG34</f>
        <v>158</v>
      </c>
      <c r="AI34" s="7">
        <f>'AS400'!AH34</f>
        <v>57</v>
      </c>
      <c r="AJ34" s="7">
        <f>'AS400'!AI34</f>
        <v>0</v>
      </c>
      <c r="AK34" s="7">
        <f>'AS400'!AJ34</f>
        <v>0</v>
      </c>
      <c r="AL34" s="7">
        <f>'AS400'!AK34</f>
        <v>0</v>
      </c>
      <c r="AM34" s="7">
        <f>'AS400'!AL34</f>
        <v>0</v>
      </c>
      <c r="AN34" s="7">
        <f>'AS400'!AM34</f>
        <v>0</v>
      </c>
      <c r="AO34" s="7">
        <f>'AS400'!AN34</f>
        <v>0</v>
      </c>
      <c r="AP34" s="7">
        <f>'AS400'!AO34</f>
        <v>0</v>
      </c>
      <c r="AQ34" s="7">
        <f>'AS400'!AP34</f>
        <v>0</v>
      </c>
      <c r="AR34" s="7">
        <f>'AS400'!AQ34</f>
        <v>0</v>
      </c>
      <c r="AS34" s="7">
        <f>'AS400'!AR34</f>
        <v>0</v>
      </c>
      <c r="AT34" s="7">
        <f>'AS400'!AS34</f>
        <v>0</v>
      </c>
      <c r="AU34" s="7">
        <f>'AS400'!AT34</f>
        <v>0</v>
      </c>
      <c r="AV34" s="7">
        <f>'AS400'!AU34</f>
        <v>0</v>
      </c>
      <c r="AW34" s="7">
        <f>'AS400'!AV34</f>
        <v>0</v>
      </c>
      <c r="AX34" s="7">
        <f>'AS400'!AW34</f>
        <v>0</v>
      </c>
      <c r="AY34" s="7">
        <f>'AS400'!AX34</f>
        <v>0</v>
      </c>
      <c r="AZ34" s="8">
        <f>'AS400'!AY34</f>
        <v>1</v>
      </c>
      <c r="BA34" s="7">
        <f>'AS400'!AZ34</f>
        <v>2</v>
      </c>
      <c r="BB34" s="7" t="str">
        <f>'AS400'!BA34</f>
        <v>PURO</v>
      </c>
      <c r="BC34" s="7">
        <f>'AS400'!BB34</f>
        <v>100</v>
      </c>
      <c r="BD34" s="7">
        <f>'AS400'!BC34</f>
        <v>20180301</v>
      </c>
      <c r="BE34" s="7">
        <f>'AS400'!BD34</f>
        <v>20180301</v>
      </c>
      <c r="BF34" s="7" t="str">
        <f>'AS400'!BE34</f>
        <v>S</v>
      </c>
      <c r="BG34" s="7" t="str">
        <f>'AS400'!BF34</f>
        <v>ME</v>
      </c>
      <c r="BH34" s="7">
        <f>'AS400'!BG34</f>
        <v>20180301</v>
      </c>
      <c r="BI34" s="7">
        <f>'AS400'!BH34</f>
        <v>0</v>
      </c>
      <c r="BJ34" s="7">
        <f>'AS400'!BI34</f>
        <v>0</v>
      </c>
      <c r="BK34" s="7">
        <f>'AS400'!BJ34</f>
        <v>0</v>
      </c>
      <c r="BL34" s="7">
        <f>'AS400'!BK34</f>
        <v>0</v>
      </c>
      <c r="BM34" s="7" t="str">
        <f>'AS400'!BL34</f>
        <v>STLV</v>
      </c>
      <c r="BN34" s="7">
        <f>'AS400'!BM34</f>
        <v>818</v>
      </c>
      <c r="BO34" s="7">
        <f>'AS400'!BN34</f>
        <v>0</v>
      </c>
      <c r="BP34" s="7">
        <f>'AS400'!BO34</f>
        <v>12</v>
      </c>
      <c r="BQ34" s="7">
        <f>'AS400'!BP34</f>
        <v>20180201</v>
      </c>
      <c r="BR34" s="7">
        <f>'AS400'!BQ34</f>
        <v>0</v>
      </c>
      <c r="BS34" s="7">
        <f>'AS400'!BR34</f>
        <v>0</v>
      </c>
      <c r="BT34" s="7">
        <f>'AS400'!BS34</f>
        <v>78</v>
      </c>
      <c r="BV34" s="7">
        <f>'AS400'!BT34</f>
        <v>57</v>
      </c>
      <c r="BW34" s="7">
        <f>'AS400'!BU34</f>
        <v>0</v>
      </c>
      <c r="BX34" s="7">
        <f>'AS400'!BV34</f>
        <v>0</v>
      </c>
      <c r="BY34" s="7">
        <f>'AS400'!BW34</f>
        <v>0</v>
      </c>
      <c r="BZ34" s="7">
        <f>'AS400'!BX34</f>
        <v>0</v>
      </c>
      <c r="CA34" s="7">
        <f>'AS400'!BY34</f>
        <v>0</v>
      </c>
      <c r="CB34" s="7">
        <f>'AS400'!BZ34</f>
        <v>0</v>
      </c>
      <c r="CC34" s="7">
        <f>'AS400'!CA34</f>
        <v>0</v>
      </c>
      <c r="CD34" s="7">
        <f>'AS400'!CB34</f>
        <v>0</v>
      </c>
      <c r="CE34" s="7">
        <f>'AS400'!CC34</f>
        <v>0</v>
      </c>
      <c r="CF34" s="7">
        <f>'AS400'!CD34</f>
        <v>0</v>
      </c>
      <c r="CG34" s="7">
        <f>'AS400'!CE34</f>
        <v>0</v>
      </c>
      <c r="CH34" s="7">
        <f>'AS400'!CF34</f>
        <v>0</v>
      </c>
      <c r="CI34" s="7">
        <f>'AS400'!CG34</f>
        <v>0</v>
      </c>
      <c r="CJ34" s="7">
        <f>'AS400'!CH34</f>
        <v>0</v>
      </c>
      <c r="CK34" s="7">
        <f>'AS400'!CI34</f>
        <v>0</v>
      </c>
      <c r="CL34" s="7">
        <f>'AS400'!CJ34</f>
        <v>0</v>
      </c>
      <c r="CM34" s="8">
        <f>'AS400'!CK34</f>
        <v>1</v>
      </c>
      <c r="CN34" s="7">
        <f>'AS400'!CL34</f>
        <v>3</v>
      </c>
      <c r="CO34" s="7" t="str">
        <f>'AS400'!CM34</f>
        <v>PUDT</v>
      </c>
      <c r="CP34" s="7">
        <f>'AS400'!CN34</f>
        <v>100</v>
      </c>
      <c r="CQ34" s="7">
        <f>'AS400'!CO34</f>
        <v>20180301</v>
      </c>
      <c r="CR34" s="7">
        <f>'AS400'!CP34</f>
        <v>20180301</v>
      </c>
      <c r="CS34" s="7" t="str">
        <f>'AS400'!CQ34</f>
        <v>S</v>
      </c>
      <c r="CT34" s="7" t="str">
        <f>'AS400'!CR34</f>
        <v>MT</v>
      </c>
      <c r="CU34" s="7">
        <f>'AS400'!CS34</f>
        <v>20180301</v>
      </c>
      <c r="CV34" s="7">
        <f>'AS400'!CT34</f>
        <v>0</v>
      </c>
      <c r="CW34" s="7">
        <f>'AS400'!CU34</f>
        <v>0</v>
      </c>
      <c r="CX34" s="7">
        <f>'AS400'!CV34</f>
        <v>0</v>
      </c>
      <c r="CY34" s="7">
        <f>'AS400'!CW34</f>
        <v>0</v>
      </c>
      <c r="CZ34" s="7" t="str">
        <f>'AS400'!CX34</f>
        <v>STLV</v>
      </c>
      <c r="DA34" s="7">
        <f>'AS400'!CY34</f>
        <v>818</v>
      </c>
      <c r="DB34" s="7">
        <f>'AS400'!CZ34</f>
        <v>0</v>
      </c>
      <c r="DC34" s="7">
        <f>'AS400'!DA34</f>
        <v>12</v>
      </c>
      <c r="DD34" s="7">
        <f>'AS400'!DB34</f>
        <v>20180201</v>
      </c>
      <c r="DE34" s="7">
        <f>'AS400'!DC34</f>
        <v>0</v>
      </c>
      <c r="DF34" s="7">
        <f>'AS400'!DD34</f>
        <v>0</v>
      </c>
      <c r="DG34" s="7">
        <f>'AS400'!DE34</f>
        <v>50</v>
      </c>
      <c r="DI34" s="7">
        <f>'AS400'!DF34</f>
        <v>57</v>
      </c>
      <c r="DJ34" s="7">
        <f>'AS400'!DG34</f>
        <v>0</v>
      </c>
      <c r="DK34" s="7">
        <f>'AS400'!DH34</f>
        <v>0</v>
      </c>
      <c r="DL34" s="7">
        <f>'AS400'!DI34</f>
        <v>0</v>
      </c>
      <c r="DM34" s="7">
        <f>'AS400'!DJ34</f>
        <v>0</v>
      </c>
      <c r="DN34" s="7">
        <f>'AS400'!DK34</f>
        <v>0</v>
      </c>
      <c r="DO34" s="7">
        <f>'AS400'!DL34</f>
        <v>0</v>
      </c>
      <c r="DP34" s="7">
        <f>'AS400'!DM34</f>
        <v>0</v>
      </c>
      <c r="DQ34" s="7">
        <f>'AS400'!DN34</f>
        <v>0</v>
      </c>
      <c r="DR34" s="7">
        <f>'AS400'!DO34</f>
        <v>0</v>
      </c>
      <c r="DS34" s="7">
        <f>'AS400'!DP34</f>
        <v>0</v>
      </c>
      <c r="DT34" s="7">
        <f>'AS400'!DQ34</f>
        <v>0</v>
      </c>
      <c r="DU34" s="7">
        <f>'AS400'!DR34</f>
        <v>0</v>
      </c>
      <c r="DV34" s="7">
        <f>'AS400'!DS34</f>
        <v>0</v>
      </c>
      <c r="DW34" s="7">
        <f>'AS400'!DT34</f>
        <v>0</v>
      </c>
      <c r="DX34" s="7">
        <f>'AS400'!DU34</f>
        <v>0</v>
      </c>
      <c r="DY34" s="7">
        <f>'AS400'!DV34</f>
        <v>0</v>
      </c>
      <c r="DZ34" s="8">
        <f>'AS400'!DW34</f>
        <v>1</v>
      </c>
      <c r="EA34" s="7">
        <f>'AS400'!DX34</f>
        <v>4</v>
      </c>
      <c r="EB34" s="7" t="str">
        <f>'AS400'!DY34</f>
        <v>PUDS</v>
      </c>
      <c r="EC34" s="7">
        <f>'AS400'!DZ34</f>
        <v>100</v>
      </c>
      <c r="ED34" s="7">
        <f>'AS400'!EA34</f>
        <v>20180301</v>
      </c>
      <c r="EE34" s="7">
        <f>'AS400'!EB34</f>
        <v>20180301</v>
      </c>
      <c r="EF34" s="7" t="str">
        <f>'AS400'!EC34</f>
        <v>S</v>
      </c>
      <c r="EG34" s="7" t="str">
        <f>'AS400'!ED34</f>
        <v>MS</v>
      </c>
      <c r="EH34" s="7">
        <f>'AS400'!EE34</f>
        <v>20180301</v>
      </c>
      <c r="EI34" s="7">
        <f>'AS400'!EF34</f>
        <v>0</v>
      </c>
      <c r="EJ34" s="7">
        <f>'AS400'!EG34</f>
        <v>0</v>
      </c>
      <c r="EK34" s="7">
        <f>'AS400'!EH34</f>
        <v>0</v>
      </c>
      <c r="EL34" s="7">
        <f>'AS400'!EI34</f>
        <v>0</v>
      </c>
      <c r="EM34" s="7" t="str">
        <f>'AS400'!EJ34</f>
        <v>STLV</v>
      </c>
      <c r="EN34" s="7">
        <f>'AS400'!EK34</f>
        <v>818</v>
      </c>
      <c r="EO34" s="7">
        <f>'AS400'!EL34</f>
        <v>0</v>
      </c>
      <c r="EP34" s="7">
        <f>'AS400'!EM34</f>
        <v>12</v>
      </c>
      <c r="EQ34" s="7">
        <f>'AS400'!EN34</f>
        <v>20180201</v>
      </c>
      <c r="ER34" s="7">
        <f>'AS400'!EO34</f>
        <v>0</v>
      </c>
      <c r="ES34" s="7">
        <f>'AS400'!EP34</f>
        <v>0</v>
      </c>
      <c r="ET34" s="7">
        <f>'AS400'!EQ34</f>
        <v>22</v>
      </c>
      <c r="EV34" s="7">
        <f>'AS400'!ER34</f>
        <v>57</v>
      </c>
      <c r="EW34" s="7">
        <f>'AS400'!ES34</f>
        <v>0</v>
      </c>
      <c r="EX34" s="7">
        <f>'AS400'!ET34</f>
        <v>0</v>
      </c>
      <c r="EY34" s="7">
        <f>'AS400'!EU34</f>
        <v>0</v>
      </c>
      <c r="EZ34" s="7">
        <f>'AS400'!EV34</f>
        <v>0</v>
      </c>
      <c r="FA34" s="7">
        <f>'AS400'!EW34</f>
        <v>0</v>
      </c>
      <c r="FB34" s="7">
        <f>'AS400'!EX34</f>
        <v>0</v>
      </c>
      <c r="FC34" s="7">
        <f>'AS400'!EY34</f>
        <v>0</v>
      </c>
      <c r="FD34" s="7">
        <f>'AS400'!EZ34</f>
        <v>0</v>
      </c>
      <c r="FE34" s="7">
        <f>'AS400'!FA34</f>
        <v>0</v>
      </c>
      <c r="FF34" s="7">
        <f>'AS400'!FB34</f>
        <v>0</v>
      </c>
      <c r="FG34" s="7">
        <f>'AS400'!FC34</f>
        <v>0</v>
      </c>
      <c r="FH34" s="7">
        <f>'AS400'!FD34</f>
        <v>0</v>
      </c>
      <c r="FI34" s="7">
        <f>'AS400'!FE34</f>
        <v>0</v>
      </c>
      <c r="FJ34" s="7">
        <f>'AS400'!FF34</f>
        <v>0</v>
      </c>
      <c r="FK34" s="7">
        <f>'AS400'!FG34</f>
        <v>0</v>
      </c>
      <c r="FL34" s="7">
        <f>'AS400'!FH34</f>
        <v>0</v>
      </c>
      <c r="FM34" s="7">
        <f>'AS400'!FI34</f>
        <v>1</v>
      </c>
      <c r="FN34" s="7">
        <f>'AS400'!FJ34</f>
        <v>1</v>
      </c>
      <c r="FO34" s="7">
        <f>'AS400'!FO34</f>
        <v>0</v>
      </c>
      <c r="FP34" s="7">
        <f>'AS400'!FP34</f>
        <v>4</v>
      </c>
      <c r="FQ34" s="7">
        <f>'AS400'!FQ34</f>
        <v>1</v>
      </c>
      <c r="FR34" s="7">
        <f>'AS400'!FR34</f>
        <v>1</v>
      </c>
      <c r="FS34" s="13">
        <f>'AS400'!FO34</f>
        <v>0</v>
      </c>
    </row>
    <row r="35" spans="1:175">
      <c r="A35" s="7">
        <f>'AS400'!A35</f>
        <v>29</v>
      </c>
      <c r="B35" s="7">
        <f>'AS400'!B35</f>
        <v>20190301</v>
      </c>
      <c r="C35" s="7">
        <f>'AS400'!C35</f>
        <v>0</v>
      </c>
      <c r="D35" s="7" t="str">
        <f>'AS400'!D35</f>
        <v>N</v>
      </c>
      <c r="E35" s="7" t="str">
        <f>'AS400'!E35</f>
        <v>N</v>
      </c>
      <c r="F35" s="7" t="str">
        <f>'AS400'!F35</f>
        <v>Y</v>
      </c>
      <c r="G35" s="7">
        <f>'AS400'!G35</f>
        <v>0</v>
      </c>
      <c r="H35" s="14"/>
      <c r="I35" s="7" t="str">
        <f>'AS400'!I35</f>
        <v>RSA</v>
      </c>
      <c r="J35" s="7" t="str">
        <f>'AS400'!J35</f>
        <v>METR</v>
      </c>
      <c r="K35" s="7" t="str">
        <f>'AS400'!K35</f>
        <v>N</v>
      </c>
      <c r="L35" s="7">
        <f>'AS400'!L35</f>
        <v>4</v>
      </c>
      <c r="M35" s="8">
        <f>'AS400'!M35</f>
        <v>1</v>
      </c>
      <c r="N35" s="7">
        <f>'AS400'!N35</f>
        <v>1</v>
      </c>
      <c r="O35" s="7" t="str">
        <f>'AS400'!O35</f>
        <v>MFSP</v>
      </c>
      <c r="P35" s="7">
        <f>'AS400'!P35</f>
        <v>100</v>
      </c>
      <c r="Q35" s="7">
        <f>'AS400'!Q35</f>
        <v>20180301</v>
      </c>
      <c r="R35" s="7">
        <f>'AS400'!R35</f>
        <v>20180301</v>
      </c>
      <c r="S35" s="7" t="str">
        <f>'AS400'!S35</f>
        <v>M</v>
      </c>
      <c r="T35" s="7" t="str">
        <f>'AS400'!T35</f>
        <v>MM</v>
      </c>
      <c r="U35" s="7">
        <f>'AS400'!U35</f>
        <v>20190301</v>
      </c>
      <c r="V35" s="7">
        <f>'AS400'!V35</f>
        <v>10</v>
      </c>
      <c r="W35" s="7">
        <f>'AS400'!W35</f>
        <v>10</v>
      </c>
      <c r="X35" s="7" t="str">
        <f>'AS400'!X35</f>
        <v>MFIX</v>
      </c>
      <c r="Y35" s="7">
        <f>'AS400'!Y35</f>
        <v>0</v>
      </c>
      <c r="Z35" s="7" t="str">
        <f>'AS400'!Z35</f>
        <v>STLV</v>
      </c>
      <c r="AA35" s="7">
        <f>'AS400'!AA35</f>
        <v>818</v>
      </c>
      <c r="AB35" s="7">
        <f>'AS400'!AB35</f>
        <v>0</v>
      </c>
      <c r="AC35" s="7">
        <f>'AS400'!AC35</f>
        <v>12</v>
      </c>
      <c r="AD35" s="7">
        <f>'AS400'!AD35</f>
        <v>20180201</v>
      </c>
      <c r="AE35" s="7">
        <f>'AS400'!AE35</f>
        <v>0</v>
      </c>
      <c r="AF35" s="7">
        <f>'AS400'!AF35</f>
        <v>60000</v>
      </c>
      <c r="AG35" s="7">
        <f>'AS400'!AG35</f>
        <v>171</v>
      </c>
      <c r="AI35" s="7">
        <f>'AS400'!AH35</f>
        <v>56</v>
      </c>
      <c r="AJ35" s="7">
        <f>'AS400'!AI35</f>
        <v>0</v>
      </c>
      <c r="AK35" s="7">
        <f>'AS400'!AJ35</f>
        <v>0</v>
      </c>
      <c r="AL35" s="7">
        <f>'AS400'!AK35</f>
        <v>0</v>
      </c>
      <c r="AM35" s="7">
        <f>'AS400'!AL35</f>
        <v>0</v>
      </c>
      <c r="AN35" s="7">
        <f>'AS400'!AM35</f>
        <v>0</v>
      </c>
      <c r="AO35" s="7">
        <f>'AS400'!AN35</f>
        <v>0</v>
      </c>
      <c r="AP35" s="7">
        <f>'AS400'!AO35</f>
        <v>0</v>
      </c>
      <c r="AQ35" s="7">
        <f>'AS400'!AP35</f>
        <v>0</v>
      </c>
      <c r="AR35" s="7">
        <f>'AS400'!AQ35</f>
        <v>0</v>
      </c>
      <c r="AS35" s="7">
        <f>'AS400'!AR35</f>
        <v>0</v>
      </c>
      <c r="AT35" s="7">
        <f>'AS400'!AS35</f>
        <v>0</v>
      </c>
      <c r="AU35" s="7">
        <f>'AS400'!AT35</f>
        <v>0</v>
      </c>
      <c r="AV35" s="7">
        <f>'AS400'!AU35</f>
        <v>0</v>
      </c>
      <c r="AW35" s="7">
        <f>'AS400'!AV35</f>
        <v>0</v>
      </c>
      <c r="AX35" s="7">
        <f>'AS400'!AW35</f>
        <v>0</v>
      </c>
      <c r="AY35" s="7">
        <f>'AS400'!AX35</f>
        <v>0</v>
      </c>
      <c r="AZ35" s="8">
        <f>'AS400'!AY35</f>
        <v>1</v>
      </c>
      <c r="BA35" s="7">
        <f>'AS400'!AZ35</f>
        <v>2</v>
      </c>
      <c r="BB35" s="7" t="str">
        <f>'AS400'!BA35</f>
        <v>PURO</v>
      </c>
      <c r="BC35" s="7">
        <f>'AS400'!BB35</f>
        <v>100</v>
      </c>
      <c r="BD35" s="7">
        <f>'AS400'!BC35</f>
        <v>20180301</v>
      </c>
      <c r="BE35" s="7">
        <f>'AS400'!BD35</f>
        <v>20180301</v>
      </c>
      <c r="BF35" s="7" t="str">
        <f>'AS400'!BE35</f>
        <v>S</v>
      </c>
      <c r="BG35" s="7" t="str">
        <f>'AS400'!BF35</f>
        <v>ME</v>
      </c>
      <c r="BH35" s="7">
        <f>'AS400'!BG35</f>
        <v>20180301</v>
      </c>
      <c r="BI35" s="7">
        <f>'AS400'!BH35</f>
        <v>0</v>
      </c>
      <c r="BJ35" s="7">
        <f>'AS400'!BI35</f>
        <v>0</v>
      </c>
      <c r="BK35" s="7">
        <f>'AS400'!BJ35</f>
        <v>0</v>
      </c>
      <c r="BL35" s="7">
        <f>'AS400'!BK35</f>
        <v>0</v>
      </c>
      <c r="BM35" s="7" t="str">
        <f>'AS400'!BL35</f>
        <v>STLV</v>
      </c>
      <c r="BN35" s="7">
        <f>'AS400'!BM35</f>
        <v>818</v>
      </c>
      <c r="BO35" s="7">
        <f>'AS400'!BN35</f>
        <v>0</v>
      </c>
      <c r="BP35" s="7">
        <f>'AS400'!BO35</f>
        <v>12</v>
      </c>
      <c r="BQ35" s="7">
        <f>'AS400'!BP35</f>
        <v>20180201</v>
      </c>
      <c r="BR35" s="7">
        <f>'AS400'!BQ35</f>
        <v>0</v>
      </c>
      <c r="BS35" s="7">
        <f>'AS400'!BR35</f>
        <v>0</v>
      </c>
      <c r="BT35" s="7">
        <f>'AS400'!BS35</f>
        <v>85</v>
      </c>
      <c r="BV35" s="7">
        <f>'AS400'!BT35</f>
        <v>56</v>
      </c>
      <c r="BW35" s="7">
        <f>'AS400'!BU35</f>
        <v>0</v>
      </c>
      <c r="BX35" s="7">
        <f>'AS400'!BV35</f>
        <v>0</v>
      </c>
      <c r="BY35" s="7">
        <f>'AS400'!BW35</f>
        <v>0</v>
      </c>
      <c r="BZ35" s="7">
        <f>'AS400'!BX35</f>
        <v>0</v>
      </c>
      <c r="CA35" s="7">
        <f>'AS400'!BY35</f>
        <v>0</v>
      </c>
      <c r="CB35" s="7">
        <f>'AS400'!BZ35</f>
        <v>0</v>
      </c>
      <c r="CC35" s="7">
        <f>'AS400'!CA35</f>
        <v>0</v>
      </c>
      <c r="CD35" s="7">
        <f>'AS400'!CB35</f>
        <v>0</v>
      </c>
      <c r="CE35" s="7">
        <f>'AS400'!CC35</f>
        <v>0</v>
      </c>
      <c r="CF35" s="7">
        <f>'AS400'!CD35</f>
        <v>0</v>
      </c>
      <c r="CG35" s="7">
        <f>'AS400'!CE35</f>
        <v>0</v>
      </c>
      <c r="CH35" s="7">
        <f>'AS400'!CF35</f>
        <v>0</v>
      </c>
      <c r="CI35" s="7">
        <f>'AS400'!CG35</f>
        <v>0</v>
      </c>
      <c r="CJ35" s="7">
        <f>'AS400'!CH35</f>
        <v>0</v>
      </c>
      <c r="CK35" s="7">
        <f>'AS400'!CI35</f>
        <v>0</v>
      </c>
      <c r="CL35" s="7">
        <f>'AS400'!CJ35</f>
        <v>0</v>
      </c>
      <c r="CM35" s="8">
        <f>'AS400'!CK35</f>
        <v>1</v>
      </c>
      <c r="CN35" s="7">
        <f>'AS400'!CL35</f>
        <v>3</v>
      </c>
      <c r="CO35" s="7" t="str">
        <f>'AS400'!CM35</f>
        <v>PUDT</v>
      </c>
      <c r="CP35" s="7">
        <f>'AS400'!CN35</f>
        <v>100</v>
      </c>
      <c r="CQ35" s="7">
        <f>'AS400'!CO35</f>
        <v>20180301</v>
      </c>
      <c r="CR35" s="7">
        <f>'AS400'!CP35</f>
        <v>20180301</v>
      </c>
      <c r="CS35" s="7" t="str">
        <f>'AS400'!CQ35</f>
        <v>S</v>
      </c>
      <c r="CT35" s="7" t="str">
        <f>'AS400'!CR35</f>
        <v>MT</v>
      </c>
      <c r="CU35" s="7">
        <f>'AS400'!CS35</f>
        <v>20180301</v>
      </c>
      <c r="CV35" s="7">
        <f>'AS400'!CT35</f>
        <v>0</v>
      </c>
      <c r="CW35" s="7">
        <f>'AS400'!CU35</f>
        <v>0</v>
      </c>
      <c r="CX35" s="7">
        <f>'AS400'!CV35</f>
        <v>0</v>
      </c>
      <c r="CY35" s="7">
        <f>'AS400'!CW35</f>
        <v>0</v>
      </c>
      <c r="CZ35" s="7" t="str">
        <f>'AS400'!CX35</f>
        <v>STLV</v>
      </c>
      <c r="DA35" s="7">
        <f>'AS400'!CY35</f>
        <v>818</v>
      </c>
      <c r="DB35" s="7">
        <f>'AS400'!CZ35</f>
        <v>0</v>
      </c>
      <c r="DC35" s="7">
        <f>'AS400'!DA35</f>
        <v>12</v>
      </c>
      <c r="DD35" s="7">
        <f>'AS400'!DB35</f>
        <v>20180201</v>
      </c>
      <c r="DE35" s="7">
        <f>'AS400'!DC35</f>
        <v>0</v>
      </c>
      <c r="DF35" s="7">
        <f>'AS400'!DD35</f>
        <v>0</v>
      </c>
      <c r="DG35" s="7">
        <f>'AS400'!DE35</f>
        <v>54</v>
      </c>
      <c r="DI35" s="7">
        <f>'AS400'!DF35</f>
        <v>56</v>
      </c>
      <c r="DJ35" s="7">
        <f>'AS400'!DG35</f>
        <v>0</v>
      </c>
      <c r="DK35" s="7">
        <f>'AS400'!DH35</f>
        <v>0</v>
      </c>
      <c r="DL35" s="7">
        <f>'AS400'!DI35</f>
        <v>0</v>
      </c>
      <c r="DM35" s="7">
        <f>'AS400'!DJ35</f>
        <v>0</v>
      </c>
      <c r="DN35" s="7">
        <f>'AS400'!DK35</f>
        <v>0</v>
      </c>
      <c r="DO35" s="7">
        <f>'AS400'!DL35</f>
        <v>0</v>
      </c>
      <c r="DP35" s="7">
        <f>'AS400'!DM35</f>
        <v>0</v>
      </c>
      <c r="DQ35" s="7">
        <f>'AS400'!DN35</f>
        <v>0</v>
      </c>
      <c r="DR35" s="7">
        <f>'AS400'!DO35</f>
        <v>0</v>
      </c>
      <c r="DS35" s="7">
        <f>'AS400'!DP35</f>
        <v>0</v>
      </c>
      <c r="DT35" s="7">
        <f>'AS400'!DQ35</f>
        <v>0</v>
      </c>
      <c r="DU35" s="7">
        <f>'AS400'!DR35</f>
        <v>0</v>
      </c>
      <c r="DV35" s="7">
        <f>'AS400'!DS35</f>
        <v>0</v>
      </c>
      <c r="DW35" s="7">
        <f>'AS400'!DT35</f>
        <v>0</v>
      </c>
      <c r="DX35" s="7">
        <f>'AS400'!DU35</f>
        <v>0</v>
      </c>
      <c r="DY35" s="7">
        <f>'AS400'!DV35</f>
        <v>0</v>
      </c>
      <c r="DZ35" s="8">
        <f>'AS400'!DW35</f>
        <v>1</v>
      </c>
      <c r="EA35" s="7">
        <f>'AS400'!DX35</f>
        <v>4</v>
      </c>
      <c r="EB35" s="7" t="str">
        <f>'AS400'!DY35</f>
        <v>PUDS</v>
      </c>
      <c r="EC35" s="7">
        <f>'AS400'!DZ35</f>
        <v>100</v>
      </c>
      <c r="ED35" s="7">
        <f>'AS400'!EA35</f>
        <v>20180301</v>
      </c>
      <c r="EE35" s="7">
        <f>'AS400'!EB35</f>
        <v>20180301</v>
      </c>
      <c r="EF35" s="7" t="str">
        <f>'AS400'!EC35</f>
        <v>S</v>
      </c>
      <c r="EG35" s="7" t="str">
        <f>'AS400'!ED35</f>
        <v>MS</v>
      </c>
      <c r="EH35" s="7">
        <f>'AS400'!EE35</f>
        <v>20180301</v>
      </c>
      <c r="EI35" s="7">
        <f>'AS400'!EF35</f>
        <v>0</v>
      </c>
      <c r="EJ35" s="7">
        <f>'AS400'!EG35</f>
        <v>0</v>
      </c>
      <c r="EK35" s="7">
        <f>'AS400'!EH35</f>
        <v>0</v>
      </c>
      <c r="EL35" s="7">
        <f>'AS400'!EI35</f>
        <v>0</v>
      </c>
      <c r="EM35" s="7" t="str">
        <f>'AS400'!EJ35</f>
        <v>STLV</v>
      </c>
      <c r="EN35" s="7">
        <f>'AS400'!EK35</f>
        <v>818</v>
      </c>
      <c r="EO35" s="7">
        <f>'AS400'!EL35</f>
        <v>0</v>
      </c>
      <c r="EP35" s="7">
        <f>'AS400'!EM35</f>
        <v>12</v>
      </c>
      <c r="EQ35" s="7">
        <f>'AS400'!EN35</f>
        <v>20180201</v>
      </c>
      <c r="ER35" s="7">
        <f>'AS400'!EO35</f>
        <v>0</v>
      </c>
      <c r="ES35" s="7">
        <f>'AS400'!EP35</f>
        <v>0</v>
      </c>
      <c r="ET35" s="7">
        <f>'AS400'!EQ35</f>
        <v>23</v>
      </c>
      <c r="EV35" s="7">
        <f>'AS400'!ER35</f>
        <v>56</v>
      </c>
      <c r="EW35" s="7">
        <f>'AS400'!ES35</f>
        <v>0</v>
      </c>
      <c r="EX35" s="7">
        <f>'AS400'!ET35</f>
        <v>0</v>
      </c>
      <c r="EY35" s="7">
        <f>'AS400'!EU35</f>
        <v>0</v>
      </c>
      <c r="EZ35" s="7">
        <f>'AS400'!EV35</f>
        <v>0</v>
      </c>
      <c r="FA35" s="7">
        <f>'AS400'!EW35</f>
        <v>0</v>
      </c>
      <c r="FB35" s="7">
        <f>'AS400'!EX35</f>
        <v>0</v>
      </c>
      <c r="FC35" s="7">
        <f>'AS400'!EY35</f>
        <v>0</v>
      </c>
      <c r="FD35" s="7">
        <f>'AS400'!EZ35</f>
        <v>0</v>
      </c>
      <c r="FE35" s="7">
        <f>'AS400'!FA35</f>
        <v>0</v>
      </c>
      <c r="FF35" s="7">
        <f>'AS400'!FB35</f>
        <v>0</v>
      </c>
      <c r="FG35" s="7">
        <f>'AS400'!FC35</f>
        <v>0</v>
      </c>
      <c r="FH35" s="7">
        <f>'AS400'!FD35</f>
        <v>0</v>
      </c>
      <c r="FI35" s="7">
        <f>'AS400'!FE35</f>
        <v>0</v>
      </c>
      <c r="FJ35" s="7">
        <f>'AS400'!FF35</f>
        <v>0</v>
      </c>
      <c r="FK35" s="7">
        <f>'AS400'!FG35</f>
        <v>0</v>
      </c>
      <c r="FL35" s="7">
        <f>'AS400'!FH35</f>
        <v>0</v>
      </c>
      <c r="FM35" s="7">
        <f>'AS400'!FI35</f>
        <v>1</v>
      </c>
      <c r="FN35" s="7">
        <f>'AS400'!FJ35</f>
        <v>1</v>
      </c>
      <c r="FO35" s="7">
        <f>'AS400'!FO35</f>
        <v>0</v>
      </c>
      <c r="FP35" s="7">
        <f>'AS400'!FP35</f>
        <v>4</v>
      </c>
      <c r="FQ35" s="7">
        <f>'AS400'!FQ35</f>
        <v>1</v>
      </c>
      <c r="FR35" s="7">
        <f>'AS400'!FR35</f>
        <v>1</v>
      </c>
      <c r="FS35" s="13">
        <f>'AS400'!FO35</f>
        <v>0</v>
      </c>
    </row>
    <row r="36" spans="1:175">
      <c r="A36" s="7">
        <f>'AS400'!A36</f>
        <v>30</v>
      </c>
      <c r="B36" s="7">
        <f>'AS400'!B36</f>
        <v>20190301</v>
      </c>
      <c r="C36" s="7">
        <f>'AS400'!C36</f>
        <v>0</v>
      </c>
      <c r="D36" s="7" t="str">
        <f>'AS400'!D36</f>
        <v>N</v>
      </c>
      <c r="E36" s="7" t="str">
        <f>'AS400'!E36</f>
        <v>N</v>
      </c>
      <c r="F36" s="7" t="str">
        <f>'AS400'!F36</f>
        <v>Y</v>
      </c>
      <c r="G36" s="7">
        <f>'AS400'!G36</f>
        <v>0</v>
      </c>
      <c r="H36" s="14"/>
      <c r="I36" s="7" t="str">
        <f>'AS400'!I36</f>
        <v>RSA</v>
      </c>
      <c r="J36" s="7" t="str">
        <f>'AS400'!J36</f>
        <v>METR</v>
      </c>
      <c r="K36" s="7" t="str">
        <f>'AS400'!K36</f>
        <v>N</v>
      </c>
      <c r="L36" s="7">
        <f>'AS400'!L36</f>
        <v>4</v>
      </c>
      <c r="M36" s="8">
        <f>'AS400'!M36</f>
        <v>1</v>
      </c>
      <c r="N36" s="7">
        <f>'AS400'!N36</f>
        <v>1</v>
      </c>
      <c r="O36" s="7" t="str">
        <f>'AS400'!O36</f>
        <v>MFSP</v>
      </c>
      <c r="P36" s="7">
        <f>'AS400'!P36</f>
        <v>100</v>
      </c>
      <c r="Q36" s="7">
        <f>'AS400'!Q36</f>
        <v>20180301</v>
      </c>
      <c r="R36" s="7">
        <f>'AS400'!R36</f>
        <v>20180301</v>
      </c>
      <c r="S36" s="7" t="str">
        <f>'AS400'!S36</f>
        <v>M</v>
      </c>
      <c r="T36" s="7" t="str">
        <f>'AS400'!T36</f>
        <v>MN</v>
      </c>
      <c r="U36" s="7">
        <f>'AS400'!U36</f>
        <v>20190301</v>
      </c>
      <c r="V36" s="7">
        <f>'AS400'!V36</f>
        <v>10</v>
      </c>
      <c r="W36" s="7">
        <f>'AS400'!W36</f>
        <v>10</v>
      </c>
      <c r="X36" s="7" t="str">
        <f>'AS400'!X36</f>
        <v>MFIX</v>
      </c>
      <c r="Y36" s="7">
        <f>'AS400'!Y36</f>
        <v>0</v>
      </c>
      <c r="Z36" s="7" t="str">
        <f>'AS400'!Z36</f>
        <v>STLV</v>
      </c>
      <c r="AA36" s="7">
        <f>'AS400'!AA36</f>
        <v>818</v>
      </c>
      <c r="AB36" s="7">
        <f>'AS400'!AB36</f>
        <v>0</v>
      </c>
      <c r="AC36" s="7">
        <f>'AS400'!AC36</f>
        <v>12</v>
      </c>
      <c r="AD36" s="7">
        <f>'AS400'!AD36</f>
        <v>20180201</v>
      </c>
      <c r="AE36" s="7">
        <f>'AS400'!AE36</f>
        <v>0</v>
      </c>
      <c r="AF36" s="7">
        <f>'AS400'!AF36</f>
        <v>65000</v>
      </c>
      <c r="AG36" s="7">
        <f>'AS400'!AG36</f>
        <v>160</v>
      </c>
      <c r="AI36" s="7">
        <f>'AS400'!AH36</f>
        <v>55</v>
      </c>
      <c r="AJ36" s="7">
        <f>'AS400'!AI36</f>
        <v>0</v>
      </c>
      <c r="AK36" s="7">
        <f>'AS400'!AJ36</f>
        <v>0</v>
      </c>
      <c r="AL36" s="7">
        <f>'AS400'!AK36</f>
        <v>0</v>
      </c>
      <c r="AM36" s="7">
        <f>'AS400'!AL36</f>
        <v>0</v>
      </c>
      <c r="AN36" s="7">
        <f>'AS400'!AM36</f>
        <v>0</v>
      </c>
      <c r="AO36" s="7">
        <f>'AS400'!AN36</f>
        <v>0</v>
      </c>
      <c r="AP36" s="7">
        <f>'AS400'!AO36</f>
        <v>0</v>
      </c>
      <c r="AQ36" s="7">
        <f>'AS400'!AP36</f>
        <v>0</v>
      </c>
      <c r="AR36" s="7">
        <f>'AS400'!AQ36</f>
        <v>0</v>
      </c>
      <c r="AS36" s="7">
        <f>'AS400'!AR36</f>
        <v>0</v>
      </c>
      <c r="AT36" s="7">
        <f>'AS400'!AS36</f>
        <v>0</v>
      </c>
      <c r="AU36" s="7">
        <f>'AS400'!AT36</f>
        <v>0</v>
      </c>
      <c r="AV36" s="7">
        <f>'AS400'!AU36</f>
        <v>0</v>
      </c>
      <c r="AW36" s="7">
        <f>'AS400'!AV36</f>
        <v>0</v>
      </c>
      <c r="AX36" s="7">
        <f>'AS400'!AW36</f>
        <v>0</v>
      </c>
      <c r="AY36" s="7">
        <f>'AS400'!AX36</f>
        <v>0</v>
      </c>
      <c r="AZ36" s="8">
        <f>'AS400'!AY36</f>
        <v>1</v>
      </c>
      <c r="BA36" s="7">
        <f>'AS400'!AZ36</f>
        <v>2</v>
      </c>
      <c r="BB36" s="7" t="str">
        <f>'AS400'!BA36</f>
        <v>PURO</v>
      </c>
      <c r="BC36" s="7">
        <f>'AS400'!BB36</f>
        <v>100</v>
      </c>
      <c r="BD36" s="7">
        <f>'AS400'!BC36</f>
        <v>20180301</v>
      </c>
      <c r="BE36" s="7">
        <f>'AS400'!BD36</f>
        <v>20180301</v>
      </c>
      <c r="BF36" s="7" t="str">
        <f>'AS400'!BE36</f>
        <v>S</v>
      </c>
      <c r="BG36" s="7" t="str">
        <f>'AS400'!BF36</f>
        <v>ME</v>
      </c>
      <c r="BH36" s="7">
        <f>'AS400'!BG36</f>
        <v>20180301</v>
      </c>
      <c r="BI36" s="7">
        <f>'AS400'!BH36</f>
        <v>0</v>
      </c>
      <c r="BJ36" s="7">
        <f>'AS400'!BI36</f>
        <v>0</v>
      </c>
      <c r="BK36" s="7">
        <f>'AS400'!BJ36</f>
        <v>0</v>
      </c>
      <c r="BL36" s="7">
        <f>'AS400'!BK36</f>
        <v>0</v>
      </c>
      <c r="BM36" s="7" t="str">
        <f>'AS400'!BL36</f>
        <v>STLV</v>
      </c>
      <c r="BN36" s="7">
        <f>'AS400'!BM36</f>
        <v>818</v>
      </c>
      <c r="BO36" s="7">
        <f>'AS400'!BN36</f>
        <v>0</v>
      </c>
      <c r="BP36" s="7">
        <f>'AS400'!BO36</f>
        <v>12</v>
      </c>
      <c r="BQ36" s="7">
        <f>'AS400'!BP36</f>
        <v>20180201</v>
      </c>
      <c r="BR36" s="7">
        <f>'AS400'!BQ36</f>
        <v>0</v>
      </c>
      <c r="BS36" s="7">
        <f>'AS400'!BR36</f>
        <v>0</v>
      </c>
      <c r="BT36" s="7">
        <f>'AS400'!BS36</f>
        <v>74</v>
      </c>
      <c r="BV36" s="7">
        <f>'AS400'!BT36</f>
        <v>55</v>
      </c>
      <c r="BW36" s="7">
        <f>'AS400'!BU36</f>
        <v>0</v>
      </c>
      <c r="BX36" s="7">
        <f>'AS400'!BV36</f>
        <v>0</v>
      </c>
      <c r="BY36" s="7">
        <f>'AS400'!BW36</f>
        <v>0</v>
      </c>
      <c r="BZ36" s="7">
        <f>'AS400'!BX36</f>
        <v>0</v>
      </c>
      <c r="CA36" s="7">
        <f>'AS400'!BY36</f>
        <v>0</v>
      </c>
      <c r="CB36" s="7">
        <f>'AS400'!BZ36</f>
        <v>0</v>
      </c>
      <c r="CC36" s="7">
        <f>'AS400'!CA36</f>
        <v>0</v>
      </c>
      <c r="CD36" s="7">
        <f>'AS400'!CB36</f>
        <v>0</v>
      </c>
      <c r="CE36" s="7">
        <f>'AS400'!CC36</f>
        <v>0</v>
      </c>
      <c r="CF36" s="7">
        <f>'AS400'!CD36</f>
        <v>0</v>
      </c>
      <c r="CG36" s="7">
        <f>'AS400'!CE36</f>
        <v>0</v>
      </c>
      <c r="CH36" s="7">
        <f>'AS400'!CF36</f>
        <v>0</v>
      </c>
      <c r="CI36" s="7">
        <f>'AS400'!CG36</f>
        <v>0</v>
      </c>
      <c r="CJ36" s="7">
        <f>'AS400'!CH36</f>
        <v>0</v>
      </c>
      <c r="CK36" s="7">
        <f>'AS400'!CI36</f>
        <v>0</v>
      </c>
      <c r="CL36" s="7">
        <f>'AS400'!CJ36</f>
        <v>0</v>
      </c>
      <c r="CM36" s="8">
        <f>'AS400'!CK36</f>
        <v>1</v>
      </c>
      <c r="CN36" s="7">
        <f>'AS400'!CL36</f>
        <v>3</v>
      </c>
      <c r="CO36" s="7" t="str">
        <f>'AS400'!CM36</f>
        <v>PUDT</v>
      </c>
      <c r="CP36" s="7">
        <f>'AS400'!CN36</f>
        <v>100</v>
      </c>
      <c r="CQ36" s="7">
        <f>'AS400'!CO36</f>
        <v>20180301</v>
      </c>
      <c r="CR36" s="7">
        <f>'AS400'!CP36</f>
        <v>20180301</v>
      </c>
      <c r="CS36" s="7" t="str">
        <f>'AS400'!CQ36</f>
        <v>S</v>
      </c>
      <c r="CT36" s="7" t="str">
        <f>'AS400'!CR36</f>
        <v>MT</v>
      </c>
      <c r="CU36" s="7">
        <f>'AS400'!CS36</f>
        <v>20180301</v>
      </c>
      <c r="CV36" s="7">
        <f>'AS400'!CT36</f>
        <v>0</v>
      </c>
      <c r="CW36" s="7">
        <f>'AS400'!CU36</f>
        <v>0</v>
      </c>
      <c r="CX36" s="7">
        <f>'AS400'!CV36</f>
        <v>0</v>
      </c>
      <c r="CY36" s="7">
        <f>'AS400'!CW36</f>
        <v>0</v>
      </c>
      <c r="CZ36" s="7" t="str">
        <f>'AS400'!CX36</f>
        <v>STLV</v>
      </c>
      <c r="DA36" s="7">
        <f>'AS400'!CY36</f>
        <v>818</v>
      </c>
      <c r="DB36" s="7">
        <f>'AS400'!CZ36</f>
        <v>0</v>
      </c>
      <c r="DC36" s="7">
        <f>'AS400'!DA36</f>
        <v>12</v>
      </c>
      <c r="DD36" s="7">
        <f>'AS400'!DB36</f>
        <v>20180201</v>
      </c>
      <c r="DE36" s="7">
        <f>'AS400'!DC36</f>
        <v>0</v>
      </c>
      <c r="DF36" s="7">
        <f>'AS400'!DD36</f>
        <v>0</v>
      </c>
      <c r="DG36" s="7">
        <f>'AS400'!DE36</f>
        <v>46</v>
      </c>
      <c r="DI36" s="7">
        <f>'AS400'!DF36</f>
        <v>55</v>
      </c>
      <c r="DJ36" s="7">
        <f>'AS400'!DG36</f>
        <v>0</v>
      </c>
      <c r="DK36" s="7">
        <f>'AS400'!DH36</f>
        <v>0</v>
      </c>
      <c r="DL36" s="7">
        <f>'AS400'!DI36</f>
        <v>0</v>
      </c>
      <c r="DM36" s="7">
        <f>'AS400'!DJ36</f>
        <v>0</v>
      </c>
      <c r="DN36" s="7">
        <f>'AS400'!DK36</f>
        <v>0</v>
      </c>
      <c r="DO36" s="7">
        <f>'AS400'!DL36</f>
        <v>0</v>
      </c>
      <c r="DP36" s="7">
        <f>'AS400'!DM36</f>
        <v>0</v>
      </c>
      <c r="DQ36" s="7">
        <f>'AS400'!DN36</f>
        <v>0</v>
      </c>
      <c r="DR36" s="7">
        <f>'AS400'!DO36</f>
        <v>0</v>
      </c>
      <c r="DS36" s="7">
        <f>'AS400'!DP36</f>
        <v>0</v>
      </c>
      <c r="DT36" s="7">
        <f>'AS400'!DQ36</f>
        <v>0</v>
      </c>
      <c r="DU36" s="7">
        <f>'AS400'!DR36</f>
        <v>0</v>
      </c>
      <c r="DV36" s="7">
        <f>'AS400'!DS36</f>
        <v>0</v>
      </c>
      <c r="DW36" s="7">
        <f>'AS400'!DT36</f>
        <v>0</v>
      </c>
      <c r="DX36" s="7">
        <f>'AS400'!DU36</f>
        <v>0</v>
      </c>
      <c r="DY36" s="7">
        <f>'AS400'!DV36</f>
        <v>0</v>
      </c>
      <c r="DZ36" s="8">
        <f>'AS400'!DW36</f>
        <v>1</v>
      </c>
      <c r="EA36" s="7">
        <f>'AS400'!DX36</f>
        <v>4</v>
      </c>
      <c r="EB36" s="7" t="str">
        <f>'AS400'!DY36</f>
        <v>PUDS</v>
      </c>
      <c r="EC36" s="7">
        <f>'AS400'!DZ36</f>
        <v>100</v>
      </c>
      <c r="ED36" s="7">
        <f>'AS400'!EA36</f>
        <v>20180301</v>
      </c>
      <c r="EE36" s="7">
        <f>'AS400'!EB36</f>
        <v>20180301</v>
      </c>
      <c r="EF36" s="7" t="str">
        <f>'AS400'!EC36</f>
        <v>S</v>
      </c>
      <c r="EG36" s="7" t="str">
        <f>'AS400'!ED36</f>
        <v>MS</v>
      </c>
      <c r="EH36" s="7">
        <f>'AS400'!EE36</f>
        <v>20180301</v>
      </c>
      <c r="EI36" s="7">
        <f>'AS400'!EF36</f>
        <v>0</v>
      </c>
      <c r="EJ36" s="7">
        <f>'AS400'!EG36</f>
        <v>0</v>
      </c>
      <c r="EK36" s="7">
        <f>'AS400'!EH36</f>
        <v>0</v>
      </c>
      <c r="EL36" s="7">
        <f>'AS400'!EI36</f>
        <v>0</v>
      </c>
      <c r="EM36" s="7" t="str">
        <f>'AS400'!EJ36</f>
        <v>STLV</v>
      </c>
      <c r="EN36" s="7">
        <f>'AS400'!EK36</f>
        <v>818</v>
      </c>
      <c r="EO36" s="7">
        <f>'AS400'!EL36</f>
        <v>0</v>
      </c>
      <c r="EP36" s="7">
        <f>'AS400'!EM36</f>
        <v>12</v>
      </c>
      <c r="EQ36" s="7">
        <f>'AS400'!EN36</f>
        <v>20180201</v>
      </c>
      <c r="ER36" s="7">
        <f>'AS400'!EO36</f>
        <v>0</v>
      </c>
      <c r="ES36" s="7">
        <f>'AS400'!EP36</f>
        <v>0</v>
      </c>
      <c r="ET36" s="7">
        <f>'AS400'!EQ36</f>
        <v>20</v>
      </c>
      <c r="EV36" s="7">
        <f>'AS400'!ER36</f>
        <v>55</v>
      </c>
      <c r="EW36" s="7">
        <f>'AS400'!ES36</f>
        <v>0</v>
      </c>
      <c r="EX36" s="7">
        <f>'AS400'!ET36</f>
        <v>0</v>
      </c>
      <c r="EY36" s="7">
        <f>'AS400'!EU36</f>
        <v>0</v>
      </c>
      <c r="EZ36" s="7">
        <f>'AS400'!EV36</f>
        <v>0</v>
      </c>
      <c r="FA36" s="7">
        <f>'AS400'!EW36</f>
        <v>0</v>
      </c>
      <c r="FB36" s="7">
        <f>'AS400'!EX36</f>
        <v>0</v>
      </c>
      <c r="FC36" s="7">
        <f>'AS400'!EY36</f>
        <v>0</v>
      </c>
      <c r="FD36" s="7">
        <f>'AS400'!EZ36</f>
        <v>0</v>
      </c>
      <c r="FE36" s="7">
        <f>'AS400'!FA36</f>
        <v>0</v>
      </c>
      <c r="FF36" s="7">
        <f>'AS400'!FB36</f>
        <v>0</v>
      </c>
      <c r="FG36" s="7">
        <f>'AS400'!FC36</f>
        <v>0</v>
      </c>
      <c r="FH36" s="7">
        <f>'AS400'!FD36</f>
        <v>0</v>
      </c>
      <c r="FI36" s="7">
        <f>'AS400'!FE36</f>
        <v>0</v>
      </c>
      <c r="FJ36" s="7">
        <f>'AS400'!FF36</f>
        <v>0</v>
      </c>
      <c r="FK36" s="7">
        <f>'AS400'!FG36</f>
        <v>0</v>
      </c>
      <c r="FL36" s="7">
        <f>'AS400'!FH36</f>
        <v>0</v>
      </c>
      <c r="FM36" s="7">
        <f>'AS400'!FI36</f>
        <v>1</v>
      </c>
      <c r="FN36" s="7">
        <f>'AS400'!FJ36</f>
        <v>1</v>
      </c>
      <c r="FO36" s="7">
        <f>'AS400'!FO36</f>
        <v>0</v>
      </c>
      <c r="FP36" s="7">
        <f>'AS400'!FP36</f>
        <v>4</v>
      </c>
      <c r="FQ36" s="7">
        <f>'AS400'!FQ36</f>
        <v>1</v>
      </c>
      <c r="FR36" s="7">
        <f>'AS400'!FR36</f>
        <v>1</v>
      </c>
      <c r="FS36" s="13">
        <f>'AS400'!FO36</f>
        <v>0</v>
      </c>
    </row>
    <row r="37" spans="1:175">
      <c r="A37" s="7">
        <f>'AS400'!A37</f>
        <v>31</v>
      </c>
      <c r="B37" s="7">
        <f>'AS400'!B37</f>
        <v>20190301</v>
      </c>
      <c r="C37" s="7">
        <f>'AS400'!C37</f>
        <v>0</v>
      </c>
      <c r="D37" s="7" t="str">
        <f>'AS400'!D37</f>
        <v>N</v>
      </c>
      <c r="E37" s="7" t="str">
        <f>'AS400'!E37</f>
        <v>N</v>
      </c>
      <c r="F37" s="7" t="str">
        <f>'AS400'!F37</f>
        <v>Y</v>
      </c>
      <c r="G37" s="7">
        <f>'AS400'!G37</f>
        <v>0</v>
      </c>
      <c r="H37" s="14"/>
      <c r="I37" s="7" t="str">
        <f>'AS400'!I37</f>
        <v>RSA</v>
      </c>
      <c r="J37" s="7" t="str">
        <f>'AS400'!J37</f>
        <v>METR</v>
      </c>
      <c r="K37" s="7" t="str">
        <f>'AS400'!K37</f>
        <v>N</v>
      </c>
      <c r="L37" s="7">
        <f>'AS400'!L37</f>
        <v>4</v>
      </c>
      <c r="M37" s="8">
        <f>'AS400'!M37</f>
        <v>1</v>
      </c>
      <c r="N37" s="7">
        <f>'AS400'!N37</f>
        <v>1</v>
      </c>
      <c r="O37" s="7" t="str">
        <f>'AS400'!O37</f>
        <v>MFSP</v>
      </c>
      <c r="P37" s="7">
        <f>'AS400'!P37</f>
        <v>100</v>
      </c>
      <c r="Q37" s="7">
        <f>'AS400'!Q37</f>
        <v>20180301</v>
      </c>
      <c r="R37" s="7">
        <f>'AS400'!R37</f>
        <v>20180301</v>
      </c>
      <c r="S37" s="7" t="str">
        <f>'AS400'!S37</f>
        <v>M</v>
      </c>
      <c r="T37" s="7" t="str">
        <f>'AS400'!T37</f>
        <v>MN</v>
      </c>
      <c r="U37" s="7">
        <f>'AS400'!U37</f>
        <v>20190301</v>
      </c>
      <c r="V37" s="7">
        <f>'AS400'!V37</f>
        <v>10</v>
      </c>
      <c r="W37" s="7">
        <f>'AS400'!W37</f>
        <v>10</v>
      </c>
      <c r="X37" s="7" t="str">
        <f>'AS400'!X37</f>
        <v>MFIX</v>
      </c>
      <c r="Y37" s="7">
        <f>'AS400'!Y37</f>
        <v>0</v>
      </c>
      <c r="Z37" s="7" t="str">
        <f>'AS400'!Z37</f>
        <v>STLV</v>
      </c>
      <c r="AA37" s="7">
        <f>'AS400'!AA37</f>
        <v>818</v>
      </c>
      <c r="AB37" s="7">
        <f>'AS400'!AB37</f>
        <v>0</v>
      </c>
      <c r="AC37" s="7">
        <f>'AS400'!AC37</f>
        <v>12</v>
      </c>
      <c r="AD37" s="7">
        <f>'AS400'!AD37</f>
        <v>20180201</v>
      </c>
      <c r="AE37" s="7">
        <f>'AS400'!AE37</f>
        <v>0</v>
      </c>
      <c r="AF37" s="7">
        <f>'AS400'!AF37</f>
        <v>70000</v>
      </c>
      <c r="AG37" s="7">
        <f>'AS400'!AG37</f>
        <v>170</v>
      </c>
      <c r="AI37" s="7">
        <f>'AS400'!AH37</f>
        <v>54</v>
      </c>
      <c r="AJ37" s="7">
        <f>'AS400'!AI37</f>
        <v>0</v>
      </c>
      <c r="AK37" s="7">
        <f>'AS400'!AJ37</f>
        <v>0</v>
      </c>
      <c r="AL37" s="7">
        <f>'AS400'!AK37</f>
        <v>0</v>
      </c>
      <c r="AM37" s="7">
        <f>'AS400'!AL37</f>
        <v>0</v>
      </c>
      <c r="AN37" s="7">
        <f>'AS400'!AM37</f>
        <v>0</v>
      </c>
      <c r="AO37" s="7">
        <f>'AS400'!AN37</f>
        <v>0</v>
      </c>
      <c r="AP37" s="7">
        <f>'AS400'!AO37</f>
        <v>0</v>
      </c>
      <c r="AQ37" s="7">
        <f>'AS400'!AP37</f>
        <v>0</v>
      </c>
      <c r="AR37" s="7">
        <f>'AS400'!AQ37</f>
        <v>0</v>
      </c>
      <c r="AS37" s="7">
        <f>'AS400'!AR37</f>
        <v>0</v>
      </c>
      <c r="AT37" s="7">
        <f>'AS400'!AS37</f>
        <v>0</v>
      </c>
      <c r="AU37" s="7">
        <f>'AS400'!AT37</f>
        <v>0</v>
      </c>
      <c r="AV37" s="7">
        <f>'AS400'!AU37</f>
        <v>0</v>
      </c>
      <c r="AW37" s="7">
        <f>'AS400'!AV37</f>
        <v>0</v>
      </c>
      <c r="AX37" s="7">
        <f>'AS400'!AW37</f>
        <v>0</v>
      </c>
      <c r="AY37" s="7">
        <f>'AS400'!AX37</f>
        <v>0</v>
      </c>
      <c r="AZ37" s="8">
        <f>'AS400'!AY37</f>
        <v>1</v>
      </c>
      <c r="BA37" s="7">
        <f>'AS400'!AZ37</f>
        <v>2</v>
      </c>
      <c r="BB37" s="7" t="str">
        <f>'AS400'!BA37</f>
        <v>PURO</v>
      </c>
      <c r="BC37" s="7">
        <f>'AS400'!BB37</f>
        <v>100</v>
      </c>
      <c r="BD37" s="7">
        <f>'AS400'!BC37</f>
        <v>20180301</v>
      </c>
      <c r="BE37" s="7">
        <f>'AS400'!BD37</f>
        <v>20180301</v>
      </c>
      <c r="BF37" s="7" t="str">
        <f>'AS400'!BE37</f>
        <v>S</v>
      </c>
      <c r="BG37" s="7" t="str">
        <f>'AS400'!BF37</f>
        <v>ME</v>
      </c>
      <c r="BH37" s="7">
        <f>'AS400'!BG37</f>
        <v>20180301</v>
      </c>
      <c r="BI37" s="7">
        <f>'AS400'!BH37</f>
        <v>0</v>
      </c>
      <c r="BJ37" s="7">
        <f>'AS400'!BI37</f>
        <v>0</v>
      </c>
      <c r="BK37" s="7">
        <f>'AS400'!BJ37</f>
        <v>0</v>
      </c>
      <c r="BL37" s="7">
        <f>'AS400'!BK37</f>
        <v>0</v>
      </c>
      <c r="BM37" s="7" t="str">
        <f>'AS400'!BL37</f>
        <v>STLV</v>
      </c>
      <c r="BN37" s="7">
        <f>'AS400'!BM37</f>
        <v>818</v>
      </c>
      <c r="BO37" s="7">
        <f>'AS400'!BN37</f>
        <v>0</v>
      </c>
      <c r="BP37" s="7">
        <f>'AS400'!BO37</f>
        <v>12</v>
      </c>
      <c r="BQ37" s="7">
        <f>'AS400'!BP37</f>
        <v>20180201</v>
      </c>
      <c r="BR37" s="7">
        <f>'AS400'!BQ37</f>
        <v>0</v>
      </c>
      <c r="BS37" s="7">
        <f>'AS400'!BR37</f>
        <v>0</v>
      </c>
      <c r="BT37" s="7">
        <f>'AS400'!BS37</f>
        <v>79</v>
      </c>
      <c r="BV37" s="7">
        <f>'AS400'!BT37</f>
        <v>54</v>
      </c>
      <c r="BW37" s="7">
        <f>'AS400'!BU37</f>
        <v>0</v>
      </c>
      <c r="BX37" s="7">
        <f>'AS400'!BV37</f>
        <v>0</v>
      </c>
      <c r="BY37" s="7">
        <f>'AS400'!BW37</f>
        <v>0</v>
      </c>
      <c r="BZ37" s="7">
        <f>'AS400'!BX37</f>
        <v>0</v>
      </c>
      <c r="CA37" s="7">
        <f>'AS400'!BY37</f>
        <v>0</v>
      </c>
      <c r="CB37" s="7">
        <f>'AS400'!BZ37</f>
        <v>0</v>
      </c>
      <c r="CC37" s="7">
        <f>'AS400'!CA37</f>
        <v>0</v>
      </c>
      <c r="CD37" s="7">
        <f>'AS400'!CB37</f>
        <v>0</v>
      </c>
      <c r="CE37" s="7">
        <f>'AS400'!CC37</f>
        <v>0</v>
      </c>
      <c r="CF37" s="7">
        <f>'AS400'!CD37</f>
        <v>0</v>
      </c>
      <c r="CG37" s="7">
        <f>'AS400'!CE37</f>
        <v>0</v>
      </c>
      <c r="CH37" s="7">
        <f>'AS400'!CF37</f>
        <v>0</v>
      </c>
      <c r="CI37" s="7">
        <f>'AS400'!CG37</f>
        <v>0</v>
      </c>
      <c r="CJ37" s="7">
        <f>'AS400'!CH37</f>
        <v>0</v>
      </c>
      <c r="CK37" s="7">
        <f>'AS400'!CI37</f>
        <v>0</v>
      </c>
      <c r="CL37" s="7">
        <f>'AS400'!CJ37</f>
        <v>0</v>
      </c>
      <c r="CM37" s="8">
        <f>'AS400'!CK37</f>
        <v>1</v>
      </c>
      <c r="CN37" s="7">
        <f>'AS400'!CL37</f>
        <v>3</v>
      </c>
      <c r="CO37" s="7" t="str">
        <f>'AS400'!CM37</f>
        <v>PUDT</v>
      </c>
      <c r="CP37" s="7">
        <f>'AS400'!CN37</f>
        <v>100</v>
      </c>
      <c r="CQ37" s="7">
        <f>'AS400'!CO37</f>
        <v>20180301</v>
      </c>
      <c r="CR37" s="7">
        <f>'AS400'!CP37</f>
        <v>20180301</v>
      </c>
      <c r="CS37" s="7" t="str">
        <f>'AS400'!CQ37</f>
        <v>S</v>
      </c>
      <c r="CT37" s="7" t="str">
        <f>'AS400'!CR37</f>
        <v>MT</v>
      </c>
      <c r="CU37" s="7">
        <f>'AS400'!CS37</f>
        <v>20180301</v>
      </c>
      <c r="CV37" s="7">
        <f>'AS400'!CT37</f>
        <v>0</v>
      </c>
      <c r="CW37" s="7">
        <f>'AS400'!CU37</f>
        <v>0</v>
      </c>
      <c r="CX37" s="7">
        <f>'AS400'!CV37</f>
        <v>0</v>
      </c>
      <c r="CY37" s="7">
        <f>'AS400'!CW37</f>
        <v>0</v>
      </c>
      <c r="CZ37" s="7" t="str">
        <f>'AS400'!CX37</f>
        <v>STLV</v>
      </c>
      <c r="DA37" s="7">
        <f>'AS400'!CY37</f>
        <v>818</v>
      </c>
      <c r="DB37" s="7">
        <f>'AS400'!CZ37</f>
        <v>0</v>
      </c>
      <c r="DC37" s="7">
        <f>'AS400'!DA37</f>
        <v>12</v>
      </c>
      <c r="DD37" s="7">
        <f>'AS400'!DB37</f>
        <v>20180201</v>
      </c>
      <c r="DE37" s="7">
        <f>'AS400'!DC37</f>
        <v>0</v>
      </c>
      <c r="DF37" s="7">
        <f>'AS400'!DD37</f>
        <v>0</v>
      </c>
      <c r="DG37" s="7">
        <f>'AS400'!DE37</f>
        <v>49</v>
      </c>
      <c r="DI37" s="7">
        <f>'AS400'!DF37</f>
        <v>54</v>
      </c>
      <c r="DJ37" s="7">
        <f>'AS400'!DG37</f>
        <v>0</v>
      </c>
      <c r="DK37" s="7">
        <f>'AS400'!DH37</f>
        <v>0</v>
      </c>
      <c r="DL37" s="7">
        <f>'AS400'!DI37</f>
        <v>0</v>
      </c>
      <c r="DM37" s="7">
        <f>'AS400'!DJ37</f>
        <v>0</v>
      </c>
      <c r="DN37" s="7">
        <f>'AS400'!DK37</f>
        <v>0</v>
      </c>
      <c r="DO37" s="7">
        <f>'AS400'!DL37</f>
        <v>0</v>
      </c>
      <c r="DP37" s="7">
        <f>'AS400'!DM37</f>
        <v>0</v>
      </c>
      <c r="DQ37" s="7">
        <f>'AS400'!DN37</f>
        <v>0</v>
      </c>
      <c r="DR37" s="7">
        <f>'AS400'!DO37</f>
        <v>0</v>
      </c>
      <c r="DS37" s="7">
        <f>'AS400'!DP37</f>
        <v>0</v>
      </c>
      <c r="DT37" s="7">
        <f>'AS400'!DQ37</f>
        <v>0</v>
      </c>
      <c r="DU37" s="7">
        <f>'AS400'!DR37</f>
        <v>0</v>
      </c>
      <c r="DV37" s="7">
        <f>'AS400'!DS37</f>
        <v>0</v>
      </c>
      <c r="DW37" s="7">
        <f>'AS400'!DT37</f>
        <v>0</v>
      </c>
      <c r="DX37" s="7">
        <f>'AS400'!DU37</f>
        <v>0</v>
      </c>
      <c r="DY37" s="7">
        <f>'AS400'!DV37</f>
        <v>0</v>
      </c>
      <c r="DZ37" s="8">
        <f>'AS400'!DW37</f>
        <v>1</v>
      </c>
      <c r="EA37" s="7">
        <f>'AS400'!DX37</f>
        <v>4</v>
      </c>
      <c r="EB37" s="7" t="str">
        <f>'AS400'!DY37</f>
        <v>PUDS</v>
      </c>
      <c r="EC37" s="7">
        <f>'AS400'!DZ37</f>
        <v>100</v>
      </c>
      <c r="ED37" s="7">
        <f>'AS400'!EA37</f>
        <v>20180301</v>
      </c>
      <c r="EE37" s="7">
        <f>'AS400'!EB37</f>
        <v>20180301</v>
      </c>
      <c r="EF37" s="7" t="str">
        <f>'AS400'!EC37</f>
        <v>S</v>
      </c>
      <c r="EG37" s="7" t="str">
        <f>'AS400'!ED37</f>
        <v>MS</v>
      </c>
      <c r="EH37" s="7">
        <f>'AS400'!EE37</f>
        <v>20180301</v>
      </c>
      <c r="EI37" s="7">
        <f>'AS400'!EF37</f>
        <v>0</v>
      </c>
      <c r="EJ37" s="7">
        <f>'AS400'!EG37</f>
        <v>0</v>
      </c>
      <c r="EK37" s="7">
        <f>'AS400'!EH37</f>
        <v>0</v>
      </c>
      <c r="EL37" s="7">
        <f>'AS400'!EI37</f>
        <v>0</v>
      </c>
      <c r="EM37" s="7" t="str">
        <f>'AS400'!EJ37</f>
        <v>STLV</v>
      </c>
      <c r="EN37" s="7">
        <f>'AS400'!EK37</f>
        <v>818</v>
      </c>
      <c r="EO37" s="7">
        <f>'AS400'!EL37</f>
        <v>0</v>
      </c>
      <c r="EP37" s="7">
        <f>'AS400'!EM37</f>
        <v>12</v>
      </c>
      <c r="EQ37" s="7">
        <f>'AS400'!EN37</f>
        <v>20180201</v>
      </c>
      <c r="ER37" s="7">
        <f>'AS400'!EO37</f>
        <v>0</v>
      </c>
      <c r="ES37" s="7">
        <f>'AS400'!EP37</f>
        <v>0</v>
      </c>
      <c r="ET37" s="7">
        <f>'AS400'!EQ37</f>
        <v>22</v>
      </c>
      <c r="EV37" s="7">
        <f>'AS400'!ER37</f>
        <v>54</v>
      </c>
      <c r="EW37" s="7">
        <f>'AS400'!ES37</f>
        <v>0</v>
      </c>
      <c r="EX37" s="7">
        <f>'AS400'!ET37</f>
        <v>0</v>
      </c>
      <c r="EY37" s="7">
        <f>'AS400'!EU37</f>
        <v>0</v>
      </c>
      <c r="EZ37" s="7">
        <f>'AS400'!EV37</f>
        <v>0</v>
      </c>
      <c r="FA37" s="7">
        <f>'AS400'!EW37</f>
        <v>0</v>
      </c>
      <c r="FB37" s="7">
        <f>'AS400'!EX37</f>
        <v>0</v>
      </c>
      <c r="FC37" s="7">
        <f>'AS400'!EY37</f>
        <v>0</v>
      </c>
      <c r="FD37" s="7">
        <f>'AS400'!EZ37</f>
        <v>0</v>
      </c>
      <c r="FE37" s="7">
        <f>'AS400'!FA37</f>
        <v>0</v>
      </c>
      <c r="FF37" s="7">
        <f>'AS400'!FB37</f>
        <v>0</v>
      </c>
      <c r="FG37" s="7">
        <f>'AS400'!FC37</f>
        <v>0</v>
      </c>
      <c r="FH37" s="7">
        <f>'AS400'!FD37</f>
        <v>0</v>
      </c>
      <c r="FI37" s="7">
        <f>'AS400'!FE37</f>
        <v>0</v>
      </c>
      <c r="FJ37" s="7">
        <f>'AS400'!FF37</f>
        <v>0</v>
      </c>
      <c r="FK37" s="7">
        <f>'AS400'!FG37</f>
        <v>0</v>
      </c>
      <c r="FL37" s="7">
        <f>'AS400'!FH37</f>
        <v>0</v>
      </c>
      <c r="FM37" s="7">
        <f>'AS400'!FI37</f>
        <v>1</v>
      </c>
      <c r="FN37" s="7">
        <f>'AS400'!FJ37</f>
        <v>1</v>
      </c>
      <c r="FO37" s="7">
        <f>'AS400'!FO37</f>
        <v>0</v>
      </c>
      <c r="FP37" s="7">
        <f>'AS400'!FP37</f>
        <v>4</v>
      </c>
      <c r="FQ37" s="7">
        <f>'AS400'!FQ37</f>
        <v>1</v>
      </c>
      <c r="FR37" s="7">
        <f>'AS400'!FR37</f>
        <v>1</v>
      </c>
      <c r="FS37" s="13">
        <f>'AS400'!FO37</f>
        <v>0</v>
      </c>
    </row>
    <row r="38" spans="1:175">
      <c r="A38" s="7">
        <f>'AS400'!A38</f>
        <v>32</v>
      </c>
      <c r="B38" s="7">
        <f>'AS400'!B38</f>
        <v>20190301</v>
      </c>
      <c r="C38" s="7">
        <f>'AS400'!C38</f>
        <v>0</v>
      </c>
      <c r="D38" s="7" t="str">
        <f>'AS400'!D38</f>
        <v>N</v>
      </c>
      <c r="E38" s="7" t="str">
        <f>'AS400'!E38</f>
        <v>N</v>
      </c>
      <c r="F38" s="7" t="str">
        <f>'AS400'!F38</f>
        <v>Y</v>
      </c>
      <c r="G38" s="7">
        <f>'AS400'!G38</f>
        <v>0</v>
      </c>
      <c r="H38" s="14"/>
      <c r="I38" s="7" t="str">
        <f>'AS400'!I38</f>
        <v>RSA</v>
      </c>
      <c r="J38" s="7" t="str">
        <f>'AS400'!J38</f>
        <v>METR</v>
      </c>
      <c r="K38" s="7" t="str">
        <f>'AS400'!K38</f>
        <v>N</v>
      </c>
      <c r="L38" s="7">
        <f>'AS400'!L38</f>
        <v>4</v>
      </c>
      <c r="M38" s="8">
        <f>'AS400'!M38</f>
        <v>1</v>
      </c>
      <c r="N38" s="7">
        <f>'AS400'!N38</f>
        <v>1</v>
      </c>
      <c r="O38" s="7" t="str">
        <f>'AS400'!O38</f>
        <v>MFPA</v>
      </c>
      <c r="P38" s="7">
        <f>'AS400'!P38</f>
        <v>100</v>
      </c>
      <c r="Q38" s="7">
        <f>'AS400'!Q38</f>
        <v>20180301</v>
      </c>
      <c r="R38" s="7">
        <f>'AS400'!R38</f>
        <v>20180301</v>
      </c>
      <c r="S38" s="7" t="str">
        <f>'AS400'!S38</f>
        <v>M</v>
      </c>
      <c r="T38" s="7" t="str">
        <f>'AS400'!T38</f>
        <v>MN</v>
      </c>
      <c r="U38" s="7">
        <f>'AS400'!U38</f>
        <v>20190301</v>
      </c>
      <c r="V38" s="7">
        <f>'AS400'!V38</f>
        <v>6</v>
      </c>
      <c r="W38" s="7">
        <f>'AS400'!W38</f>
        <v>6</v>
      </c>
      <c r="X38" s="7" t="str">
        <f>'AS400'!X38</f>
        <v>MFIX</v>
      </c>
      <c r="Y38" s="7">
        <f>'AS400'!Y38</f>
        <v>0</v>
      </c>
      <c r="Z38" s="7" t="str">
        <f>'AS400'!Z38</f>
        <v>STLV</v>
      </c>
      <c r="AA38" s="7">
        <f>'AS400'!AA38</f>
        <v>818</v>
      </c>
      <c r="AB38" s="7">
        <f>'AS400'!AB38</f>
        <v>0</v>
      </c>
      <c r="AC38" s="7">
        <f>'AS400'!AC38</f>
        <v>12</v>
      </c>
      <c r="AD38" s="7">
        <f>'AS400'!AD38</f>
        <v>20180201</v>
      </c>
      <c r="AE38" s="7">
        <f>'AS400'!AE38</f>
        <v>0</v>
      </c>
      <c r="AF38" s="7">
        <f>'AS400'!AF38</f>
        <v>5000</v>
      </c>
      <c r="AG38" s="7">
        <f>'AS400'!AG38</f>
        <v>77</v>
      </c>
      <c r="AI38" s="7">
        <f>'AS400'!AH38</f>
        <v>53</v>
      </c>
      <c r="AJ38" s="7">
        <f>'AS400'!AI38</f>
        <v>0</v>
      </c>
      <c r="AK38" s="7">
        <f>'AS400'!AJ38</f>
        <v>0</v>
      </c>
      <c r="AL38" s="7">
        <f>'AS400'!AK38</f>
        <v>0</v>
      </c>
      <c r="AM38" s="7">
        <f>'AS400'!AL38</f>
        <v>0</v>
      </c>
      <c r="AN38" s="7">
        <f>'AS400'!AM38</f>
        <v>0</v>
      </c>
      <c r="AO38" s="7">
        <f>'AS400'!AN38</f>
        <v>0</v>
      </c>
      <c r="AP38" s="7">
        <f>'AS400'!AO38</f>
        <v>0</v>
      </c>
      <c r="AQ38" s="7">
        <f>'AS400'!AP38</f>
        <v>0</v>
      </c>
      <c r="AR38" s="7">
        <f>'AS400'!AQ38</f>
        <v>0</v>
      </c>
      <c r="AS38" s="7">
        <f>'AS400'!AR38</f>
        <v>0</v>
      </c>
      <c r="AT38" s="7">
        <f>'AS400'!AS38</f>
        <v>0</v>
      </c>
      <c r="AU38" s="7">
        <f>'AS400'!AT38</f>
        <v>0</v>
      </c>
      <c r="AV38" s="7">
        <f>'AS400'!AU38</f>
        <v>0</v>
      </c>
      <c r="AW38" s="7">
        <f>'AS400'!AV38</f>
        <v>0</v>
      </c>
      <c r="AX38" s="7">
        <f>'AS400'!AW38</f>
        <v>0</v>
      </c>
      <c r="AY38" s="7">
        <f>'AS400'!AX38</f>
        <v>0</v>
      </c>
      <c r="AZ38" s="8">
        <f>'AS400'!AY38</f>
        <v>1</v>
      </c>
      <c r="BA38" s="7">
        <f>'AS400'!AZ38</f>
        <v>2</v>
      </c>
      <c r="BB38" s="7" t="str">
        <f>'AS400'!BA38</f>
        <v>PURO</v>
      </c>
      <c r="BC38" s="7">
        <f>'AS400'!BB38</f>
        <v>100</v>
      </c>
      <c r="BD38" s="7">
        <f>'AS400'!BC38</f>
        <v>20180301</v>
      </c>
      <c r="BE38" s="7">
        <f>'AS400'!BD38</f>
        <v>20180301</v>
      </c>
      <c r="BF38" s="7" t="str">
        <f>'AS400'!BE38</f>
        <v>S</v>
      </c>
      <c r="BG38" s="7" t="str">
        <f>'AS400'!BF38</f>
        <v>ME</v>
      </c>
      <c r="BH38" s="7">
        <f>'AS400'!BG38</f>
        <v>20180301</v>
      </c>
      <c r="BI38" s="7">
        <f>'AS400'!BH38</f>
        <v>0</v>
      </c>
      <c r="BJ38" s="7">
        <f>'AS400'!BI38</f>
        <v>0</v>
      </c>
      <c r="BK38" s="7">
        <f>'AS400'!BJ38</f>
        <v>0</v>
      </c>
      <c r="BL38" s="7">
        <f>'AS400'!BK38</f>
        <v>0</v>
      </c>
      <c r="BM38" s="7" t="str">
        <f>'AS400'!BL38</f>
        <v>STLV</v>
      </c>
      <c r="BN38" s="7">
        <f>'AS400'!BM38</f>
        <v>818</v>
      </c>
      <c r="BO38" s="7">
        <f>'AS400'!BN38</f>
        <v>0</v>
      </c>
      <c r="BP38" s="7">
        <f>'AS400'!BO38</f>
        <v>12</v>
      </c>
      <c r="BQ38" s="7">
        <f>'AS400'!BP38</f>
        <v>20180201</v>
      </c>
      <c r="BR38" s="7">
        <f>'AS400'!BQ38</f>
        <v>0</v>
      </c>
      <c r="BS38" s="7">
        <f>'AS400'!BR38</f>
        <v>0</v>
      </c>
      <c r="BT38" s="7">
        <f>'AS400'!BS38</f>
        <v>7</v>
      </c>
      <c r="BV38" s="7">
        <f>'AS400'!BT38</f>
        <v>53</v>
      </c>
      <c r="BW38" s="7">
        <f>'AS400'!BU38</f>
        <v>0</v>
      </c>
      <c r="BX38" s="7">
        <f>'AS400'!BV38</f>
        <v>0</v>
      </c>
      <c r="BY38" s="7">
        <f>'AS400'!BW38</f>
        <v>0</v>
      </c>
      <c r="BZ38" s="7">
        <f>'AS400'!BX38</f>
        <v>0</v>
      </c>
      <c r="CA38" s="7">
        <f>'AS400'!BY38</f>
        <v>0</v>
      </c>
      <c r="CB38" s="7">
        <f>'AS400'!BZ38</f>
        <v>0</v>
      </c>
      <c r="CC38" s="7">
        <f>'AS400'!CA38</f>
        <v>0</v>
      </c>
      <c r="CD38" s="7">
        <f>'AS400'!CB38</f>
        <v>0</v>
      </c>
      <c r="CE38" s="7">
        <f>'AS400'!CC38</f>
        <v>0</v>
      </c>
      <c r="CF38" s="7">
        <f>'AS400'!CD38</f>
        <v>0</v>
      </c>
      <c r="CG38" s="7">
        <f>'AS400'!CE38</f>
        <v>0</v>
      </c>
      <c r="CH38" s="7">
        <f>'AS400'!CF38</f>
        <v>0</v>
      </c>
      <c r="CI38" s="7">
        <f>'AS400'!CG38</f>
        <v>0</v>
      </c>
      <c r="CJ38" s="7">
        <f>'AS400'!CH38</f>
        <v>0</v>
      </c>
      <c r="CK38" s="7">
        <f>'AS400'!CI38</f>
        <v>0</v>
      </c>
      <c r="CL38" s="7">
        <f>'AS400'!CJ38</f>
        <v>0</v>
      </c>
      <c r="CM38" s="8">
        <f>'AS400'!CK38</f>
        <v>1</v>
      </c>
      <c r="CN38" s="7">
        <f>'AS400'!CL38</f>
        <v>3</v>
      </c>
      <c r="CO38" s="7" t="str">
        <f>'AS400'!CM38</f>
        <v>PUDT</v>
      </c>
      <c r="CP38" s="7">
        <f>'AS400'!CN38</f>
        <v>100</v>
      </c>
      <c r="CQ38" s="7">
        <f>'AS400'!CO38</f>
        <v>20180301</v>
      </c>
      <c r="CR38" s="7">
        <f>'AS400'!CP38</f>
        <v>20180301</v>
      </c>
      <c r="CS38" s="7" t="str">
        <f>'AS400'!CQ38</f>
        <v>S</v>
      </c>
      <c r="CT38" s="7" t="str">
        <f>'AS400'!CR38</f>
        <v>MT</v>
      </c>
      <c r="CU38" s="7">
        <f>'AS400'!CS38</f>
        <v>20180301</v>
      </c>
      <c r="CV38" s="7">
        <f>'AS400'!CT38</f>
        <v>0</v>
      </c>
      <c r="CW38" s="7">
        <f>'AS400'!CU38</f>
        <v>0</v>
      </c>
      <c r="CX38" s="7">
        <f>'AS400'!CV38</f>
        <v>0</v>
      </c>
      <c r="CY38" s="7">
        <f>'AS400'!CW38</f>
        <v>0</v>
      </c>
      <c r="CZ38" s="7" t="str">
        <f>'AS400'!CX38</f>
        <v>STLV</v>
      </c>
      <c r="DA38" s="7">
        <f>'AS400'!CY38</f>
        <v>818</v>
      </c>
      <c r="DB38" s="7">
        <f>'AS400'!CZ38</f>
        <v>0</v>
      </c>
      <c r="DC38" s="7">
        <f>'AS400'!DA38</f>
        <v>12</v>
      </c>
      <c r="DD38" s="7">
        <f>'AS400'!DB38</f>
        <v>20180201</v>
      </c>
      <c r="DE38" s="7">
        <f>'AS400'!DC38</f>
        <v>0</v>
      </c>
      <c r="DF38" s="7">
        <f>'AS400'!DD38</f>
        <v>0</v>
      </c>
      <c r="DG38" s="7">
        <f>'AS400'!DE38</f>
        <v>14</v>
      </c>
      <c r="DI38" s="7">
        <f>'AS400'!DF38</f>
        <v>53</v>
      </c>
      <c r="DJ38" s="7">
        <f>'AS400'!DG38</f>
        <v>0</v>
      </c>
      <c r="DK38" s="7">
        <f>'AS400'!DH38</f>
        <v>0</v>
      </c>
      <c r="DL38" s="7">
        <f>'AS400'!DI38</f>
        <v>0</v>
      </c>
      <c r="DM38" s="7">
        <f>'AS400'!DJ38</f>
        <v>0</v>
      </c>
      <c r="DN38" s="7">
        <f>'AS400'!DK38</f>
        <v>0</v>
      </c>
      <c r="DO38" s="7">
        <f>'AS400'!DL38</f>
        <v>0</v>
      </c>
      <c r="DP38" s="7">
        <f>'AS400'!DM38</f>
        <v>0</v>
      </c>
      <c r="DQ38" s="7">
        <f>'AS400'!DN38</f>
        <v>0</v>
      </c>
      <c r="DR38" s="7">
        <f>'AS400'!DO38</f>
        <v>0</v>
      </c>
      <c r="DS38" s="7">
        <f>'AS400'!DP38</f>
        <v>0</v>
      </c>
      <c r="DT38" s="7">
        <f>'AS400'!DQ38</f>
        <v>0</v>
      </c>
      <c r="DU38" s="7">
        <f>'AS400'!DR38</f>
        <v>0</v>
      </c>
      <c r="DV38" s="7">
        <f>'AS400'!DS38</f>
        <v>0</v>
      </c>
      <c r="DW38" s="7">
        <f>'AS400'!DT38</f>
        <v>0</v>
      </c>
      <c r="DX38" s="7">
        <f>'AS400'!DU38</f>
        <v>0</v>
      </c>
      <c r="DY38" s="7">
        <f>'AS400'!DV38</f>
        <v>0</v>
      </c>
      <c r="DZ38" s="8">
        <f>'AS400'!DW38</f>
        <v>1</v>
      </c>
      <c r="EA38" s="7">
        <f>'AS400'!DX38</f>
        <v>4</v>
      </c>
      <c r="EB38" s="7" t="str">
        <f>'AS400'!DY38</f>
        <v>PUDS</v>
      </c>
      <c r="EC38" s="7">
        <f>'AS400'!DZ38</f>
        <v>100</v>
      </c>
      <c r="ED38" s="7">
        <f>'AS400'!EA38</f>
        <v>20180301</v>
      </c>
      <c r="EE38" s="7">
        <f>'AS400'!EB38</f>
        <v>20180301</v>
      </c>
      <c r="EF38" s="7" t="str">
        <f>'AS400'!EC38</f>
        <v>S</v>
      </c>
      <c r="EG38" s="7" t="str">
        <f>'AS400'!ED38</f>
        <v>MS</v>
      </c>
      <c r="EH38" s="7">
        <f>'AS400'!EE38</f>
        <v>20180301</v>
      </c>
      <c r="EI38" s="7">
        <f>'AS400'!EF38</f>
        <v>0</v>
      </c>
      <c r="EJ38" s="7">
        <f>'AS400'!EG38</f>
        <v>0</v>
      </c>
      <c r="EK38" s="7">
        <f>'AS400'!EH38</f>
        <v>0</v>
      </c>
      <c r="EL38" s="7">
        <f>'AS400'!EI38</f>
        <v>0</v>
      </c>
      <c r="EM38" s="7" t="str">
        <f>'AS400'!EJ38</f>
        <v>STLV</v>
      </c>
      <c r="EN38" s="7">
        <f>'AS400'!EK38</f>
        <v>818</v>
      </c>
      <c r="EO38" s="7">
        <f>'AS400'!EL38</f>
        <v>0</v>
      </c>
      <c r="EP38" s="7">
        <f>'AS400'!EM38</f>
        <v>12</v>
      </c>
      <c r="EQ38" s="7">
        <f>'AS400'!EN38</f>
        <v>20180201</v>
      </c>
      <c r="ER38" s="7">
        <f>'AS400'!EO38</f>
        <v>0</v>
      </c>
      <c r="ES38" s="7">
        <f>'AS400'!EP38</f>
        <v>0</v>
      </c>
      <c r="ET38" s="7">
        <f>'AS400'!EQ38</f>
        <v>8</v>
      </c>
      <c r="EV38" s="7">
        <f>'AS400'!ER38</f>
        <v>53</v>
      </c>
      <c r="EW38" s="7">
        <f>'AS400'!ES38</f>
        <v>0</v>
      </c>
      <c r="EX38" s="7">
        <f>'AS400'!ET38</f>
        <v>0</v>
      </c>
      <c r="EY38" s="7">
        <f>'AS400'!EU38</f>
        <v>0</v>
      </c>
      <c r="EZ38" s="7">
        <f>'AS400'!EV38</f>
        <v>0</v>
      </c>
      <c r="FA38" s="7">
        <f>'AS400'!EW38</f>
        <v>0</v>
      </c>
      <c r="FB38" s="7">
        <f>'AS400'!EX38</f>
        <v>0</v>
      </c>
      <c r="FC38" s="7">
        <f>'AS400'!EY38</f>
        <v>0</v>
      </c>
      <c r="FD38" s="7">
        <f>'AS400'!EZ38</f>
        <v>0</v>
      </c>
      <c r="FE38" s="7">
        <f>'AS400'!FA38</f>
        <v>0</v>
      </c>
      <c r="FF38" s="7">
        <f>'AS400'!FB38</f>
        <v>0</v>
      </c>
      <c r="FG38" s="7">
        <f>'AS400'!FC38</f>
        <v>0</v>
      </c>
      <c r="FH38" s="7">
        <f>'AS400'!FD38</f>
        <v>0</v>
      </c>
      <c r="FI38" s="7">
        <f>'AS400'!FE38</f>
        <v>0</v>
      </c>
      <c r="FJ38" s="7">
        <f>'AS400'!FF38</f>
        <v>0</v>
      </c>
      <c r="FK38" s="7">
        <f>'AS400'!FG38</f>
        <v>0</v>
      </c>
      <c r="FL38" s="7">
        <f>'AS400'!FH38</f>
        <v>0</v>
      </c>
      <c r="FM38" s="7">
        <f>'AS400'!FI38</f>
        <v>1</v>
      </c>
      <c r="FN38" s="7">
        <f>'AS400'!FJ38</f>
        <v>1</v>
      </c>
      <c r="FO38" s="7">
        <f>'AS400'!FO38</f>
        <v>0</v>
      </c>
      <c r="FP38" s="7">
        <f>'AS400'!FP38</f>
        <v>4</v>
      </c>
      <c r="FQ38" s="7">
        <f>'AS400'!FQ38</f>
        <v>1</v>
      </c>
      <c r="FR38" s="7">
        <f>'AS400'!FR38</f>
        <v>1</v>
      </c>
      <c r="FS38" s="13">
        <f>'AS400'!FO38</f>
        <v>0</v>
      </c>
    </row>
    <row r="39" spans="1:175">
      <c r="A39" s="7">
        <f>'AS400'!A39</f>
        <v>33</v>
      </c>
      <c r="B39" s="7">
        <f>'AS400'!B39</f>
        <v>20190301</v>
      </c>
      <c r="C39" s="7">
        <f>'AS400'!C39</f>
        <v>0</v>
      </c>
      <c r="D39" s="7" t="str">
        <f>'AS400'!D39</f>
        <v>N</v>
      </c>
      <c r="E39" s="7" t="str">
        <f>'AS400'!E39</f>
        <v>N</v>
      </c>
      <c r="F39" s="7" t="str">
        <f>'AS400'!F39</f>
        <v>Y</v>
      </c>
      <c r="G39" s="7">
        <f>'AS400'!G39</f>
        <v>0</v>
      </c>
      <c r="H39" s="14"/>
      <c r="I39" s="7" t="str">
        <f>'AS400'!I39</f>
        <v>RSA</v>
      </c>
      <c r="J39" s="7" t="str">
        <f>'AS400'!J39</f>
        <v>METR</v>
      </c>
      <c r="K39" s="7" t="str">
        <f>'AS400'!K39</f>
        <v>N</v>
      </c>
      <c r="L39" s="7">
        <f>'AS400'!L39</f>
        <v>4</v>
      </c>
      <c r="M39" s="8">
        <f>'AS400'!M39</f>
        <v>1</v>
      </c>
      <c r="N39" s="7">
        <f>'AS400'!N39</f>
        <v>1</v>
      </c>
      <c r="O39" s="7" t="str">
        <f>'AS400'!O39</f>
        <v>MFPA</v>
      </c>
      <c r="P39" s="7">
        <f>'AS400'!P39</f>
        <v>100</v>
      </c>
      <c r="Q39" s="7">
        <f>'AS400'!Q39</f>
        <v>20180301</v>
      </c>
      <c r="R39" s="7">
        <f>'AS400'!R39</f>
        <v>20180301</v>
      </c>
      <c r="S39" s="7" t="str">
        <f>'AS400'!S39</f>
        <v>M</v>
      </c>
      <c r="T39" s="7" t="str">
        <f>'AS400'!T39</f>
        <v>MN</v>
      </c>
      <c r="U39" s="7">
        <f>'AS400'!U39</f>
        <v>20190301</v>
      </c>
      <c r="V39" s="7">
        <f>'AS400'!V39</f>
        <v>6</v>
      </c>
      <c r="W39" s="7">
        <f>'AS400'!W39</f>
        <v>6</v>
      </c>
      <c r="X39" s="7" t="str">
        <f>'AS400'!X39</f>
        <v>MFIX</v>
      </c>
      <c r="Y39" s="7">
        <f>'AS400'!Y39</f>
        <v>0</v>
      </c>
      <c r="Z39" s="7" t="str">
        <f>'AS400'!Z39</f>
        <v>STLV</v>
      </c>
      <c r="AA39" s="7">
        <f>'AS400'!AA39</f>
        <v>818</v>
      </c>
      <c r="AB39" s="7">
        <f>'AS400'!AB39</f>
        <v>0</v>
      </c>
      <c r="AC39" s="7">
        <f>'AS400'!AC39</f>
        <v>12</v>
      </c>
      <c r="AD39" s="7">
        <f>'AS400'!AD39</f>
        <v>20180201</v>
      </c>
      <c r="AE39" s="7">
        <f>'AS400'!AE39</f>
        <v>0</v>
      </c>
      <c r="AF39" s="7">
        <f>'AS400'!AF39</f>
        <v>10000</v>
      </c>
      <c r="AG39" s="7">
        <f>'AS400'!AG39</f>
        <v>100</v>
      </c>
      <c r="AI39" s="7">
        <f>'AS400'!AH39</f>
        <v>52</v>
      </c>
      <c r="AJ39" s="7">
        <f>'AS400'!AI39</f>
        <v>0</v>
      </c>
      <c r="AK39" s="7">
        <f>'AS400'!AJ39</f>
        <v>0</v>
      </c>
      <c r="AL39" s="7">
        <f>'AS400'!AK39</f>
        <v>0</v>
      </c>
      <c r="AM39" s="7">
        <f>'AS400'!AL39</f>
        <v>0</v>
      </c>
      <c r="AN39" s="7">
        <f>'AS400'!AM39</f>
        <v>0</v>
      </c>
      <c r="AO39" s="7">
        <f>'AS400'!AN39</f>
        <v>0</v>
      </c>
      <c r="AP39" s="7">
        <f>'AS400'!AO39</f>
        <v>0</v>
      </c>
      <c r="AQ39" s="7">
        <f>'AS400'!AP39</f>
        <v>0</v>
      </c>
      <c r="AR39" s="7">
        <f>'AS400'!AQ39</f>
        <v>0</v>
      </c>
      <c r="AS39" s="7">
        <f>'AS400'!AR39</f>
        <v>0</v>
      </c>
      <c r="AT39" s="7">
        <f>'AS400'!AS39</f>
        <v>0</v>
      </c>
      <c r="AU39" s="7">
        <f>'AS400'!AT39</f>
        <v>0</v>
      </c>
      <c r="AV39" s="7">
        <f>'AS400'!AU39</f>
        <v>0</v>
      </c>
      <c r="AW39" s="7">
        <f>'AS400'!AV39</f>
        <v>0</v>
      </c>
      <c r="AX39" s="7">
        <f>'AS400'!AW39</f>
        <v>0</v>
      </c>
      <c r="AY39" s="7">
        <f>'AS400'!AX39</f>
        <v>0</v>
      </c>
      <c r="AZ39" s="8">
        <f>'AS400'!AY39</f>
        <v>1</v>
      </c>
      <c r="BA39" s="7">
        <f>'AS400'!AZ39</f>
        <v>2</v>
      </c>
      <c r="BB39" s="7" t="str">
        <f>'AS400'!BA39</f>
        <v>PURO</v>
      </c>
      <c r="BC39" s="7">
        <f>'AS400'!BB39</f>
        <v>100</v>
      </c>
      <c r="BD39" s="7">
        <f>'AS400'!BC39</f>
        <v>20180301</v>
      </c>
      <c r="BE39" s="7">
        <f>'AS400'!BD39</f>
        <v>20180301</v>
      </c>
      <c r="BF39" s="7" t="str">
        <f>'AS400'!BE39</f>
        <v>S</v>
      </c>
      <c r="BG39" s="7" t="str">
        <f>'AS400'!BF39</f>
        <v>ME</v>
      </c>
      <c r="BH39" s="7">
        <f>'AS400'!BG39</f>
        <v>20180301</v>
      </c>
      <c r="BI39" s="7">
        <f>'AS400'!BH39</f>
        <v>0</v>
      </c>
      <c r="BJ39" s="7">
        <f>'AS400'!BI39</f>
        <v>0</v>
      </c>
      <c r="BK39" s="7">
        <f>'AS400'!BJ39</f>
        <v>0</v>
      </c>
      <c r="BL39" s="7">
        <f>'AS400'!BK39</f>
        <v>0</v>
      </c>
      <c r="BM39" s="7" t="str">
        <f>'AS400'!BL39</f>
        <v>STLV</v>
      </c>
      <c r="BN39" s="7">
        <f>'AS400'!BM39</f>
        <v>818</v>
      </c>
      <c r="BO39" s="7">
        <f>'AS400'!BN39</f>
        <v>0</v>
      </c>
      <c r="BP39" s="7">
        <f>'AS400'!BO39</f>
        <v>12</v>
      </c>
      <c r="BQ39" s="7">
        <f>'AS400'!BP39</f>
        <v>20180201</v>
      </c>
      <c r="BR39" s="7">
        <f>'AS400'!BQ39</f>
        <v>0</v>
      </c>
      <c r="BS39" s="7">
        <f>'AS400'!BR39</f>
        <v>0</v>
      </c>
      <c r="BT39" s="7">
        <f>'AS400'!BS39</f>
        <v>7</v>
      </c>
      <c r="BV39" s="7">
        <f>'AS400'!BT39</f>
        <v>52</v>
      </c>
      <c r="BW39" s="7">
        <f>'AS400'!BU39</f>
        <v>0</v>
      </c>
      <c r="BX39" s="7">
        <f>'AS400'!BV39</f>
        <v>0</v>
      </c>
      <c r="BY39" s="7">
        <f>'AS400'!BW39</f>
        <v>0</v>
      </c>
      <c r="BZ39" s="7">
        <f>'AS400'!BX39</f>
        <v>0</v>
      </c>
      <c r="CA39" s="7">
        <f>'AS400'!BY39</f>
        <v>0</v>
      </c>
      <c r="CB39" s="7">
        <f>'AS400'!BZ39</f>
        <v>0</v>
      </c>
      <c r="CC39" s="7">
        <f>'AS400'!CA39</f>
        <v>0</v>
      </c>
      <c r="CD39" s="7">
        <f>'AS400'!CB39</f>
        <v>0</v>
      </c>
      <c r="CE39" s="7">
        <f>'AS400'!CC39</f>
        <v>0</v>
      </c>
      <c r="CF39" s="7">
        <f>'AS400'!CD39</f>
        <v>0</v>
      </c>
      <c r="CG39" s="7">
        <f>'AS400'!CE39</f>
        <v>0</v>
      </c>
      <c r="CH39" s="7">
        <f>'AS400'!CF39</f>
        <v>0</v>
      </c>
      <c r="CI39" s="7">
        <f>'AS400'!CG39</f>
        <v>0</v>
      </c>
      <c r="CJ39" s="7">
        <f>'AS400'!CH39</f>
        <v>0</v>
      </c>
      <c r="CK39" s="7">
        <f>'AS400'!CI39</f>
        <v>0</v>
      </c>
      <c r="CL39" s="7">
        <f>'AS400'!CJ39</f>
        <v>0</v>
      </c>
      <c r="CM39" s="8">
        <f>'AS400'!CK39</f>
        <v>1</v>
      </c>
      <c r="CN39" s="7">
        <f>'AS400'!CL39</f>
        <v>3</v>
      </c>
      <c r="CO39" s="7" t="str">
        <f>'AS400'!CM39</f>
        <v>PUDT</v>
      </c>
      <c r="CP39" s="7">
        <f>'AS400'!CN39</f>
        <v>100</v>
      </c>
      <c r="CQ39" s="7">
        <f>'AS400'!CO39</f>
        <v>20180301</v>
      </c>
      <c r="CR39" s="7">
        <f>'AS400'!CP39</f>
        <v>20180301</v>
      </c>
      <c r="CS39" s="7" t="str">
        <f>'AS400'!CQ39</f>
        <v>S</v>
      </c>
      <c r="CT39" s="7" t="str">
        <f>'AS400'!CR39</f>
        <v>MT</v>
      </c>
      <c r="CU39" s="7">
        <f>'AS400'!CS39</f>
        <v>20180301</v>
      </c>
      <c r="CV39" s="7">
        <f>'AS400'!CT39</f>
        <v>0</v>
      </c>
      <c r="CW39" s="7">
        <f>'AS400'!CU39</f>
        <v>0</v>
      </c>
      <c r="CX39" s="7">
        <f>'AS400'!CV39</f>
        <v>0</v>
      </c>
      <c r="CY39" s="7">
        <f>'AS400'!CW39</f>
        <v>0</v>
      </c>
      <c r="CZ39" s="7" t="str">
        <f>'AS400'!CX39</f>
        <v>STLV</v>
      </c>
      <c r="DA39" s="7">
        <f>'AS400'!CY39</f>
        <v>818</v>
      </c>
      <c r="DB39" s="7">
        <f>'AS400'!CZ39</f>
        <v>0</v>
      </c>
      <c r="DC39" s="7">
        <f>'AS400'!DA39</f>
        <v>12</v>
      </c>
      <c r="DD39" s="7">
        <f>'AS400'!DB39</f>
        <v>20180201</v>
      </c>
      <c r="DE39" s="7">
        <f>'AS400'!DC39</f>
        <v>0</v>
      </c>
      <c r="DF39" s="7">
        <f>'AS400'!DD39</f>
        <v>0</v>
      </c>
      <c r="DG39" s="7">
        <f>'AS400'!DE39</f>
        <v>16</v>
      </c>
      <c r="DI39" s="7">
        <f>'AS400'!DF39</f>
        <v>52</v>
      </c>
      <c r="DJ39" s="7">
        <f>'AS400'!DG39</f>
        <v>0</v>
      </c>
      <c r="DK39" s="7">
        <f>'AS400'!DH39</f>
        <v>0</v>
      </c>
      <c r="DL39" s="7">
        <f>'AS400'!DI39</f>
        <v>0</v>
      </c>
      <c r="DM39" s="7">
        <f>'AS400'!DJ39</f>
        <v>0</v>
      </c>
      <c r="DN39" s="7">
        <f>'AS400'!DK39</f>
        <v>0</v>
      </c>
      <c r="DO39" s="7">
        <f>'AS400'!DL39</f>
        <v>0</v>
      </c>
      <c r="DP39" s="7">
        <f>'AS400'!DM39</f>
        <v>0</v>
      </c>
      <c r="DQ39" s="7">
        <f>'AS400'!DN39</f>
        <v>0</v>
      </c>
      <c r="DR39" s="7">
        <f>'AS400'!DO39</f>
        <v>0</v>
      </c>
      <c r="DS39" s="7">
        <f>'AS400'!DP39</f>
        <v>0</v>
      </c>
      <c r="DT39" s="7">
        <f>'AS400'!DQ39</f>
        <v>0</v>
      </c>
      <c r="DU39" s="7">
        <f>'AS400'!DR39</f>
        <v>0</v>
      </c>
      <c r="DV39" s="7">
        <f>'AS400'!DS39</f>
        <v>0</v>
      </c>
      <c r="DW39" s="7">
        <f>'AS400'!DT39</f>
        <v>0</v>
      </c>
      <c r="DX39" s="7">
        <f>'AS400'!DU39</f>
        <v>0</v>
      </c>
      <c r="DY39" s="7">
        <f>'AS400'!DV39</f>
        <v>0</v>
      </c>
      <c r="DZ39" s="8">
        <f>'AS400'!DW39</f>
        <v>1</v>
      </c>
      <c r="EA39" s="7">
        <f>'AS400'!DX39</f>
        <v>4</v>
      </c>
      <c r="EB39" s="7" t="str">
        <f>'AS400'!DY39</f>
        <v>PUDS</v>
      </c>
      <c r="EC39" s="7">
        <f>'AS400'!DZ39</f>
        <v>100</v>
      </c>
      <c r="ED39" s="7">
        <f>'AS400'!EA39</f>
        <v>20180301</v>
      </c>
      <c r="EE39" s="7">
        <f>'AS400'!EB39</f>
        <v>20180301</v>
      </c>
      <c r="EF39" s="7" t="str">
        <f>'AS400'!EC39</f>
        <v>S</v>
      </c>
      <c r="EG39" s="7" t="str">
        <f>'AS400'!ED39</f>
        <v>MS</v>
      </c>
      <c r="EH39" s="7">
        <f>'AS400'!EE39</f>
        <v>20180301</v>
      </c>
      <c r="EI39" s="7">
        <f>'AS400'!EF39</f>
        <v>0</v>
      </c>
      <c r="EJ39" s="7">
        <f>'AS400'!EG39</f>
        <v>0</v>
      </c>
      <c r="EK39" s="7">
        <f>'AS400'!EH39</f>
        <v>0</v>
      </c>
      <c r="EL39" s="7">
        <f>'AS400'!EI39</f>
        <v>0</v>
      </c>
      <c r="EM39" s="7" t="str">
        <f>'AS400'!EJ39</f>
        <v>STLV</v>
      </c>
      <c r="EN39" s="7">
        <f>'AS400'!EK39</f>
        <v>818</v>
      </c>
      <c r="EO39" s="7">
        <f>'AS400'!EL39</f>
        <v>0</v>
      </c>
      <c r="EP39" s="7">
        <f>'AS400'!EM39</f>
        <v>12</v>
      </c>
      <c r="EQ39" s="7">
        <f>'AS400'!EN39</f>
        <v>20180201</v>
      </c>
      <c r="ER39" s="7">
        <f>'AS400'!EO39</f>
        <v>0</v>
      </c>
      <c r="ES39" s="7">
        <f>'AS400'!EP39</f>
        <v>0</v>
      </c>
      <c r="ET39" s="7">
        <f>'AS400'!EQ39</f>
        <v>8</v>
      </c>
      <c r="EV39" s="7">
        <f>'AS400'!ER39</f>
        <v>52</v>
      </c>
      <c r="EW39" s="7">
        <f>'AS400'!ES39</f>
        <v>0</v>
      </c>
      <c r="EX39" s="7">
        <f>'AS400'!ET39</f>
        <v>0</v>
      </c>
      <c r="EY39" s="7">
        <f>'AS400'!EU39</f>
        <v>0</v>
      </c>
      <c r="EZ39" s="7">
        <f>'AS400'!EV39</f>
        <v>0</v>
      </c>
      <c r="FA39" s="7">
        <f>'AS400'!EW39</f>
        <v>0</v>
      </c>
      <c r="FB39" s="7">
        <f>'AS400'!EX39</f>
        <v>0</v>
      </c>
      <c r="FC39" s="7">
        <f>'AS400'!EY39</f>
        <v>0</v>
      </c>
      <c r="FD39" s="7">
        <f>'AS400'!EZ39</f>
        <v>0</v>
      </c>
      <c r="FE39" s="7">
        <f>'AS400'!FA39</f>
        <v>0</v>
      </c>
      <c r="FF39" s="7">
        <f>'AS400'!FB39</f>
        <v>0</v>
      </c>
      <c r="FG39" s="7">
        <f>'AS400'!FC39</f>
        <v>0</v>
      </c>
      <c r="FH39" s="7">
        <f>'AS400'!FD39</f>
        <v>0</v>
      </c>
      <c r="FI39" s="7">
        <f>'AS400'!FE39</f>
        <v>0</v>
      </c>
      <c r="FJ39" s="7">
        <f>'AS400'!FF39</f>
        <v>0</v>
      </c>
      <c r="FK39" s="7">
        <f>'AS400'!FG39</f>
        <v>0</v>
      </c>
      <c r="FL39" s="7">
        <f>'AS400'!FH39</f>
        <v>0</v>
      </c>
      <c r="FM39" s="7">
        <f>'AS400'!FI39</f>
        <v>1</v>
      </c>
      <c r="FN39" s="7">
        <f>'AS400'!FJ39</f>
        <v>1</v>
      </c>
      <c r="FO39" s="7">
        <f>'AS400'!FO39</f>
        <v>0</v>
      </c>
      <c r="FP39" s="7">
        <f>'AS400'!FP39</f>
        <v>4</v>
      </c>
      <c r="FQ39" s="7">
        <f>'AS400'!FQ39</f>
        <v>1</v>
      </c>
      <c r="FR39" s="7">
        <f>'AS400'!FR39</f>
        <v>1</v>
      </c>
      <c r="FS39" s="13">
        <f>'AS400'!FO39</f>
        <v>0</v>
      </c>
    </row>
    <row r="40" spans="1:175">
      <c r="A40" s="7">
        <f>'AS400'!A40</f>
        <v>34</v>
      </c>
      <c r="B40" s="7">
        <f>'AS400'!B40</f>
        <v>20190301</v>
      </c>
      <c r="C40" s="7">
        <f>'AS400'!C40</f>
        <v>0</v>
      </c>
      <c r="D40" s="7" t="str">
        <f>'AS400'!D40</f>
        <v>N</v>
      </c>
      <c r="E40" s="7" t="str">
        <f>'AS400'!E40</f>
        <v>N</v>
      </c>
      <c r="F40" s="7" t="str">
        <f>'AS400'!F40</f>
        <v>Y</v>
      </c>
      <c r="G40" s="7">
        <f>'AS400'!G40</f>
        <v>0</v>
      </c>
      <c r="H40" s="14"/>
      <c r="I40" s="7" t="str">
        <f>'AS400'!I40</f>
        <v>RSA</v>
      </c>
      <c r="J40" s="7" t="str">
        <f>'AS400'!J40</f>
        <v>METR</v>
      </c>
      <c r="K40" s="7" t="str">
        <f>'AS400'!K40</f>
        <v>N</v>
      </c>
      <c r="L40" s="7">
        <f>'AS400'!L40</f>
        <v>4</v>
      </c>
      <c r="M40" s="8">
        <f>'AS400'!M40</f>
        <v>1</v>
      </c>
      <c r="N40" s="7">
        <f>'AS400'!N40</f>
        <v>1</v>
      </c>
      <c r="O40" s="7" t="str">
        <f>'AS400'!O40</f>
        <v>MFPA</v>
      </c>
      <c r="P40" s="7">
        <f>'AS400'!P40</f>
        <v>100</v>
      </c>
      <c r="Q40" s="7">
        <f>'AS400'!Q40</f>
        <v>20180301</v>
      </c>
      <c r="R40" s="7">
        <f>'AS400'!R40</f>
        <v>20180301</v>
      </c>
      <c r="S40" s="7" t="str">
        <f>'AS400'!S40</f>
        <v>M</v>
      </c>
      <c r="T40" s="7" t="str">
        <f>'AS400'!T40</f>
        <v>MN</v>
      </c>
      <c r="U40" s="7">
        <f>'AS400'!U40</f>
        <v>20190301</v>
      </c>
      <c r="V40" s="7">
        <f>'AS400'!V40</f>
        <v>6</v>
      </c>
      <c r="W40" s="7">
        <f>'AS400'!W40</f>
        <v>6</v>
      </c>
      <c r="X40" s="7" t="str">
        <f>'AS400'!X40</f>
        <v>MFIX</v>
      </c>
      <c r="Y40" s="7">
        <f>'AS400'!Y40</f>
        <v>0</v>
      </c>
      <c r="Z40" s="7" t="str">
        <f>'AS400'!Z40</f>
        <v>STLV</v>
      </c>
      <c r="AA40" s="7">
        <f>'AS400'!AA40</f>
        <v>818</v>
      </c>
      <c r="AB40" s="7">
        <f>'AS400'!AB40</f>
        <v>0</v>
      </c>
      <c r="AC40" s="7">
        <f>'AS400'!AC40</f>
        <v>12</v>
      </c>
      <c r="AD40" s="7">
        <f>'AS400'!AD40</f>
        <v>20180201</v>
      </c>
      <c r="AE40" s="7">
        <f>'AS400'!AE40</f>
        <v>0</v>
      </c>
      <c r="AF40" s="7">
        <f>'AS400'!AF40</f>
        <v>15000</v>
      </c>
      <c r="AG40" s="7">
        <f>'AS400'!AG40</f>
        <v>122</v>
      </c>
      <c r="AI40" s="7">
        <f>'AS400'!AH40</f>
        <v>51</v>
      </c>
      <c r="AJ40" s="7">
        <f>'AS400'!AI40</f>
        <v>0</v>
      </c>
      <c r="AK40" s="7">
        <f>'AS400'!AJ40</f>
        <v>0</v>
      </c>
      <c r="AL40" s="7">
        <f>'AS400'!AK40</f>
        <v>0</v>
      </c>
      <c r="AM40" s="7">
        <f>'AS400'!AL40</f>
        <v>0</v>
      </c>
      <c r="AN40" s="7">
        <f>'AS400'!AM40</f>
        <v>0</v>
      </c>
      <c r="AO40" s="7">
        <f>'AS400'!AN40</f>
        <v>0</v>
      </c>
      <c r="AP40" s="7">
        <f>'AS400'!AO40</f>
        <v>0</v>
      </c>
      <c r="AQ40" s="7">
        <f>'AS400'!AP40</f>
        <v>0</v>
      </c>
      <c r="AR40" s="7">
        <f>'AS400'!AQ40</f>
        <v>0</v>
      </c>
      <c r="AS40" s="7">
        <f>'AS400'!AR40</f>
        <v>0</v>
      </c>
      <c r="AT40" s="7">
        <f>'AS400'!AS40</f>
        <v>0</v>
      </c>
      <c r="AU40" s="7">
        <f>'AS400'!AT40</f>
        <v>0</v>
      </c>
      <c r="AV40" s="7">
        <f>'AS400'!AU40</f>
        <v>0</v>
      </c>
      <c r="AW40" s="7">
        <f>'AS400'!AV40</f>
        <v>0</v>
      </c>
      <c r="AX40" s="7">
        <f>'AS400'!AW40</f>
        <v>0</v>
      </c>
      <c r="AY40" s="7">
        <f>'AS400'!AX40</f>
        <v>0</v>
      </c>
      <c r="AZ40" s="8">
        <f>'AS400'!AY40</f>
        <v>1</v>
      </c>
      <c r="BA40" s="7">
        <f>'AS400'!AZ40</f>
        <v>2</v>
      </c>
      <c r="BB40" s="7" t="str">
        <f>'AS400'!BA40</f>
        <v>PURO</v>
      </c>
      <c r="BC40" s="7">
        <f>'AS400'!BB40</f>
        <v>100</v>
      </c>
      <c r="BD40" s="7">
        <f>'AS400'!BC40</f>
        <v>20180301</v>
      </c>
      <c r="BE40" s="7">
        <f>'AS400'!BD40</f>
        <v>20180301</v>
      </c>
      <c r="BF40" s="7" t="str">
        <f>'AS400'!BE40</f>
        <v>S</v>
      </c>
      <c r="BG40" s="7" t="str">
        <f>'AS400'!BF40</f>
        <v>ME</v>
      </c>
      <c r="BH40" s="7">
        <f>'AS400'!BG40</f>
        <v>20180301</v>
      </c>
      <c r="BI40" s="7">
        <f>'AS400'!BH40</f>
        <v>0</v>
      </c>
      <c r="BJ40" s="7">
        <f>'AS400'!BI40</f>
        <v>0</v>
      </c>
      <c r="BK40" s="7">
        <f>'AS400'!BJ40</f>
        <v>0</v>
      </c>
      <c r="BL40" s="7">
        <f>'AS400'!BK40</f>
        <v>0</v>
      </c>
      <c r="BM40" s="7" t="str">
        <f>'AS400'!BL40</f>
        <v>STLV</v>
      </c>
      <c r="BN40" s="7">
        <f>'AS400'!BM40</f>
        <v>818</v>
      </c>
      <c r="BO40" s="7">
        <f>'AS400'!BN40</f>
        <v>0</v>
      </c>
      <c r="BP40" s="7">
        <f>'AS400'!BO40</f>
        <v>12</v>
      </c>
      <c r="BQ40" s="7">
        <f>'AS400'!BP40</f>
        <v>20180201</v>
      </c>
      <c r="BR40" s="7">
        <f>'AS400'!BQ40</f>
        <v>0</v>
      </c>
      <c r="BS40" s="7">
        <f>'AS400'!BR40</f>
        <v>0</v>
      </c>
      <c r="BT40" s="7">
        <f>'AS400'!BS40</f>
        <v>8</v>
      </c>
      <c r="BV40" s="7">
        <f>'AS400'!BT40</f>
        <v>51</v>
      </c>
      <c r="BW40" s="7">
        <f>'AS400'!BU40</f>
        <v>0</v>
      </c>
      <c r="BX40" s="7">
        <f>'AS400'!BV40</f>
        <v>0</v>
      </c>
      <c r="BY40" s="7">
        <f>'AS400'!BW40</f>
        <v>0</v>
      </c>
      <c r="BZ40" s="7">
        <f>'AS400'!BX40</f>
        <v>0</v>
      </c>
      <c r="CA40" s="7">
        <f>'AS400'!BY40</f>
        <v>0</v>
      </c>
      <c r="CB40" s="7">
        <f>'AS400'!BZ40</f>
        <v>0</v>
      </c>
      <c r="CC40" s="7">
        <f>'AS400'!CA40</f>
        <v>0</v>
      </c>
      <c r="CD40" s="7">
        <f>'AS400'!CB40</f>
        <v>0</v>
      </c>
      <c r="CE40" s="7">
        <f>'AS400'!CC40</f>
        <v>0</v>
      </c>
      <c r="CF40" s="7">
        <f>'AS400'!CD40</f>
        <v>0</v>
      </c>
      <c r="CG40" s="7">
        <f>'AS400'!CE40</f>
        <v>0</v>
      </c>
      <c r="CH40" s="7">
        <f>'AS400'!CF40</f>
        <v>0</v>
      </c>
      <c r="CI40" s="7">
        <f>'AS400'!CG40</f>
        <v>0</v>
      </c>
      <c r="CJ40" s="7">
        <f>'AS400'!CH40</f>
        <v>0</v>
      </c>
      <c r="CK40" s="7">
        <f>'AS400'!CI40</f>
        <v>0</v>
      </c>
      <c r="CL40" s="7">
        <f>'AS400'!CJ40</f>
        <v>0</v>
      </c>
      <c r="CM40" s="8">
        <f>'AS400'!CK40</f>
        <v>1</v>
      </c>
      <c r="CN40" s="7">
        <f>'AS400'!CL40</f>
        <v>3</v>
      </c>
      <c r="CO40" s="7" t="str">
        <f>'AS400'!CM40</f>
        <v>PUDT</v>
      </c>
      <c r="CP40" s="7">
        <f>'AS400'!CN40</f>
        <v>100</v>
      </c>
      <c r="CQ40" s="7">
        <f>'AS400'!CO40</f>
        <v>20180301</v>
      </c>
      <c r="CR40" s="7">
        <f>'AS400'!CP40</f>
        <v>20180301</v>
      </c>
      <c r="CS40" s="7" t="str">
        <f>'AS400'!CQ40</f>
        <v>S</v>
      </c>
      <c r="CT40" s="7" t="str">
        <f>'AS400'!CR40</f>
        <v>MT</v>
      </c>
      <c r="CU40" s="7">
        <f>'AS400'!CS40</f>
        <v>20180301</v>
      </c>
      <c r="CV40" s="7">
        <f>'AS400'!CT40</f>
        <v>0</v>
      </c>
      <c r="CW40" s="7">
        <f>'AS400'!CU40</f>
        <v>0</v>
      </c>
      <c r="CX40" s="7">
        <f>'AS400'!CV40</f>
        <v>0</v>
      </c>
      <c r="CY40" s="7">
        <f>'AS400'!CW40</f>
        <v>0</v>
      </c>
      <c r="CZ40" s="7" t="str">
        <f>'AS400'!CX40</f>
        <v>STLV</v>
      </c>
      <c r="DA40" s="7">
        <f>'AS400'!CY40</f>
        <v>818</v>
      </c>
      <c r="DB40" s="7">
        <f>'AS400'!CZ40</f>
        <v>0</v>
      </c>
      <c r="DC40" s="7">
        <f>'AS400'!DA40</f>
        <v>12</v>
      </c>
      <c r="DD40" s="7">
        <f>'AS400'!DB40</f>
        <v>20180201</v>
      </c>
      <c r="DE40" s="7">
        <f>'AS400'!DC40</f>
        <v>0</v>
      </c>
      <c r="DF40" s="7">
        <f>'AS400'!DD40</f>
        <v>0</v>
      </c>
      <c r="DG40" s="7">
        <f>'AS400'!DE40</f>
        <v>18</v>
      </c>
      <c r="DI40" s="7">
        <f>'AS400'!DF40</f>
        <v>51</v>
      </c>
      <c r="DJ40" s="7">
        <f>'AS400'!DG40</f>
        <v>0</v>
      </c>
      <c r="DK40" s="7">
        <f>'AS400'!DH40</f>
        <v>0</v>
      </c>
      <c r="DL40" s="7">
        <f>'AS400'!DI40</f>
        <v>0</v>
      </c>
      <c r="DM40" s="7">
        <f>'AS400'!DJ40</f>
        <v>0</v>
      </c>
      <c r="DN40" s="7">
        <f>'AS400'!DK40</f>
        <v>0</v>
      </c>
      <c r="DO40" s="7">
        <f>'AS400'!DL40</f>
        <v>0</v>
      </c>
      <c r="DP40" s="7">
        <f>'AS400'!DM40</f>
        <v>0</v>
      </c>
      <c r="DQ40" s="7">
        <f>'AS400'!DN40</f>
        <v>0</v>
      </c>
      <c r="DR40" s="7">
        <f>'AS400'!DO40</f>
        <v>0</v>
      </c>
      <c r="DS40" s="7">
        <f>'AS400'!DP40</f>
        <v>0</v>
      </c>
      <c r="DT40" s="7">
        <f>'AS400'!DQ40</f>
        <v>0</v>
      </c>
      <c r="DU40" s="7">
        <f>'AS400'!DR40</f>
        <v>0</v>
      </c>
      <c r="DV40" s="7">
        <f>'AS400'!DS40</f>
        <v>0</v>
      </c>
      <c r="DW40" s="7">
        <f>'AS400'!DT40</f>
        <v>0</v>
      </c>
      <c r="DX40" s="7">
        <f>'AS400'!DU40</f>
        <v>0</v>
      </c>
      <c r="DY40" s="7">
        <f>'AS400'!DV40</f>
        <v>0</v>
      </c>
      <c r="DZ40" s="8">
        <f>'AS400'!DW40</f>
        <v>1</v>
      </c>
      <c r="EA40" s="7">
        <f>'AS400'!DX40</f>
        <v>4</v>
      </c>
      <c r="EB40" s="7" t="str">
        <f>'AS400'!DY40</f>
        <v>PUDS</v>
      </c>
      <c r="EC40" s="7">
        <f>'AS400'!DZ40</f>
        <v>100</v>
      </c>
      <c r="ED40" s="7">
        <f>'AS400'!EA40</f>
        <v>20180301</v>
      </c>
      <c r="EE40" s="7">
        <f>'AS400'!EB40</f>
        <v>20180301</v>
      </c>
      <c r="EF40" s="7" t="str">
        <f>'AS400'!EC40</f>
        <v>S</v>
      </c>
      <c r="EG40" s="7" t="str">
        <f>'AS400'!ED40</f>
        <v>MS</v>
      </c>
      <c r="EH40" s="7">
        <f>'AS400'!EE40</f>
        <v>20180301</v>
      </c>
      <c r="EI40" s="7">
        <f>'AS400'!EF40</f>
        <v>0</v>
      </c>
      <c r="EJ40" s="7">
        <f>'AS400'!EG40</f>
        <v>0</v>
      </c>
      <c r="EK40" s="7">
        <f>'AS400'!EH40</f>
        <v>0</v>
      </c>
      <c r="EL40" s="7">
        <f>'AS400'!EI40</f>
        <v>0</v>
      </c>
      <c r="EM40" s="7" t="str">
        <f>'AS400'!EJ40</f>
        <v>STLV</v>
      </c>
      <c r="EN40" s="7">
        <f>'AS400'!EK40</f>
        <v>818</v>
      </c>
      <c r="EO40" s="7">
        <f>'AS400'!EL40</f>
        <v>0</v>
      </c>
      <c r="EP40" s="7">
        <f>'AS400'!EM40</f>
        <v>12</v>
      </c>
      <c r="EQ40" s="7">
        <f>'AS400'!EN40</f>
        <v>20180201</v>
      </c>
      <c r="ER40" s="7">
        <f>'AS400'!EO40</f>
        <v>0</v>
      </c>
      <c r="ES40" s="7">
        <f>'AS400'!EP40</f>
        <v>0</v>
      </c>
      <c r="ET40" s="7">
        <f>'AS400'!EQ40</f>
        <v>9</v>
      </c>
      <c r="EV40" s="7">
        <f>'AS400'!ER40</f>
        <v>51</v>
      </c>
      <c r="EW40" s="7">
        <f>'AS400'!ES40</f>
        <v>0</v>
      </c>
      <c r="EX40" s="7">
        <f>'AS400'!ET40</f>
        <v>0</v>
      </c>
      <c r="EY40" s="7">
        <f>'AS400'!EU40</f>
        <v>0</v>
      </c>
      <c r="EZ40" s="7">
        <f>'AS400'!EV40</f>
        <v>0</v>
      </c>
      <c r="FA40" s="7">
        <f>'AS400'!EW40</f>
        <v>0</v>
      </c>
      <c r="FB40" s="7">
        <f>'AS400'!EX40</f>
        <v>0</v>
      </c>
      <c r="FC40" s="7">
        <f>'AS400'!EY40</f>
        <v>0</v>
      </c>
      <c r="FD40" s="7">
        <f>'AS400'!EZ40</f>
        <v>0</v>
      </c>
      <c r="FE40" s="7">
        <f>'AS400'!FA40</f>
        <v>0</v>
      </c>
      <c r="FF40" s="7">
        <f>'AS400'!FB40</f>
        <v>0</v>
      </c>
      <c r="FG40" s="7">
        <f>'AS400'!FC40</f>
        <v>0</v>
      </c>
      <c r="FH40" s="7">
        <f>'AS400'!FD40</f>
        <v>0</v>
      </c>
      <c r="FI40" s="7">
        <f>'AS400'!FE40</f>
        <v>0</v>
      </c>
      <c r="FJ40" s="7">
        <f>'AS400'!FF40</f>
        <v>0</v>
      </c>
      <c r="FK40" s="7">
        <f>'AS400'!FG40</f>
        <v>0</v>
      </c>
      <c r="FL40" s="7">
        <f>'AS400'!FH40</f>
        <v>0</v>
      </c>
      <c r="FM40" s="7">
        <f>'AS400'!FI40</f>
        <v>1</v>
      </c>
      <c r="FN40" s="7">
        <f>'AS400'!FJ40</f>
        <v>1</v>
      </c>
      <c r="FO40" s="7">
        <f>'AS400'!FO40</f>
        <v>0</v>
      </c>
      <c r="FP40" s="7">
        <f>'AS400'!FP40</f>
        <v>4</v>
      </c>
      <c r="FQ40" s="7">
        <f>'AS400'!FQ40</f>
        <v>1</v>
      </c>
      <c r="FR40" s="7">
        <f>'AS400'!FR40</f>
        <v>1</v>
      </c>
      <c r="FS40" s="13">
        <f>'AS400'!FO40</f>
        <v>0</v>
      </c>
    </row>
    <row r="41" spans="1:175">
      <c r="A41" s="7">
        <f>'AS400'!A41</f>
        <v>35</v>
      </c>
      <c r="B41" s="7">
        <f>'AS400'!B41</f>
        <v>20190301</v>
      </c>
      <c r="C41" s="7">
        <f>'AS400'!C41</f>
        <v>0</v>
      </c>
      <c r="D41" s="7" t="str">
        <f>'AS400'!D41</f>
        <v>N</v>
      </c>
      <c r="E41" s="7" t="str">
        <f>'AS400'!E41</f>
        <v>N</v>
      </c>
      <c r="F41" s="7" t="str">
        <f>'AS400'!F41</f>
        <v>Y</v>
      </c>
      <c r="G41" s="7">
        <f>'AS400'!G41</f>
        <v>0</v>
      </c>
      <c r="H41" s="14"/>
      <c r="I41" s="7" t="str">
        <f>'AS400'!I41</f>
        <v>RSA</v>
      </c>
      <c r="J41" s="7" t="str">
        <f>'AS400'!J41</f>
        <v>METR</v>
      </c>
      <c r="K41" s="7" t="str">
        <f>'AS400'!K41</f>
        <v>N</v>
      </c>
      <c r="L41" s="7">
        <f>'AS400'!L41</f>
        <v>4</v>
      </c>
      <c r="M41" s="8">
        <f>'AS400'!M41</f>
        <v>1</v>
      </c>
      <c r="N41" s="7">
        <f>'AS400'!N41</f>
        <v>1</v>
      </c>
      <c r="O41" s="7" t="str">
        <f>'AS400'!O41</f>
        <v>MFPA</v>
      </c>
      <c r="P41" s="7">
        <f>'AS400'!P41</f>
        <v>100</v>
      </c>
      <c r="Q41" s="7">
        <f>'AS400'!Q41</f>
        <v>20180301</v>
      </c>
      <c r="R41" s="7">
        <f>'AS400'!R41</f>
        <v>20180301</v>
      </c>
      <c r="S41" s="7" t="str">
        <f>'AS400'!S41</f>
        <v>M</v>
      </c>
      <c r="T41" s="7" t="str">
        <f>'AS400'!T41</f>
        <v>MK</v>
      </c>
      <c r="U41" s="7">
        <f>'AS400'!U41</f>
        <v>20190301</v>
      </c>
      <c r="V41" s="7">
        <f>'AS400'!V41</f>
        <v>6</v>
      </c>
      <c r="W41" s="7">
        <f>'AS400'!W41</f>
        <v>6</v>
      </c>
      <c r="X41" s="7" t="str">
        <f>'AS400'!X41</f>
        <v>MFIX</v>
      </c>
      <c r="Y41" s="7">
        <f>'AS400'!Y41</f>
        <v>0</v>
      </c>
      <c r="Z41" s="7" t="str">
        <f>'AS400'!Z41</f>
        <v>STLV</v>
      </c>
      <c r="AA41" s="7">
        <f>'AS400'!AA41</f>
        <v>818</v>
      </c>
      <c r="AB41" s="7">
        <f>'AS400'!AB41</f>
        <v>0</v>
      </c>
      <c r="AC41" s="7">
        <f>'AS400'!AC41</f>
        <v>12</v>
      </c>
      <c r="AD41" s="7">
        <f>'AS400'!AD41</f>
        <v>20180201</v>
      </c>
      <c r="AE41" s="7">
        <f>'AS400'!AE41</f>
        <v>0</v>
      </c>
      <c r="AF41" s="7">
        <f>'AS400'!AF41</f>
        <v>20000</v>
      </c>
      <c r="AG41" s="7">
        <f>'AS400'!AG41</f>
        <v>122</v>
      </c>
      <c r="AI41" s="7">
        <f>'AS400'!AH41</f>
        <v>50</v>
      </c>
      <c r="AJ41" s="7">
        <f>'AS400'!AI41</f>
        <v>0</v>
      </c>
      <c r="AK41" s="7">
        <f>'AS400'!AJ41</f>
        <v>0</v>
      </c>
      <c r="AL41" s="7">
        <f>'AS400'!AK41</f>
        <v>0</v>
      </c>
      <c r="AM41" s="7">
        <f>'AS400'!AL41</f>
        <v>0</v>
      </c>
      <c r="AN41" s="7">
        <f>'AS400'!AM41</f>
        <v>0</v>
      </c>
      <c r="AO41" s="7">
        <f>'AS400'!AN41</f>
        <v>0</v>
      </c>
      <c r="AP41" s="7">
        <f>'AS400'!AO41</f>
        <v>0</v>
      </c>
      <c r="AQ41" s="7">
        <f>'AS400'!AP41</f>
        <v>0</v>
      </c>
      <c r="AR41" s="7">
        <f>'AS400'!AQ41</f>
        <v>0</v>
      </c>
      <c r="AS41" s="7">
        <f>'AS400'!AR41</f>
        <v>0</v>
      </c>
      <c r="AT41" s="7">
        <f>'AS400'!AS41</f>
        <v>0</v>
      </c>
      <c r="AU41" s="7">
        <f>'AS400'!AT41</f>
        <v>0</v>
      </c>
      <c r="AV41" s="7">
        <f>'AS400'!AU41</f>
        <v>0</v>
      </c>
      <c r="AW41" s="7">
        <f>'AS400'!AV41</f>
        <v>0</v>
      </c>
      <c r="AX41" s="7">
        <f>'AS400'!AW41</f>
        <v>0</v>
      </c>
      <c r="AY41" s="7">
        <f>'AS400'!AX41</f>
        <v>0</v>
      </c>
      <c r="AZ41" s="8">
        <f>'AS400'!AY41</f>
        <v>1</v>
      </c>
      <c r="BA41" s="7">
        <f>'AS400'!AZ41</f>
        <v>2</v>
      </c>
      <c r="BB41" s="7" t="str">
        <f>'AS400'!BA41</f>
        <v>PURO</v>
      </c>
      <c r="BC41" s="7">
        <f>'AS400'!BB41</f>
        <v>100</v>
      </c>
      <c r="BD41" s="7">
        <f>'AS400'!BC41</f>
        <v>20180301</v>
      </c>
      <c r="BE41" s="7">
        <f>'AS400'!BD41</f>
        <v>20180301</v>
      </c>
      <c r="BF41" s="7" t="str">
        <f>'AS400'!BE41</f>
        <v>S</v>
      </c>
      <c r="BG41" s="7" t="str">
        <f>'AS400'!BF41</f>
        <v>ME</v>
      </c>
      <c r="BH41" s="7">
        <f>'AS400'!BG41</f>
        <v>20180301</v>
      </c>
      <c r="BI41" s="7">
        <f>'AS400'!BH41</f>
        <v>0</v>
      </c>
      <c r="BJ41" s="7">
        <f>'AS400'!BI41</f>
        <v>0</v>
      </c>
      <c r="BK41" s="7">
        <f>'AS400'!BJ41</f>
        <v>0</v>
      </c>
      <c r="BL41" s="7">
        <f>'AS400'!BK41</f>
        <v>0</v>
      </c>
      <c r="BM41" s="7" t="str">
        <f>'AS400'!BL41</f>
        <v>STLV</v>
      </c>
      <c r="BN41" s="7">
        <f>'AS400'!BM41</f>
        <v>818</v>
      </c>
      <c r="BO41" s="7">
        <f>'AS400'!BN41</f>
        <v>0</v>
      </c>
      <c r="BP41" s="7">
        <f>'AS400'!BO41</f>
        <v>12</v>
      </c>
      <c r="BQ41" s="7">
        <f>'AS400'!BP41</f>
        <v>20180201</v>
      </c>
      <c r="BR41" s="7">
        <f>'AS400'!BQ41</f>
        <v>0</v>
      </c>
      <c r="BS41" s="7">
        <f>'AS400'!BR41</f>
        <v>0</v>
      </c>
      <c r="BT41" s="7">
        <f>'AS400'!BS41</f>
        <v>7</v>
      </c>
      <c r="BV41" s="7">
        <f>'AS400'!BT41</f>
        <v>50</v>
      </c>
      <c r="BW41" s="7">
        <f>'AS400'!BU41</f>
        <v>0</v>
      </c>
      <c r="BX41" s="7">
        <f>'AS400'!BV41</f>
        <v>0</v>
      </c>
      <c r="BY41" s="7">
        <f>'AS400'!BW41</f>
        <v>0</v>
      </c>
      <c r="BZ41" s="7">
        <f>'AS400'!BX41</f>
        <v>0</v>
      </c>
      <c r="CA41" s="7">
        <f>'AS400'!BY41</f>
        <v>0</v>
      </c>
      <c r="CB41" s="7">
        <f>'AS400'!BZ41</f>
        <v>0</v>
      </c>
      <c r="CC41" s="7">
        <f>'AS400'!CA41</f>
        <v>0</v>
      </c>
      <c r="CD41" s="7">
        <f>'AS400'!CB41</f>
        <v>0</v>
      </c>
      <c r="CE41" s="7">
        <f>'AS400'!CC41</f>
        <v>0</v>
      </c>
      <c r="CF41" s="7">
        <f>'AS400'!CD41</f>
        <v>0</v>
      </c>
      <c r="CG41" s="7">
        <f>'AS400'!CE41</f>
        <v>0</v>
      </c>
      <c r="CH41" s="7">
        <f>'AS400'!CF41</f>
        <v>0</v>
      </c>
      <c r="CI41" s="7">
        <f>'AS400'!CG41</f>
        <v>0</v>
      </c>
      <c r="CJ41" s="7">
        <f>'AS400'!CH41</f>
        <v>0</v>
      </c>
      <c r="CK41" s="7">
        <f>'AS400'!CI41</f>
        <v>0</v>
      </c>
      <c r="CL41" s="7">
        <f>'AS400'!CJ41</f>
        <v>0</v>
      </c>
      <c r="CM41" s="8">
        <f>'AS400'!CK41</f>
        <v>1</v>
      </c>
      <c r="CN41" s="7">
        <f>'AS400'!CL41</f>
        <v>3</v>
      </c>
      <c r="CO41" s="7" t="str">
        <f>'AS400'!CM41</f>
        <v>PUDT</v>
      </c>
      <c r="CP41" s="7">
        <f>'AS400'!CN41</f>
        <v>100</v>
      </c>
      <c r="CQ41" s="7">
        <f>'AS400'!CO41</f>
        <v>20180301</v>
      </c>
      <c r="CR41" s="7">
        <f>'AS400'!CP41</f>
        <v>20180301</v>
      </c>
      <c r="CS41" s="7" t="str">
        <f>'AS400'!CQ41</f>
        <v>S</v>
      </c>
      <c r="CT41" s="7" t="str">
        <f>'AS400'!CR41</f>
        <v>MT</v>
      </c>
      <c r="CU41" s="7">
        <f>'AS400'!CS41</f>
        <v>20180301</v>
      </c>
      <c r="CV41" s="7">
        <f>'AS400'!CT41</f>
        <v>0</v>
      </c>
      <c r="CW41" s="7">
        <f>'AS400'!CU41</f>
        <v>0</v>
      </c>
      <c r="CX41" s="7">
        <f>'AS400'!CV41</f>
        <v>0</v>
      </c>
      <c r="CY41" s="7">
        <f>'AS400'!CW41</f>
        <v>0</v>
      </c>
      <c r="CZ41" s="7" t="str">
        <f>'AS400'!CX41</f>
        <v>STLV</v>
      </c>
      <c r="DA41" s="7">
        <f>'AS400'!CY41</f>
        <v>818</v>
      </c>
      <c r="DB41" s="7">
        <f>'AS400'!CZ41</f>
        <v>0</v>
      </c>
      <c r="DC41" s="7">
        <f>'AS400'!DA41</f>
        <v>12</v>
      </c>
      <c r="DD41" s="7">
        <f>'AS400'!DB41</f>
        <v>20180201</v>
      </c>
      <c r="DE41" s="7">
        <f>'AS400'!DC41</f>
        <v>0</v>
      </c>
      <c r="DF41" s="7">
        <f>'AS400'!DD41</f>
        <v>0</v>
      </c>
      <c r="DG41" s="7">
        <f>'AS400'!DE41</f>
        <v>17</v>
      </c>
      <c r="DI41" s="7">
        <f>'AS400'!DF41</f>
        <v>50</v>
      </c>
      <c r="DJ41" s="7">
        <f>'AS400'!DG41</f>
        <v>0</v>
      </c>
      <c r="DK41" s="7">
        <f>'AS400'!DH41</f>
        <v>0</v>
      </c>
      <c r="DL41" s="7">
        <f>'AS400'!DI41</f>
        <v>0</v>
      </c>
      <c r="DM41" s="7">
        <f>'AS400'!DJ41</f>
        <v>0</v>
      </c>
      <c r="DN41" s="7">
        <f>'AS400'!DK41</f>
        <v>0</v>
      </c>
      <c r="DO41" s="7">
        <f>'AS400'!DL41</f>
        <v>0</v>
      </c>
      <c r="DP41" s="7">
        <f>'AS400'!DM41</f>
        <v>0</v>
      </c>
      <c r="DQ41" s="7">
        <f>'AS400'!DN41</f>
        <v>0</v>
      </c>
      <c r="DR41" s="7">
        <f>'AS400'!DO41</f>
        <v>0</v>
      </c>
      <c r="DS41" s="7">
        <f>'AS400'!DP41</f>
        <v>0</v>
      </c>
      <c r="DT41" s="7">
        <f>'AS400'!DQ41</f>
        <v>0</v>
      </c>
      <c r="DU41" s="7">
        <f>'AS400'!DR41</f>
        <v>0</v>
      </c>
      <c r="DV41" s="7">
        <f>'AS400'!DS41</f>
        <v>0</v>
      </c>
      <c r="DW41" s="7">
        <f>'AS400'!DT41</f>
        <v>0</v>
      </c>
      <c r="DX41" s="7">
        <f>'AS400'!DU41</f>
        <v>0</v>
      </c>
      <c r="DY41" s="7">
        <f>'AS400'!DV41</f>
        <v>0</v>
      </c>
      <c r="DZ41" s="8">
        <f>'AS400'!DW41</f>
        <v>1</v>
      </c>
      <c r="EA41" s="7">
        <f>'AS400'!DX41</f>
        <v>4</v>
      </c>
      <c r="EB41" s="7" t="str">
        <f>'AS400'!DY41</f>
        <v>PUDS</v>
      </c>
      <c r="EC41" s="7">
        <f>'AS400'!DZ41</f>
        <v>100</v>
      </c>
      <c r="ED41" s="7">
        <f>'AS400'!EA41</f>
        <v>20180301</v>
      </c>
      <c r="EE41" s="7">
        <f>'AS400'!EB41</f>
        <v>20180301</v>
      </c>
      <c r="EF41" s="7" t="str">
        <f>'AS400'!EC41</f>
        <v>S</v>
      </c>
      <c r="EG41" s="7" t="str">
        <f>'AS400'!ED41</f>
        <v>MS</v>
      </c>
      <c r="EH41" s="7">
        <f>'AS400'!EE41</f>
        <v>20180301</v>
      </c>
      <c r="EI41" s="7">
        <f>'AS400'!EF41</f>
        <v>0</v>
      </c>
      <c r="EJ41" s="7">
        <f>'AS400'!EG41</f>
        <v>0</v>
      </c>
      <c r="EK41" s="7">
        <f>'AS400'!EH41</f>
        <v>0</v>
      </c>
      <c r="EL41" s="7">
        <f>'AS400'!EI41</f>
        <v>0</v>
      </c>
      <c r="EM41" s="7" t="str">
        <f>'AS400'!EJ41</f>
        <v>STLV</v>
      </c>
      <c r="EN41" s="7">
        <f>'AS400'!EK41</f>
        <v>818</v>
      </c>
      <c r="EO41" s="7">
        <f>'AS400'!EL41</f>
        <v>0</v>
      </c>
      <c r="EP41" s="7">
        <f>'AS400'!EM41</f>
        <v>12</v>
      </c>
      <c r="EQ41" s="7">
        <f>'AS400'!EN41</f>
        <v>20180201</v>
      </c>
      <c r="ER41" s="7">
        <f>'AS400'!EO41</f>
        <v>0</v>
      </c>
      <c r="ES41" s="7">
        <f>'AS400'!EP41</f>
        <v>0</v>
      </c>
      <c r="ET41" s="7">
        <f>'AS400'!EQ41</f>
        <v>9</v>
      </c>
      <c r="EV41" s="7">
        <f>'AS400'!ER41</f>
        <v>50</v>
      </c>
      <c r="EW41" s="7">
        <f>'AS400'!ES41</f>
        <v>0</v>
      </c>
      <c r="EX41" s="7">
        <f>'AS400'!ET41</f>
        <v>0</v>
      </c>
      <c r="EY41" s="7">
        <f>'AS400'!EU41</f>
        <v>0</v>
      </c>
      <c r="EZ41" s="7">
        <f>'AS400'!EV41</f>
        <v>0</v>
      </c>
      <c r="FA41" s="7">
        <f>'AS400'!EW41</f>
        <v>0</v>
      </c>
      <c r="FB41" s="7">
        <f>'AS400'!EX41</f>
        <v>0</v>
      </c>
      <c r="FC41" s="7">
        <f>'AS400'!EY41</f>
        <v>0</v>
      </c>
      <c r="FD41" s="7">
        <f>'AS400'!EZ41</f>
        <v>0</v>
      </c>
      <c r="FE41" s="7">
        <f>'AS400'!FA41</f>
        <v>0</v>
      </c>
      <c r="FF41" s="7">
        <f>'AS400'!FB41</f>
        <v>0</v>
      </c>
      <c r="FG41" s="7">
        <f>'AS400'!FC41</f>
        <v>0</v>
      </c>
      <c r="FH41" s="7">
        <f>'AS400'!FD41</f>
        <v>0</v>
      </c>
      <c r="FI41" s="7">
        <f>'AS400'!FE41</f>
        <v>0</v>
      </c>
      <c r="FJ41" s="7">
        <f>'AS400'!FF41</f>
        <v>0</v>
      </c>
      <c r="FK41" s="7">
        <f>'AS400'!FG41</f>
        <v>0</v>
      </c>
      <c r="FL41" s="7">
        <f>'AS400'!FH41</f>
        <v>0</v>
      </c>
      <c r="FM41" s="7">
        <f>'AS400'!FI41</f>
        <v>1</v>
      </c>
      <c r="FN41" s="7">
        <f>'AS400'!FJ41</f>
        <v>1</v>
      </c>
      <c r="FO41" s="7">
        <f>'AS400'!FO41</f>
        <v>0</v>
      </c>
      <c r="FP41" s="7">
        <f>'AS400'!FP41</f>
        <v>4</v>
      </c>
      <c r="FQ41" s="7">
        <f>'AS400'!FQ41</f>
        <v>1</v>
      </c>
      <c r="FR41" s="7">
        <f>'AS400'!FR41</f>
        <v>1</v>
      </c>
      <c r="FS41" s="13">
        <f>'AS400'!FO41</f>
        <v>0</v>
      </c>
    </row>
    <row r="42" spans="1:175">
      <c r="A42" s="7">
        <f>'AS400'!A42</f>
        <v>36</v>
      </c>
      <c r="B42" s="7">
        <f>'AS400'!B42</f>
        <v>20190301</v>
      </c>
      <c r="C42" s="7">
        <f>'AS400'!C42</f>
        <v>0</v>
      </c>
      <c r="D42" s="7" t="str">
        <f>'AS400'!D42</f>
        <v>N</v>
      </c>
      <c r="E42" s="7" t="str">
        <f>'AS400'!E42</f>
        <v>N</v>
      </c>
      <c r="F42" s="7" t="str">
        <f>'AS400'!F42</f>
        <v>Y</v>
      </c>
      <c r="G42" s="7">
        <f>'AS400'!G42</f>
        <v>0</v>
      </c>
      <c r="H42" s="14"/>
      <c r="I42" s="7" t="str">
        <f>'AS400'!I42</f>
        <v>RSA</v>
      </c>
      <c r="J42" s="7" t="str">
        <f>'AS400'!J42</f>
        <v>METR</v>
      </c>
      <c r="K42" s="7" t="str">
        <f>'AS400'!K42</f>
        <v>N</v>
      </c>
      <c r="L42" s="7">
        <f>'AS400'!L42</f>
        <v>4</v>
      </c>
      <c r="M42" s="8">
        <f>'AS400'!M42</f>
        <v>1</v>
      </c>
      <c r="N42" s="7">
        <f>'AS400'!N42</f>
        <v>1</v>
      </c>
      <c r="O42" s="7" t="str">
        <f>'AS400'!O42</f>
        <v>MFPA</v>
      </c>
      <c r="P42" s="7">
        <f>'AS400'!P42</f>
        <v>100</v>
      </c>
      <c r="Q42" s="7">
        <f>'AS400'!Q42</f>
        <v>20180301</v>
      </c>
      <c r="R42" s="7">
        <f>'AS400'!R42</f>
        <v>20180301</v>
      </c>
      <c r="S42" s="7" t="str">
        <f>'AS400'!S42</f>
        <v>M</v>
      </c>
      <c r="T42" s="7" t="str">
        <f>'AS400'!T42</f>
        <v>MK</v>
      </c>
      <c r="U42" s="7">
        <f>'AS400'!U42</f>
        <v>20190301</v>
      </c>
      <c r="V42" s="7">
        <f>'AS400'!V42</f>
        <v>6</v>
      </c>
      <c r="W42" s="7">
        <f>'AS400'!W42</f>
        <v>6</v>
      </c>
      <c r="X42" s="7" t="str">
        <f>'AS400'!X42</f>
        <v>MFIX</v>
      </c>
      <c r="Y42" s="7">
        <f>'AS400'!Y42</f>
        <v>0</v>
      </c>
      <c r="Z42" s="7" t="str">
        <f>'AS400'!Z42</f>
        <v>STLV</v>
      </c>
      <c r="AA42" s="7">
        <f>'AS400'!AA42</f>
        <v>818</v>
      </c>
      <c r="AB42" s="7">
        <f>'AS400'!AB42</f>
        <v>0</v>
      </c>
      <c r="AC42" s="7">
        <f>'AS400'!AC42</f>
        <v>12</v>
      </c>
      <c r="AD42" s="7">
        <f>'AS400'!AD42</f>
        <v>20180201</v>
      </c>
      <c r="AE42" s="7">
        <f>'AS400'!AE42</f>
        <v>0</v>
      </c>
      <c r="AF42" s="7">
        <f>'AS400'!AF42</f>
        <v>25000</v>
      </c>
      <c r="AG42" s="7">
        <f>'AS400'!AG42</f>
        <v>140</v>
      </c>
      <c r="AI42" s="7">
        <f>'AS400'!AH42</f>
        <v>49</v>
      </c>
      <c r="AJ42" s="7">
        <f>'AS400'!AI42</f>
        <v>0</v>
      </c>
      <c r="AK42" s="7">
        <f>'AS400'!AJ42</f>
        <v>0</v>
      </c>
      <c r="AL42" s="7">
        <f>'AS400'!AK42</f>
        <v>0</v>
      </c>
      <c r="AM42" s="7">
        <f>'AS400'!AL42</f>
        <v>0</v>
      </c>
      <c r="AN42" s="7">
        <f>'AS400'!AM42</f>
        <v>0</v>
      </c>
      <c r="AO42" s="7">
        <f>'AS400'!AN42</f>
        <v>0</v>
      </c>
      <c r="AP42" s="7">
        <f>'AS400'!AO42</f>
        <v>0</v>
      </c>
      <c r="AQ42" s="7">
        <f>'AS400'!AP42</f>
        <v>0</v>
      </c>
      <c r="AR42" s="7">
        <f>'AS400'!AQ42</f>
        <v>0</v>
      </c>
      <c r="AS42" s="7">
        <f>'AS400'!AR42</f>
        <v>0</v>
      </c>
      <c r="AT42" s="7">
        <f>'AS400'!AS42</f>
        <v>0</v>
      </c>
      <c r="AU42" s="7">
        <f>'AS400'!AT42</f>
        <v>0</v>
      </c>
      <c r="AV42" s="7">
        <f>'AS400'!AU42</f>
        <v>0</v>
      </c>
      <c r="AW42" s="7">
        <f>'AS400'!AV42</f>
        <v>0</v>
      </c>
      <c r="AX42" s="7">
        <f>'AS400'!AW42</f>
        <v>0</v>
      </c>
      <c r="AY42" s="7">
        <f>'AS400'!AX42</f>
        <v>0</v>
      </c>
      <c r="AZ42" s="8">
        <f>'AS400'!AY42</f>
        <v>1</v>
      </c>
      <c r="BA42" s="7">
        <f>'AS400'!AZ42</f>
        <v>2</v>
      </c>
      <c r="BB42" s="7" t="str">
        <f>'AS400'!BA42</f>
        <v>PURO</v>
      </c>
      <c r="BC42" s="7">
        <f>'AS400'!BB42</f>
        <v>100</v>
      </c>
      <c r="BD42" s="7">
        <f>'AS400'!BC42</f>
        <v>20180301</v>
      </c>
      <c r="BE42" s="7">
        <f>'AS400'!BD42</f>
        <v>20180301</v>
      </c>
      <c r="BF42" s="7" t="str">
        <f>'AS400'!BE42</f>
        <v>S</v>
      </c>
      <c r="BG42" s="7" t="str">
        <f>'AS400'!BF42</f>
        <v>ME</v>
      </c>
      <c r="BH42" s="7">
        <f>'AS400'!BG42</f>
        <v>20180301</v>
      </c>
      <c r="BI42" s="7">
        <f>'AS400'!BH42</f>
        <v>0</v>
      </c>
      <c r="BJ42" s="7">
        <f>'AS400'!BI42</f>
        <v>0</v>
      </c>
      <c r="BK42" s="7">
        <f>'AS400'!BJ42</f>
        <v>0</v>
      </c>
      <c r="BL42" s="7">
        <f>'AS400'!BK42</f>
        <v>0</v>
      </c>
      <c r="BM42" s="7" t="str">
        <f>'AS400'!BL42</f>
        <v>STLV</v>
      </c>
      <c r="BN42" s="7">
        <f>'AS400'!BM42</f>
        <v>818</v>
      </c>
      <c r="BO42" s="7">
        <f>'AS400'!BN42</f>
        <v>0</v>
      </c>
      <c r="BP42" s="7">
        <f>'AS400'!BO42</f>
        <v>12</v>
      </c>
      <c r="BQ42" s="7">
        <f>'AS400'!BP42</f>
        <v>20180201</v>
      </c>
      <c r="BR42" s="7">
        <f>'AS400'!BQ42</f>
        <v>0</v>
      </c>
      <c r="BS42" s="7">
        <f>'AS400'!BR42</f>
        <v>0</v>
      </c>
      <c r="BT42" s="7">
        <f>'AS400'!BS42</f>
        <v>7</v>
      </c>
      <c r="BV42" s="7">
        <f>'AS400'!BT42</f>
        <v>49</v>
      </c>
      <c r="BW42" s="7">
        <f>'AS400'!BU42</f>
        <v>0</v>
      </c>
      <c r="BX42" s="7">
        <f>'AS400'!BV42</f>
        <v>0</v>
      </c>
      <c r="BY42" s="7">
        <f>'AS400'!BW42</f>
        <v>0</v>
      </c>
      <c r="BZ42" s="7">
        <f>'AS400'!BX42</f>
        <v>0</v>
      </c>
      <c r="CA42" s="7">
        <f>'AS400'!BY42</f>
        <v>0</v>
      </c>
      <c r="CB42" s="7">
        <f>'AS400'!BZ42</f>
        <v>0</v>
      </c>
      <c r="CC42" s="7">
        <f>'AS400'!CA42</f>
        <v>0</v>
      </c>
      <c r="CD42" s="7">
        <f>'AS400'!CB42</f>
        <v>0</v>
      </c>
      <c r="CE42" s="7">
        <f>'AS400'!CC42</f>
        <v>0</v>
      </c>
      <c r="CF42" s="7">
        <f>'AS400'!CD42</f>
        <v>0</v>
      </c>
      <c r="CG42" s="7">
        <f>'AS400'!CE42</f>
        <v>0</v>
      </c>
      <c r="CH42" s="7">
        <f>'AS400'!CF42</f>
        <v>0</v>
      </c>
      <c r="CI42" s="7">
        <f>'AS400'!CG42</f>
        <v>0</v>
      </c>
      <c r="CJ42" s="7">
        <f>'AS400'!CH42</f>
        <v>0</v>
      </c>
      <c r="CK42" s="7">
        <f>'AS400'!CI42</f>
        <v>0</v>
      </c>
      <c r="CL42" s="7">
        <f>'AS400'!CJ42</f>
        <v>0</v>
      </c>
      <c r="CM42" s="8">
        <f>'AS400'!CK42</f>
        <v>1</v>
      </c>
      <c r="CN42" s="7">
        <f>'AS400'!CL42</f>
        <v>3</v>
      </c>
      <c r="CO42" s="7" t="str">
        <f>'AS400'!CM42</f>
        <v>PUDT</v>
      </c>
      <c r="CP42" s="7">
        <f>'AS400'!CN42</f>
        <v>100</v>
      </c>
      <c r="CQ42" s="7">
        <f>'AS400'!CO42</f>
        <v>20180301</v>
      </c>
      <c r="CR42" s="7">
        <f>'AS400'!CP42</f>
        <v>20180301</v>
      </c>
      <c r="CS42" s="7" t="str">
        <f>'AS400'!CQ42</f>
        <v>S</v>
      </c>
      <c r="CT42" s="7" t="str">
        <f>'AS400'!CR42</f>
        <v>MT</v>
      </c>
      <c r="CU42" s="7">
        <f>'AS400'!CS42</f>
        <v>20180301</v>
      </c>
      <c r="CV42" s="7">
        <f>'AS400'!CT42</f>
        <v>0</v>
      </c>
      <c r="CW42" s="7">
        <f>'AS400'!CU42</f>
        <v>0</v>
      </c>
      <c r="CX42" s="7">
        <f>'AS400'!CV42</f>
        <v>0</v>
      </c>
      <c r="CY42" s="7">
        <f>'AS400'!CW42</f>
        <v>0</v>
      </c>
      <c r="CZ42" s="7" t="str">
        <f>'AS400'!CX42</f>
        <v>STLV</v>
      </c>
      <c r="DA42" s="7">
        <f>'AS400'!CY42</f>
        <v>818</v>
      </c>
      <c r="DB42" s="7">
        <f>'AS400'!CZ42</f>
        <v>0</v>
      </c>
      <c r="DC42" s="7">
        <f>'AS400'!DA42</f>
        <v>12</v>
      </c>
      <c r="DD42" s="7">
        <f>'AS400'!DB42</f>
        <v>20180201</v>
      </c>
      <c r="DE42" s="7">
        <f>'AS400'!DC42</f>
        <v>0</v>
      </c>
      <c r="DF42" s="7">
        <f>'AS400'!DD42</f>
        <v>0</v>
      </c>
      <c r="DG42" s="7">
        <f>'AS400'!DE42</f>
        <v>19</v>
      </c>
      <c r="DI42" s="7">
        <f>'AS400'!DF42</f>
        <v>49</v>
      </c>
      <c r="DJ42" s="7">
        <f>'AS400'!DG42</f>
        <v>0</v>
      </c>
      <c r="DK42" s="7">
        <f>'AS400'!DH42</f>
        <v>0</v>
      </c>
      <c r="DL42" s="7">
        <f>'AS400'!DI42</f>
        <v>0</v>
      </c>
      <c r="DM42" s="7">
        <f>'AS400'!DJ42</f>
        <v>0</v>
      </c>
      <c r="DN42" s="7">
        <f>'AS400'!DK42</f>
        <v>0</v>
      </c>
      <c r="DO42" s="7">
        <f>'AS400'!DL42</f>
        <v>0</v>
      </c>
      <c r="DP42" s="7">
        <f>'AS400'!DM42</f>
        <v>0</v>
      </c>
      <c r="DQ42" s="7">
        <f>'AS400'!DN42</f>
        <v>0</v>
      </c>
      <c r="DR42" s="7">
        <f>'AS400'!DO42</f>
        <v>0</v>
      </c>
      <c r="DS42" s="7">
        <f>'AS400'!DP42</f>
        <v>0</v>
      </c>
      <c r="DT42" s="7">
        <f>'AS400'!DQ42</f>
        <v>0</v>
      </c>
      <c r="DU42" s="7">
        <f>'AS400'!DR42</f>
        <v>0</v>
      </c>
      <c r="DV42" s="7">
        <f>'AS400'!DS42</f>
        <v>0</v>
      </c>
      <c r="DW42" s="7">
        <f>'AS400'!DT42</f>
        <v>0</v>
      </c>
      <c r="DX42" s="7">
        <f>'AS400'!DU42</f>
        <v>0</v>
      </c>
      <c r="DY42" s="7">
        <f>'AS400'!DV42</f>
        <v>0</v>
      </c>
      <c r="DZ42" s="8">
        <f>'AS400'!DW42</f>
        <v>1</v>
      </c>
      <c r="EA42" s="7">
        <f>'AS400'!DX42</f>
        <v>4</v>
      </c>
      <c r="EB42" s="7" t="str">
        <f>'AS400'!DY42</f>
        <v>PUDS</v>
      </c>
      <c r="EC42" s="7">
        <f>'AS400'!DZ42</f>
        <v>100</v>
      </c>
      <c r="ED42" s="7">
        <f>'AS400'!EA42</f>
        <v>20180301</v>
      </c>
      <c r="EE42" s="7">
        <f>'AS400'!EB42</f>
        <v>20180301</v>
      </c>
      <c r="EF42" s="7" t="str">
        <f>'AS400'!EC42</f>
        <v>S</v>
      </c>
      <c r="EG42" s="7" t="str">
        <f>'AS400'!ED42</f>
        <v>MS</v>
      </c>
      <c r="EH42" s="7">
        <f>'AS400'!EE42</f>
        <v>20180301</v>
      </c>
      <c r="EI42" s="7">
        <f>'AS400'!EF42</f>
        <v>0</v>
      </c>
      <c r="EJ42" s="7">
        <f>'AS400'!EG42</f>
        <v>0</v>
      </c>
      <c r="EK42" s="7">
        <f>'AS400'!EH42</f>
        <v>0</v>
      </c>
      <c r="EL42" s="7">
        <f>'AS400'!EI42</f>
        <v>0</v>
      </c>
      <c r="EM42" s="7" t="str">
        <f>'AS400'!EJ42</f>
        <v>STLV</v>
      </c>
      <c r="EN42" s="7">
        <f>'AS400'!EK42</f>
        <v>818</v>
      </c>
      <c r="EO42" s="7">
        <f>'AS400'!EL42</f>
        <v>0</v>
      </c>
      <c r="EP42" s="7">
        <f>'AS400'!EM42</f>
        <v>12</v>
      </c>
      <c r="EQ42" s="7">
        <f>'AS400'!EN42</f>
        <v>20180201</v>
      </c>
      <c r="ER42" s="7">
        <f>'AS400'!EO42</f>
        <v>0</v>
      </c>
      <c r="ES42" s="7">
        <f>'AS400'!EP42</f>
        <v>0</v>
      </c>
      <c r="ET42" s="7">
        <f>'AS400'!EQ42</f>
        <v>9</v>
      </c>
      <c r="EV42" s="7">
        <f>'AS400'!ER42</f>
        <v>49</v>
      </c>
      <c r="EW42" s="7">
        <f>'AS400'!ES42</f>
        <v>0</v>
      </c>
      <c r="EX42" s="7">
        <f>'AS400'!ET42</f>
        <v>0</v>
      </c>
      <c r="EY42" s="7">
        <f>'AS400'!EU42</f>
        <v>0</v>
      </c>
      <c r="EZ42" s="7">
        <f>'AS400'!EV42</f>
        <v>0</v>
      </c>
      <c r="FA42" s="7">
        <f>'AS400'!EW42</f>
        <v>0</v>
      </c>
      <c r="FB42" s="7">
        <f>'AS400'!EX42</f>
        <v>0</v>
      </c>
      <c r="FC42" s="7">
        <f>'AS400'!EY42</f>
        <v>0</v>
      </c>
      <c r="FD42" s="7">
        <f>'AS400'!EZ42</f>
        <v>0</v>
      </c>
      <c r="FE42" s="7">
        <f>'AS400'!FA42</f>
        <v>0</v>
      </c>
      <c r="FF42" s="7">
        <f>'AS400'!FB42</f>
        <v>0</v>
      </c>
      <c r="FG42" s="7">
        <f>'AS400'!FC42</f>
        <v>0</v>
      </c>
      <c r="FH42" s="7">
        <f>'AS400'!FD42</f>
        <v>0</v>
      </c>
      <c r="FI42" s="7">
        <f>'AS400'!FE42</f>
        <v>0</v>
      </c>
      <c r="FJ42" s="7">
        <f>'AS400'!FF42</f>
        <v>0</v>
      </c>
      <c r="FK42" s="7">
        <f>'AS400'!FG42</f>
        <v>0</v>
      </c>
      <c r="FL42" s="7">
        <f>'AS400'!FH42</f>
        <v>0</v>
      </c>
      <c r="FM42" s="7">
        <f>'AS400'!FI42</f>
        <v>1</v>
      </c>
      <c r="FN42" s="7">
        <f>'AS400'!FJ42</f>
        <v>1</v>
      </c>
      <c r="FO42" s="7">
        <f>'AS400'!FO42</f>
        <v>0</v>
      </c>
      <c r="FP42" s="7">
        <f>'AS400'!FP42</f>
        <v>4</v>
      </c>
      <c r="FQ42" s="7">
        <f>'AS400'!FQ42</f>
        <v>1</v>
      </c>
      <c r="FR42" s="7">
        <f>'AS400'!FR42</f>
        <v>1</v>
      </c>
      <c r="FS42" s="13">
        <f>'AS400'!FO42</f>
        <v>0</v>
      </c>
    </row>
    <row r="43" spans="1:175">
      <c r="A43" s="7">
        <f>'AS400'!A43</f>
        <v>37</v>
      </c>
      <c r="B43" s="7">
        <f>'AS400'!B43</f>
        <v>20190301</v>
      </c>
      <c r="C43" s="7">
        <f>'AS400'!C43</f>
        <v>0</v>
      </c>
      <c r="D43" s="7" t="str">
        <f>'AS400'!D43</f>
        <v>N</v>
      </c>
      <c r="E43" s="7" t="str">
        <f>'AS400'!E43</f>
        <v>N</v>
      </c>
      <c r="F43" s="7" t="str">
        <f>'AS400'!F43</f>
        <v>Y</v>
      </c>
      <c r="G43" s="7">
        <f>'AS400'!G43</f>
        <v>0</v>
      </c>
      <c r="H43" s="14"/>
      <c r="I43" s="7" t="str">
        <f>'AS400'!I43</f>
        <v>RSA</v>
      </c>
      <c r="J43" s="7" t="str">
        <f>'AS400'!J43</f>
        <v>METR</v>
      </c>
      <c r="K43" s="7" t="str">
        <f>'AS400'!K43</f>
        <v>N</v>
      </c>
      <c r="L43" s="7">
        <f>'AS400'!L43</f>
        <v>4</v>
      </c>
      <c r="M43" s="8">
        <f>'AS400'!M43</f>
        <v>1</v>
      </c>
      <c r="N43" s="7">
        <f>'AS400'!N43</f>
        <v>1</v>
      </c>
      <c r="O43" s="7" t="str">
        <f>'AS400'!O43</f>
        <v>MFPA</v>
      </c>
      <c r="P43" s="7">
        <f>'AS400'!P43</f>
        <v>100</v>
      </c>
      <c r="Q43" s="7">
        <f>'AS400'!Q43</f>
        <v>20180301</v>
      </c>
      <c r="R43" s="7">
        <f>'AS400'!R43</f>
        <v>20180301</v>
      </c>
      <c r="S43" s="7" t="str">
        <f>'AS400'!S43</f>
        <v>M</v>
      </c>
      <c r="T43" s="7" t="str">
        <f>'AS400'!T43</f>
        <v>MK</v>
      </c>
      <c r="U43" s="7">
        <f>'AS400'!U43</f>
        <v>20190301</v>
      </c>
      <c r="V43" s="7">
        <f>'AS400'!V43</f>
        <v>6</v>
      </c>
      <c r="W43" s="7">
        <f>'AS400'!W43</f>
        <v>6</v>
      </c>
      <c r="X43" s="7" t="str">
        <f>'AS400'!X43</f>
        <v>MFIX</v>
      </c>
      <c r="Y43" s="7">
        <f>'AS400'!Y43</f>
        <v>0</v>
      </c>
      <c r="Z43" s="7" t="str">
        <f>'AS400'!Z43</f>
        <v>STLV</v>
      </c>
      <c r="AA43" s="7">
        <f>'AS400'!AA43</f>
        <v>818</v>
      </c>
      <c r="AB43" s="7">
        <f>'AS400'!AB43</f>
        <v>0</v>
      </c>
      <c r="AC43" s="7">
        <f>'AS400'!AC43</f>
        <v>12</v>
      </c>
      <c r="AD43" s="7">
        <f>'AS400'!AD43</f>
        <v>20180201</v>
      </c>
      <c r="AE43" s="7">
        <f>'AS400'!AE43</f>
        <v>0</v>
      </c>
      <c r="AF43" s="7">
        <f>'AS400'!AF43</f>
        <v>30000</v>
      </c>
      <c r="AG43" s="7">
        <f>'AS400'!AG43</f>
        <v>157</v>
      </c>
      <c r="AI43" s="7">
        <f>'AS400'!AH43</f>
        <v>48</v>
      </c>
      <c r="AJ43" s="7">
        <f>'AS400'!AI43</f>
        <v>0</v>
      </c>
      <c r="AK43" s="7">
        <f>'AS400'!AJ43</f>
        <v>0</v>
      </c>
      <c r="AL43" s="7">
        <f>'AS400'!AK43</f>
        <v>0</v>
      </c>
      <c r="AM43" s="7">
        <f>'AS400'!AL43</f>
        <v>0</v>
      </c>
      <c r="AN43" s="7">
        <f>'AS400'!AM43</f>
        <v>0</v>
      </c>
      <c r="AO43" s="7">
        <f>'AS400'!AN43</f>
        <v>0</v>
      </c>
      <c r="AP43" s="7">
        <f>'AS400'!AO43</f>
        <v>0</v>
      </c>
      <c r="AQ43" s="7">
        <f>'AS400'!AP43</f>
        <v>0</v>
      </c>
      <c r="AR43" s="7">
        <f>'AS400'!AQ43</f>
        <v>0</v>
      </c>
      <c r="AS43" s="7">
        <f>'AS400'!AR43</f>
        <v>0</v>
      </c>
      <c r="AT43" s="7">
        <f>'AS400'!AS43</f>
        <v>0</v>
      </c>
      <c r="AU43" s="7">
        <f>'AS400'!AT43</f>
        <v>0</v>
      </c>
      <c r="AV43" s="7">
        <f>'AS400'!AU43</f>
        <v>0</v>
      </c>
      <c r="AW43" s="7">
        <f>'AS400'!AV43</f>
        <v>0</v>
      </c>
      <c r="AX43" s="7">
        <f>'AS400'!AW43</f>
        <v>0</v>
      </c>
      <c r="AY43" s="7">
        <f>'AS400'!AX43</f>
        <v>0</v>
      </c>
      <c r="AZ43" s="8">
        <f>'AS400'!AY43</f>
        <v>1</v>
      </c>
      <c r="BA43" s="7">
        <f>'AS400'!AZ43</f>
        <v>2</v>
      </c>
      <c r="BB43" s="7" t="str">
        <f>'AS400'!BA43</f>
        <v>PURO</v>
      </c>
      <c r="BC43" s="7">
        <f>'AS400'!BB43</f>
        <v>100</v>
      </c>
      <c r="BD43" s="7">
        <f>'AS400'!BC43</f>
        <v>20180301</v>
      </c>
      <c r="BE43" s="7">
        <f>'AS400'!BD43</f>
        <v>20180301</v>
      </c>
      <c r="BF43" s="7" t="str">
        <f>'AS400'!BE43</f>
        <v>S</v>
      </c>
      <c r="BG43" s="7" t="str">
        <f>'AS400'!BF43</f>
        <v>ME</v>
      </c>
      <c r="BH43" s="7">
        <f>'AS400'!BG43</f>
        <v>20180301</v>
      </c>
      <c r="BI43" s="7">
        <f>'AS400'!BH43</f>
        <v>0</v>
      </c>
      <c r="BJ43" s="7">
        <f>'AS400'!BI43</f>
        <v>0</v>
      </c>
      <c r="BK43" s="7">
        <f>'AS400'!BJ43</f>
        <v>0</v>
      </c>
      <c r="BL43" s="7">
        <f>'AS400'!BK43</f>
        <v>0</v>
      </c>
      <c r="BM43" s="7" t="str">
        <f>'AS400'!BL43</f>
        <v>STLV</v>
      </c>
      <c r="BN43" s="7">
        <f>'AS400'!BM43</f>
        <v>818</v>
      </c>
      <c r="BO43" s="7">
        <f>'AS400'!BN43</f>
        <v>0</v>
      </c>
      <c r="BP43" s="7">
        <f>'AS400'!BO43</f>
        <v>12</v>
      </c>
      <c r="BQ43" s="7">
        <f>'AS400'!BP43</f>
        <v>20180201</v>
      </c>
      <c r="BR43" s="7">
        <f>'AS400'!BQ43</f>
        <v>0</v>
      </c>
      <c r="BS43" s="7">
        <f>'AS400'!BR43</f>
        <v>0</v>
      </c>
      <c r="BT43" s="7">
        <f>'AS400'!BS43</f>
        <v>7</v>
      </c>
      <c r="BV43" s="7">
        <f>'AS400'!BT43</f>
        <v>48</v>
      </c>
      <c r="BW43" s="7">
        <f>'AS400'!BU43</f>
        <v>0</v>
      </c>
      <c r="BX43" s="7">
        <f>'AS400'!BV43</f>
        <v>0</v>
      </c>
      <c r="BY43" s="7">
        <f>'AS400'!BW43</f>
        <v>0</v>
      </c>
      <c r="BZ43" s="7">
        <f>'AS400'!BX43</f>
        <v>0</v>
      </c>
      <c r="CA43" s="7">
        <f>'AS400'!BY43</f>
        <v>0</v>
      </c>
      <c r="CB43" s="7">
        <f>'AS400'!BZ43</f>
        <v>0</v>
      </c>
      <c r="CC43" s="7">
        <f>'AS400'!CA43</f>
        <v>0</v>
      </c>
      <c r="CD43" s="7">
        <f>'AS400'!CB43</f>
        <v>0</v>
      </c>
      <c r="CE43" s="7">
        <f>'AS400'!CC43</f>
        <v>0</v>
      </c>
      <c r="CF43" s="7">
        <f>'AS400'!CD43</f>
        <v>0</v>
      </c>
      <c r="CG43" s="7">
        <f>'AS400'!CE43</f>
        <v>0</v>
      </c>
      <c r="CH43" s="7">
        <f>'AS400'!CF43</f>
        <v>0</v>
      </c>
      <c r="CI43" s="7">
        <f>'AS400'!CG43</f>
        <v>0</v>
      </c>
      <c r="CJ43" s="7">
        <f>'AS400'!CH43</f>
        <v>0</v>
      </c>
      <c r="CK43" s="7">
        <f>'AS400'!CI43</f>
        <v>0</v>
      </c>
      <c r="CL43" s="7">
        <f>'AS400'!CJ43</f>
        <v>0</v>
      </c>
      <c r="CM43" s="8">
        <f>'AS400'!CK43</f>
        <v>1</v>
      </c>
      <c r="CN43" s="7">
        <f>'AS400'!CL43</f>
        <v>3</v>
      </c>
      <c r="CO43" s="7" t="str">
        <f>'AS400'!CM43</f>
        <v>PUDT</v>
      </c>
      <c r="CP43" s="7">
        <f>'AS400'!CN43</f>
        <v>100</v>
      </c>
      <c r="CQ43" s="7">
        <f>'AS400'!CO43</f>
        <v>20180301</v>
      </c>
      <c r="CR43" s="7">
        <f>'AS400'!CP43</f>
        <v>20180301</v>
      </c>
      <c r="CS43" s="7" t="str">
        <f>'AS400'!CQ43</f>
        <v>S</v>
      </c>
      <c r="CT43" s="7" t="str">
        <f>'AS400'!CR43</f>
        <v>MT</v>
      </c>
      <c r="CU43" s="7">
        <f>'AS400'!CS43</f>
        <v>20180301</v>
      </c>
      <c r="CV43" s="7">
        <f>'AS400'!CT43</f>
        <v>0</v>
      </c>
      <c r="CW43" s="7">
        <f>'AS400'!CU43</f>
        <v>0</v>
      </c>
      <c r="CX43" s="7">
        <f>'AS400'!CV43</f>
        <v>0</v>
      </c>
      <c r="CY43" s="7">
        <f>'AS400'!CW43</f>
        <v>0</v>
      </c>
      <c r="CZ43" s="7" t="str">
        <f>'AS400'!CX43</f>
        <v>STLV</v>
      </c>
      <c r="DA43" s="7">
        <f>'AS400'!CY43</f>
        <v>818</v>
      </c>
      <c r="DB43" s="7">
        <f>'AS400'!CZ43</f>
        <v>0</v>
      </c>
      <c r="DC43" s="7">
        <f>'AS400'!DA43</f>
        <v>12</v>
      </c>
      <c r="DD43" s="7">
        <f>'AS400'!DB43</f>
        <v>20180201</v>
      </c>
      <c r="DE43" s="7">
        <f>'AS400'!DC43</f>
        <v>0</v>
      </c>
      <c r="DF43" s="7">
        <f>'AS400'!DD43</f>
        <v>0</v>
      </c>
      <c r="DG43" s="7">
        <f>'AS400'!DE43</f>
        <v>20</v>
      </c>
      <c r="DI43" s="7">
        <f>'AS400'!DF43</f>
        <v>48</v>
      </c>
      <c r="DJ43" s="7">
        <f>'AS400'!DG43</f>
        <v>0</v>
      </c>
      <c r="DK43" s="7">
        <f>'AS400'!DH43</f>
        <v>0</v>
      </c>
      <c r="DL43" s="7">
        <f>'AS400'!DI43</f>
        <v>0</v>
      </c>
      <c r="DM43" s="7">
        <f>'AS400'!DJ43</f>
        <v>0</v>
      </c>
      <c r="DN43" s="7">
        <f>'AS400'!DK43</f>
        <v>0</v>
      </c>
      <c r="DO43" s="7">
        <f>'AS400'!DL43</f>
        <v>0</v>
      </c>
      <c r="DP43" s="7">
        <f>'AS400'!DM43</f>
        <v>0</v>
      </c>
      <c r="DQ43" s="7">
        <f>'AS400'!DN43</f>
        <v>0</v>
      </c>
      <c r="DR43" s="7">
        <f>'AS400'!DO43</f>
        <v>0</v>
      </c>
      <c r="DS43" s="7">
        <f>'AS400'!DP43</f>
        <v>0</v>
      </c>
      <c r="DT43" s="7">
        <f>'AS400'!DQ43</f>
        <v>0</v>
      </c>
      <c r="DU43" s="7">
        <f>'AS400'!DR43</f>
        <v>0</v>
      </c>
      <c r="DV43" s="7">
        <f>'AS400'!DS43</f>
        <v>0</v>
      </c>
      <c r="DW43" s="7">
        <f>'AS400'!DT43</f>
        <v>0</v>
      </c>
      <c r="DX43" s="7">
        <f>'AS400'!DU43</f>
        <v>0</v>
      </c>
      <c r="DY43" s="7">
        <f>'AS400'!DV43</f>
        <v>0</v>
      </c>
      <c r="DZ43" s="8">
        <f>'AS400'!DW43</f>
        <v>1</v>
      </c>
      <c r="EA43" s="7">
        <f>'AS400'!DX43</f>
        <v>4</v>
      </c>
      <c r="EB43" s="7" t="str">
        <f>'AS400'!DY43</f>
        <v>PUDS</v>
      </c>
      <c r="EC43" s="7">
        <f>'AS400'!DZ43</f>
        <v>100</v>
      </c>
      <c r="ED43" s="7">
        <f>'AS400'!EA43</f>
        <v>20180301</v>
      </c>
      <c r="EE43" s="7">
        <f>'AS400'!EB43</f>
        <v>20180301</v>
      </c>
      <c r="EF43" s="7" t="str">
        <f>'AS400'!EC43</f>
        <v>S</v>
      </c>
      <c r="EG43" s="7" t="str">
        <f>'AS400'!ED43</f>
        <v>MS</v>
      </c>
      <c r="EH43" s="7">
        <f>'AS400'!EE43</f>
        <v>20180301</v>
      </c>
      <c r="EI43" s="7">
        <f>'AS400'!EF43</f>
        <v>0</v>
      </c>
      <c r="EJ43" s="7">
        <f>'AS400'!EG43</f>
        <v>0</v>
      </c>
      <c r="EK43" s="7">
        <f>'AS400'!EH43</f>
        <v>0</v>
      </c>
      <c r="EL43" s="7">
        <f>'AS400'!EI43</f>
        <v>0</v>
      </c>
      <c r="EM43" s="7" t="str">
        <f>'AS400'!EJ43</f>
        <v>STLV</v>
      </c>
      <c r="EN43" s="7">
        <f>'AS400'!EK43</f>
        <v>818</v>
      </c>
      <c r="EO43" s="7">
        <f>'AS400'!EL43</f>
        <v>0</v>
      </c>
      <c r="EP43" s="7">
        <f>'AS400'!EM43</f>
        <v>12</v>
      </c>
      <c r="EQ43" s="7">
        <f>'AS400'!EN43</f>
        <v>20180201</v>
      </c>
      <c r="ER43" s="7">
        <f>'AS400'!EO43</f>
        <v>0</v>
      </c>
      <c r="ES43" s="7">
        <f>'AS400'!EP43</f>
        <v>0</v>
      </c>
      <c r="ET43" s="7">
        <f>'AS400'!EQ43</f>
        <v>9</v>
      </c>
      <c r="EV43" s="7">
        <f>'AS400'!ER43</f>
        <v>48</v>
      </c>
      <c r="EW43" s="7">
        <f>'AS400'!ES43</f>
        <v>0</v>
      </c>
      <c r="EX43" s="7">
        <f>'AS400'!ET43</f>
        <v>0</v>
      </c>
      <c r="EY43" s="7">
        <f>'AS400'!EU43</f>
        <v>0</v>
      </c>
      <c r="EZ43" s="7">
        <f>'AS400'!EV43</f>
        <v>0</v>
      </c>
      <c r="FA43" s="7">
        <f>'AS400'!EW43</f>
        <v>0</v>
      </c>
      <c r="FB43" s="7">
        <f>'AS400'!EX43</f>
        <v>0</v>
      </c>
      <c r="FC43" s="7">
        <f>'AS400'!EY43</f>
        <v>0</v>
      </c>
      <c r="FD43" s="7">
        <f>'AS400'!EZ43</f>
        <v>0</v>
      </c>
      <c r="FE43" s="7">
        <f>'AS400'!FA43</f>
        <v>0</v>
      </c>
      <c r="FF43" s="7">
        <f>'AS400'!FB43</f>
        <v>0</v>
      </c>
      <c r="FG43" s="7">
        <f>'AS400'!FC43</f>
        <v>0</v>
      </c>
      <c r="FH43" s="7">
        <f>'AS400'!FD43</f>
        <v>0</v>
      </c>
      <c r="FI43" s="7">
        <f>'AS400'!FE43</f>
        <v>0</v>
      </c>
      <c r="FJ43" s="7">
        <f>'AS400'!FF43</f>
        <v>0</v>
      </c>
      <c r="FK43" s="7">
        <f>'AS400'!FG43</f>
        <v>0</v>
      </c>
      <c r="FL43" s="7">
        <f>'AS400'!FH43</f>
        <v>0</v>
      </c>
      <c r="FM43" s="7">
        <f>'AS400'!FI43</f>
        <v>1</v>
      </c>
      <c r="FN43" s="7">
        <f>'AS400'!FJ43</f>
        <v>1</v>
      </c>
      <c r="FO43" s="7">
        <f>'AS400'!FO43</f>
        <v>0</v>
      </c>
      <c r="FP43" s="7">
        <f>'AS400'!FP43</f>
        <v>4</v>
      </c>
      <c r="FQ43" s="7">
        <f>'AS400'!FQ43</f>
        <v>1</v>
      </c>
      <c r="FR43" s="7">
        <f>'AS400'!FR43</f>
        <v>1</v>
      </c>
      <c r="FS43" s="13">
        <f>'AS400'!FO43</f>
        <v>0</v>
      </c>
    </row>
    <row r="44" spans="1:175">
      <c r="A44" s="7">
        <f>'AS400'!A44</f>
        <v>38</v>
      </c>
      <c r="B44" s="7">
        <f>'AS400'!B44</f>
        <v>20190301</v>
      </c>
      <c r="C44" s="7">
        <f>'AS400'!C44</f>
        <v>0</v>
      </c>
      <c r="D44" s="7" t="str">
        <f>'AS400'!D44</f>
        <v>N</v>
      </c>
      <c r="E44" s="7" t="str">
        <f>'AS400'!E44</f>
        <v>N</v>
      </c>
      <c r="F44" s="7" t="str">
        <f>'AS400'!F44</f>
        <v>Y</v>
      </c>
      <c r="G44" s="7">
        <f>'AS400'!G44</f>
        <v>0</v>
      </c>
      <c r="H44" s="14"/>
      <c r="I44" s="7" t="str">
        <f>'AS400'!I44</f>
        <v>RSA</v>
      </c>
      <c r="J44" s="7" t="str">
        <f>'AS400'!J44</f>
        <v>METR</v>
      </c>
      <c r="K44" s="7" t="str">
        <f>'AS400'!K44</f>
        <v>N</v>
      </c>
      <c r="L44" s="7">
        <f>'AS400'!L44</f>
        <v>4</v>
      </c>
      <c r="M44" s="8">
        <f>'AS400'!M44</f>
        <v>1</v>
      </c>
      <c r="N44" s="7">
        <f>'AS400'!N44</f>
        <v>1</v>
      </c>
      <c r="O44" s="7" t="str">
        <f>'AS400'!O44</f>
        <v>MFPA</v>
      </c>
      <c r="P44" s="7">
        <f>'AS400'!P44</f>
        <v>100</v>
      </c>
      <c r="Q44" s="7">
        <f>'AS400'!Q44</f>
        <v>20180301</v>
      </c>
      <c r="R44" s="7">
        <f>'AS400'!R44</f>
        <v>20180301</v>
      </c>
      <c r="S44" s="7" t="str">
        <f>'AS400'!S44</f>
        <v>M</v>
      </c>
      <c r="T44" s="7" t="str">
        <f>'AS400'!T44</f>
        <v>MK</v>
      </c>
      <c r="U44" s="7">
        <f>'AS400'!U44</f>
        <v>20190301</v>
      </c>
      <c r="V44" s="7">
        <f>'AS400'!V44</f>
        <v>6</v>
      </c>
      <c r="W44" s="7">
        <f>'AS400'!W44</f>
        <v>6</v>
      </c>
      <c r="X44" s="7" t="str">
        <f>'AS400'!X44</f>
        <v>MFIX</v>
      </c>
      <c r="Y44" s="7">
        <f>'AS400'!Y44</f>
        <v>0</v>
      </c>
      <c r="Z44" s="7" t="str">
        <f>'AS400'!Z44</f>
        <v>STLV</v>
      </c>
      <c r="AA44" s="7">
        <f>'AS400'!AA44</f>
        <v>818</v>
      </c>
      <c r="AB44" s="7">
        <f>'AS400'!AB44</f>
        <v>0</v>
      </c>
      <c r="AC44" s="7">
        <f>'AS400'!AC44</f>
        <v>12</v>
      </c>
      <c r="AD44" s="7">
        <f>'AS400'!AD44</f>
        <v>20180201</v>
      </c>
      <c r="AE44" s="7">
        <f>'AS400'!AE44</f>
        <v>0</v>
      </c>
      <c r="AF44" s="7">
        <f>'AS400'!AF44</f>
        <v>35000</v>
      </c>
      <c r="AG44" s="7">
        <f>'AS400'!AG44</f>
        <v>174</v>
      </c>
      <c r="AI44" s="7">
        <f>'AS400'!AH44</f>
        <v>47</v>
      </c>
      <c r="AJ44" s="7">
        <f>'AS400'!AI44</f>
        <v>0</v>
      </c>
      <c r="AK44" s="7">
        <f>'AS400'!AJ44</f>
        <v>0</v>
      </c>
      <c r="AL44" s="7">
        <f>'AS400'!AK44</f>
        <v>0</v>
      </c>
      <c r="AM44" s="7">
        <f>'AS400'!AL44</f>
        <v>0</v>
      </c>
      <c r="AN44" s="7">
        <f>'AS400'!AM44</f>
        <v>0</v>
      </c>
      <c r="AO44" s="7">
        <f>'AS400'!AN44</f>
        <v>0</v>
      </c>
      <c r="AP44" s="7">
        <f>'AS400'!AO44</f>
        <v>0</v>
      </c>
      <c r="AQ44" s="7">
        <f>'AS400'!AP44</f>
        <v>0</v>
      </c>
      <c r="AR44" s="7">
        <f>'AS400'!AQ44</f>
        <v>0</v>
      </c>
      <c r="AS44" s="7">
        <f>'AS400'!AR44</f>
        <v>0</v>
      </c>
      <c r="AT44" s="7">
        <f>'AS400'!AS44</f>
        <v>0</v>
      </c>
      <c r="AU44" s="7">
        <f>'AS400'!AT44</f>
        <v>0</v>
      </c>
      <c r="AV44" s="7">
        <f>'AS400'!AU44</f>
        <v>0</v>
      </c>
      <c r="AW44" s="7">
        <f>'AS400'!AV44</f>
        <v>0</v>
      </c>
      <c r="AX44" s="7">
        <f>'AS400'!AW44</f>
        <v>0</v>
      </c>
      <c r="AY44" s="7">
        <f>'AS400'!AX44</f>
        <v>0</v>
      </c>
      <c r="AZ44" s="8">
        <f>'AS400'!AY44</f>
        <v>1</v>
      </c>
      <c r="BA44" s="7">
        <f>'AS400'!AZ44</f>
        <v>2</v>
      </c>
      <c r="BB44" s="7" t="str">
        <f>'AS400'!BA44</f>
        <v>PURO</v>
      </c>
      <c r="BC44" s="7">
        <f>'AS400'!BB44</f>
        <v>100</v>
      </c>
      <c r="BD44" s="7">
        <f>'AS400'!BC44</f>
        <v>20180301</v>
      </c>
      <c r="BE44" s="7">
        <f>'AS400'!BD44</f>
        <v>20180301</v>
      </c>
      <c r="BF44" s="7" t="str">
        <f>'AS400'!BE44</f>
        <v>S</v>
      </c>
      <c r="BG44" s="7" t="str">
        <f>'AS400'!BF44</f>
        <v>ME</v>
      </c>
      <c r="BH44" s="7">
        <f>'AS400'!BG44</f>
        <v>20180301</v>
      </c>
      <c r="BI44" s="7">
        <f>'AS400'!BH44</f>
        <v>0</v>
      </c>
      <c r="BJ44" s="7">
        <f>'AS400'!BI44</f>
        <v>0</v>
      </c>
      <c r="BK44" s="7">
        <f>'AS400'!BJ44</f>
        <v>0</v>
      </c>
      <c r="BL44" s="7">
        <f>'AS400'!BK44</f>
        <v>0</v>
      </c>
      <c r="BM44" s="7" t="str">
        <f>'AS400'!BL44</f>
        <v>STLV</v>
      </c>
      <c r="BN44" s="7">
        <f>'AS400'!BM44</f>
        <v>818</v>
      </c>
      <c r="BO44" s="7">
        <f>'AS400'!BN44</f>
        <v>0</v>
      </c>
      <c r="BP44" s="7">
        <f>'AS400'!BO44</f>
        <v>12</v>
      </c>
      <c r="BQ44" s="7">
        <f>'AS400'!BP44</f>
        <v>20180201</v>
      </c>
      <c r="BR44" s="7">
        <f>'AS400'!BQ44</f>
        <v>0</v>
      </c>
      <c r="BS44" s="7">
        <f>'AS400'!BR44</f>
        <v>0</v>
      </c>
      <c r="BT44" s="7">
        <f>'AS400'!BS44</f>
        <v>7</v>
      </c>
      <c r="BV44" s="7">
        <f>'AS400'!BT44</f>
        <v>47</v>
      </c>
      <c r="BW44" s="7">
        <f>'AS400'!BU44</f>
        <v>0</v>
      </c>
      <c r="BX44" s="7">
        <f>'AS400'!BV44</f>
        <v>0</v>
      </c>
      <c r="BY44" s="7">
        <f>'AS400'!BW44</f>
        <v>0</v>
      </c>
      <c r="BZ44" s="7">
        <f>'AS400'!BX44</f>
        <v>0</v>
      </c>
      <c r="CA44" s="7">
        <f>'AS400'!BY44</f>
        <v>0</v>
      </c>
      <c r="CB44" s="7">
        <f>'AS400'!BZ44</f>
        <v>0</v>
      </c>
      <c r="CC44" s="7">
        <f>'AS400'!CA44</f>
        <v>0</v>
      </c>
      <c r="CD44" s="7">
        <f>'AS400'!CB44</f>
        <v>0</v>
      </c>
      <c r="CE44" s="7">
        <f>'AS400'!CC44</f>
        <v>0</v>
      </c>
      <c r="CF44" s="7">
        <f>'AS400'!CD44</f>
        <v>0</v>
      </c>
      <c r="CG44" s="7">
        <f>'AS400'!CE44</f>
        <v>0</v>
      </c>
      <c r="CH44" s="7">
        <f>'AS400'!CF44</f>
        <v>0</v>
      </c>
      <c r="CI44" s="7">
        <f>'AS400'!CG44</f>
        <v>0</v>
      </c>
      <c r="CJ44" s="7">
        <f>'AS400'!CH44</f>
        <v>0</v>
      </c>
      <c r="CK44" s="7">
        <f>'AS400'!CI44</f>
        <v>0</v>
      </c>
      <c r="CL44" s="7">
        <f>'AS400'!CJ44</f>
        <v>0</v>
      </c>
      <c r="CM44" s="8">
        <f>'AS400'!CK44</f>
        <v>1</v>
      </c>
      <c r="CN44" s="7">
        <f>'AS400'!CL44</f>
        <v>3</v>
      </c>
      <c r="CO44" s="7" t="str">
        <f>'AS400'!CM44</f>
        <v>PUDT</v>
      </c>
      <c r="CP44" s="7">
        <f>'AS400'!CN44</f>
        <v>100</v>
      </c>
      <c r="CQ44" s="7">
        <f>'AS400'!CO44</f>
        <v>20180301</v>
      </c>
      <c r="CR44" s="7">
        <f>'AS400'!CP44</f>
        <v>20180301</v>
      </c>
      <c r="CS44" s="7" t="str">
        <f>'AS400'!CQ44</f>
        <v>S</v>
      </c>
      <c r="CT44" s="7" t="str">
        <f>'AS400'!CR44</f>
        <v>MT</v>
      </c>
      <c r="CU44" s="7">
        <f>'AS400'!CS44</f>
        <v>20180301</v>
      </c>
      <c r="CV44" s="7">
        <f>'AS400'!CT44</f>
        <v>0</v>
      </c>
      <c r="CW44" s="7">
        <f>'AS400'!CU44</f>
        <v>0</v>
      </c>
      <c r="CX44" s="7">
        <f>'AS400'!CV44</f>
        <v>0</v>
      </c>
      <c r="CY44" s="7">
        <f>'AS400'!CW44</f>
        <v>0</v>
      </c>
      <c r="CZ44" s="7" t="str">
        <f>'AS400'!CX44</f>
        <v>STLV</v>
      </c>
      <c r="DA44" s="7">
        <f>'AS400'!CY44</f>
        <v>818</v>
      </c>
      <c r="DB44" s="7">
        <f>'AS400'!CZ44</f>
        <v>0</v>
      </c>
      <c r="DC44" s="7">
        <f>'AS400'!DA44</f>
        <v>12</v>
      </c>
      <c r="DD44" s="7">
        <f>'AS400'!DB44</f>
        <v>20180201</v>
      </c>
      <c r="DE44" s="7">
        <f>'AS400'!DC44</f>
        <v>0</v>
      </c>
      <c r="DF44" s="7">
        <f>'AS400'!DD44</f>
        <v>0</v>
      </c>
      <c r="DG44" s="7">
        <f>'AS400'!DE44</f>
        <v>22</v>
      </c>
      <c r="DI44" s="7">
        <f>'AS400'!DF44</f>
        <v>47</v>
      </c>
      <c r="DJ44" s="7">
        <f>'AS400'!DG44</f>
        <v>0</v>
      </c>
      <c r="DK44" s="7">
        <f>'AS400'!DH44</f>
        <v>0</v>
      </c>
      <c r="DL44" s="7">
        <f>'AS400'!DI44</f>
        <v>0</v>
      </c>
      <c r="DM44" s="7">
        <f>'AS400'!DJ44</f>
        <v>0</v>
      </c>
      <c r="DN44" s="7">
        <f>'AS400'!DK44</f>
        <v>0</v>
      </c>
      <c r="DO44" s="7">
        <f>'AS400'!DL44</f>
        <v>0</v>
      </c>
      <c r="DP44" s="7">
        <f>'AS400'!DM44</f>
        <v>0</v>
      </c>
      <c r="DQ44" s="7">
        <f>'AS400'!DN44</f>
        <v>0</v>
      </c>
      <c r="DR44" s="7">
        <f>'AS400'!DO44</f>
        <v>0</v>
      </c>
      <c r="DS44" s="7">
        <f>'AS400'!DP44</f>
        <v>0</v>
      </c>
      <c r="DT44" s="7">
        <f>'AS400'!DQ44</f>
        <v>0</v>
      </c>
      <c r="DU44" s="7">
        <f>'AS400'!DR44</f>
        <v>0</v>
      </c>
      <c r="DV44" s="7">
        <f>'AS400'!DS44</f>
        <v>0</v>
      </c>
      <c r="DW44" s="7">
        <f>'AS400'!DT44</f>
        <v>0</v>
      </c>
      <c r="DX44" s="7">
        <f>'AS400'!DU44</f>
        <v>0</v>
      </c>
      <c r="DY44" s="7">
        <f>'AS400'!DV44</f>
        <v>0</v>
      </c>
      <c r="DZ44" s="8">
        <f>'AS400'!DW44</f>
        <v>1</v>
      </c>
      <c r="EA44" s="7">
        <f>'AS400'!DX44</f>
        <v>4</v>
      </c>
      <c r="EB44" s="7" t="str">
        <f>'AS400'!DY44</f>
        <v>PUDS</v>
      </c>
      <c r="EC44" s="7">
        <f>'AS400'!DZ44</f>
        <v>100</v>
      </c>
      <c r="ED44" s="7">
        <f>'AS400'!EA44</f>
        <v>20180301</v>
      </c>
      <c r="EE44" s="7">
        <f>'AS400'!EB44</f>
        <v>20180301</v>
      </c>
      <c r="EF44" s="7" t="str">
        <f>'AS400'!EC44</f>
        <v>S</v>
      </c>
      <c r="EG44" s="7" t="str">
        <f>'AS400'!ED44</f>
        <v>MS</v>
      </c>
      <c r="EH44" s="7">
        <f>'AS400'!EE44</f>
        <v>20180301</v>
      </c>
      <c r="EI44" s="7">
        <f>'AS400'!EF44</f>
        <v>0</v>
      </c>
      <c r="EJ44" s="7">
        <f>'AS400'!EG44</f>
        <v>0</v>
      </c>
      <c r="EK44" s="7">
        <f>'AS400'!EH44</f>
        <v>0</v>
      </c>
      <c r="EL44" s="7">
        <f>'AS400'!EI44</f>
        <v>0</v>
      </c>
      <c r="EM44" s="7" t="str">
        <f>'AS400'!EJ44</f>
        <v>STLV</v>
      </c>
      <c r="EN44" s="7">
        <f>'AS400'!EK44</f>
        <v>818</v>
      </c>
      <c r="EO44" s="7">
        <f>'AS400'!EL44</f>
        <v>0</v>
      </c>
      <c r="EP44" s="7">
        <f>'AS400'!EM44</f>
        <v>12</v>
      </c>
      <c r="EQ44" s="7">
        <f>'AS400'!EN44</f>
        <v>20180201</v>
      </c>
      <c r="ER44" s="7">
        <f>'AS400'!EO44</f>
        <v>0</v>
      </c>
      <c r="ES44" s="7">
        <f>'AS400'!EP44</f>
        <v>0</v>
      </c>
      <c r="ET44" s="7">
        <f>'AS400'!EQ44</f>
        <v>10</v>
      </c>
      <c r="EV44" s="7">
        <f>'AS400'!ER44</f>
        <v>47</v>
      </c>
      <c r="EW44" s="7">
        <f>'AS400'!ES44</f>
        <v>0</v>
      </c>
      <c r="EX44" s="7">
        <f>'AS400'!ET44</f>
        <v>0</v>
      </c>
      <c r="EY44" s="7">
        <f>'AS400'!EU44</f>
        <v>0</v>
      </c>
      <c r="EZ44" s="7">
        <f>'AS400'!EV44</f>
        <v>0</v>
      </c>
      <c r="FA44" s="7">
        <f>'AS400'!EW44</f>
        <v>0</v>
      </c>
      <c r="FB44" s="7">
        <f>'AS400'!EX44</f>
        <v>0</v>
      </c>
      <c r="FC44" s="7">
        <f>'AS400'!EY44</f>
        <v>0</v>
      </c>
      <c r="FD44" s="7">
        <f>'AS400'!EZ44</f>
        <v>0</v>
      </c>
      <c r="FE44" s="7">
        <f>'AS400'!FA44</f>
        <v>0</v>
      </c>
      <c r="FF44" s="7">
        <f>'AS400'!FB44</f>
        <v>0</v>
      </c>
      <c r="FG44" s="7">
        <f>'AS400'!FC44</f>
        <v>0</v>
      </c>
      <c r="FH44" s="7">
        <f>'AS400'!FD44</f>
        <v>0</v>
      </c>
      <c r="FI44" s="7">
        <f>'AS400'!FE44</f>
        <v>0</v>
      </c>
      <c r="FJ44" s="7">
        <f>'AS400'!FF44</f>
        <v>0</v>
      </c>
      <c r="FK44" s="7">
        <f>'AS400'!FG44</f>
        <v>0</v>
      </c>
      <c r="FL44" s="7">
        <f>'AS400'!FH44</f>
        <v>0</v>
      </c>
      <c r="FM44" s="7">
        <f>'AS400'!FI44</f>
        <v>1</v>
      </c>
      <c r="FN44" s="7">
        <f>'AS400'!FJ44</f>
        <v>1</v>
      </c>
      <c r="FO44" s="7">
        <f>'AS400'!FO44</f>
        <v>0</v>
      </c>
      <c r="FP44" s="7">
        <f>'AS400'!FP44</f>
        <v>4</v>
      </c>
      <c r="FQ44" s="7">
        <f>'AS400'!FQ44</f>
        <v>1</v>
      </c>
      <c r="FR44" s="7">
        <f>'AS400'!FR44</f>
        <v>1</v>
      </c>
      <c r="FS44" s="13">
        <f>'AS400'!FO44</f>
        <v>0</v>
      </c>
    </row>
    <row r="45" spans="1:175">
      <c r="A45" s="7">
        <f>'AS400'!A45</f>
        <v>39</v>
      </c>
      <c r="B45" s="7">
        <f>'AS400'!B45</f>
        <v>20190301</v>
      </c>
      <c r="C45" s="7">
        <f>'AS400'!C45</f>
        <v>0</v>
      </c>
      <c r="D45" s="7" t="str">
        <f>'AS400'!D45</f>
        <v>N</v>
      </c>
      <c r="E45" s="7" t="str">
        <f>'AS400'!E45</f>
        <v>N</v>
      </c>
      <c r="F45" s="7" t="str">
        <f>'AS400'!F45</f>
        <v>Y</v>
      </c>
      <c r="G45" s="7">
        <f>'AS400'!G45</f>
        <v>0</v>
      </c>
      <c r="H45" s="14"/>
      <c r="I45" s="7" t="str">
        <f>'AS400'!I45</f>
        <v>RSA</v>
      </c>
      <c r="J45" s="7" t="str">
        <f>'AS400'!J45</f>
        <v>METR</v>
      </c>
      <c r="K45" s="7" t="str">
        <f>'AS400'!K45</f>
        <v>N</v>
      </c>
      <c r="L45" s="7">
        <f>'AS400'!L45</f>
        <v>4</v>
      </c>
      <c r="M45" s="8">
        <f>'AS400'!M45</f>
        <v>1</v>
      </c>
      <c r="N45" s="7">
        <f>'AS400'!N45</f>
        <v>1</v>
      </c>
      <c r="O45" s="7" t="str">
        <f>'AS400'!O45</f>
        <v>MFPA</v>
      </c>
      <c r="P45" s="7">
        <f>'AS400'!P45</f>
        <v>100</v>
      </c>
      <c r="Q45" s="7">
        <f>'AS400'!Q45</f>
        <v>20180301</v>
      </c>
      <c r="R45" s="7">
        <f>'AS400'!R45</f>
        <v>20180301</v>
      </c>
      <c r="S45" s="7" t="str">
        <f>'AS400'!S45</f>
        <v>M</v>
      </c>
      <c r="T45" s="7" t="str">
        <f>'AS400'!T45</f>
        <v>MK</v>
      </c>
      <c r="U45" s="7">
        <f>'AS400'!U45</f>
        <v>20190301</v>
      </c>
      <c r="V45" s="7">
        <f>'AS400'!V45</f>
        <v>6</v>
      </c>
      <c r="W45" s="7">
        <f>'AS400'!W45</f>
        <v>6</v>
      </c>
      <c r="X45" s="7" t="str">
        <f>'AS400'!X45</f>
        <v>MFIX</v>
      </c>
      <c r="Y45" s="7">
        <f>'AS400'!Y45</f>
        <v>0</v>
      </c>
      <c r="Z45" s="7" t="str">
        <f>'AS400'!Z45</f>
        <v>STLV</v>
      </c>
      <c r="AA45" s="7">
        <f>'AS400'!AA45</f>
        <v>818</v>
      </c>
      <c r="AB45" s="7">
        <f>'AS400'!AB45</f>
        <v>0</v>
      </c>
      <c r="AC45" s="7">
        <f>'AS400'!AC45</f>
        <v>12</v>
      </c>
      <c r="AD45" s="7">
        <f>'AS400'!AD45</f>
        <v>20180201</v>
      </c>
      <c r="AE45" s="7">
        <f>'AS400'!AE45</f>
        <v>0</v>
      </c>
      <c r="AF45" s="7">
        <f>'AS400'!AF45</f>
        <v>40000</v>
      </c>
      <c r="AG45" s="7">
        <f>'AS400'!AG45</f>
        <v>191</v>
      </c>
      <c r="AI45" s="7">
        <f>'AS400'!AH45</f>
        <v>46</v>
      </c>
      <c r="AJ45" s="7">
        <f>'AS400'!AI45</f>
        <v>0</v>
      </c>
      <c r="AK45" s="7">
        <f>'AS400'!AJ45</f>
        <v>0</v>
      </c>
      <c r="AL45" s="7">
        <f>'AS400'!AK45</f>
        <v>0</v>
      </c>
      <c r="AM45" s="7">
        <f>'AS400'!AL45</f>
        <v>0</v>
      </c>
      <c r="AN45" s="7">
        <f>'AS400'!AM45</f>
        <v>0</v>
      </c>
      <c r="AO45" s="7">
        <f>'AS400'!AN45</f>
        <v>0</v>
      </c>
      <c r="AP45" s="7">
        <f>'AS400'!AO45</f>
        <v>0</v>
      </c>
      <c r="AQ45" s="7">
        <f>'AS400'!AP45</f>
        <v>0</v>
      </c>
      <c r="AR45" s="7">
        <f>'AS400'!AQ45</f>
        <v>0</v>
      </c>
      <c r="AS45" s="7">
        <f>'AS400'!AR45</f>
        <v>0</v>
      </c>
      <c r="AT45" s="7">
        <f>'AS400'!AS45</f>
        <v>0</v>
      </c>
      <c r="AU45" s="7">
        <f>'AS400'!AT45</f>
        <v>0</v>
      </c>
      <c r="AV45" s="7">
        <f>'AS400'!AU45</f>
        <v>0</v>
      </c>
      <c r="AW45" s="7">
        <f>'AS400'!AV45</f>
        <v>0</v>
      </c>
      <c r="AX45" s="7">
        <f>'AS400'!AW45</f>
        <v>0</v>
      </c>
      <c r="AY45" s="7">
        <f>'AS400'!AX45</f>
        <v>0</v>
      </c>
      <c r="AZ45" s="8">
        <f>'AS400'!AY45</f>
        <v>1</v>
      </c>
      <c r="BA45" s="7">
        <f>'AS400'!AZ45</f>
        <v>2</v>
      </c>
      <c r="BB45" s="7" t="str">
        <f>'AS400'!BA45</f>
        <v>PURO</v>
      </c>
      <c r="BC45" s="7">
        <f>'AS400'!BB45</f>
        <v>100</v>
      </c>
      <c r="BD45" s="7">
        <f>'AS400'!BC45</f>
        <v>20180301</v>
      </c>
      <c r="BE45" s="7">
        <f>'AS400'!BD45</f>
        <v>20180301</v>
      </c>
      <c r="BF45" s="7" t="str">
        <f>'AS400'!BE45</f>
        <v>S</v>
      </c>
      <c r="BG45" s="7" t="str">
        <f>'AS400'!BF45</f>
        <v>ME</v>
      </c>
      <c r="BH45" s="7">
        <f>'AS400'!BG45</f>
        <v>20180301</v>
      </c>
      <c r="BI45" s="7">
        <f>'AS400'!BH45</f>
        <v>0</v>
      </c>
      <c r="BJ45" s="7">
        <f>'AS400'!BI45</f>
        <v>0</v>
      </c>
      <c r="BK45" s="7">
        <f>'AS400'!BJ45</f>
        <v>0</v>
      </c>
      <c r="BL45" s="7">
        <f>'AS400'!BK45</f>
        <v>0</v>
      </c>
      <c r="BM45" s="7" t="str">
        <f>'AS400'!BL45</f>
        <v>STLV</v>
      </c>
      <c r="BN45" s="7">
        <f>'AS400'!BM45</f>
        <v>818</v>
      </c>
      <c r="BO45" s="7">
        <f>'AS400'!BN45</f>
        <v>0</v>
      </c>
      <c r="BP45" s="7">
        <f>'AS400'!BO45</f>
        <v>12</v>
      </c>
      <c r="BQ45" s="7">
        <f>'AS400'!BP45</f>
        <v>20180201</v>
      </c>
      <c r="BR45" s="7">
        <f>'AS400'!BQ45</f>
        <v>0</v>
      </c>
      <c r="BS45" s="7">
        <f>'AS400'!BR45</f>
        <v>0</v>
      </c>
      <c r="BT45" s="7">
        <f>'AS400'!BS45</f>
        <v>7</v>
      </c>
      <c r="BV45" s="7">
        <f>'AS400'!BT45</f>
        <v>46</v>
      </c>
      <c r="BW45" s="7">
        <f>'AS400'!BU45</f>
        <v>0</v>
      </c>
      <c r="BX45" s="7">
        <f>'AS400'!BV45</f>
        <v>0</v>
      </c>
      <c r="BY45" s="7">
        <f>'AS400'!BW45</f>
        <v>0</v>
      </c>
      <c r="BZ45" s="7">
        <f>'AS400'!BX45</f>
        <v>0</v>
      </c>
      <c r="CA45" s="7">
        <f>'AS400'!BY45</f>
        <v>0</v>
      </c>
      <c r="CB45" s="7">
        <f>'AS400'!BZ45</f>
        <v>0</v>
      </c>
      <c r="CC45" s="7">
        <f>'AS400'!CA45</f>
        <v>0</v>
      </c>
      <c r="CD45" s="7">
        <f>'AS400'!CB45</f>
        <v>0</v>
      </c>
      <c r="CE45" s="7">
        <f>'AS400'!CC45</f>
        <v>0</v>
      </c>
      <c r="CF45" s="7">
        <f>'AS400'!CD45</f>
        <v>0</v>
      </c>
      <c r="CG45" s="7">
        <f>'AS400'!CE45</f>
        <v>0</v>
      </c>
      <c r="CH45" s="7">
        <f>'AS400'!CF45</f>
        <v>0</v>
      </c>
      <c r="CI45" s="7">
        <f>'AS400'!CG45</f>
        <v>0</v>
      </c>
      <c r="CJ45" s="7">
        <f>'AS400'!CH45</f>
        <v>0</v>
      </c>
      <c r="CK45" s="7">
        <f>'AS400'!CI45</f>
        <v>0</v>
      </c>
      <c r="CL45" s="7">
        <f>'AS400'!CJ45</f>
        <v>0</v>
      </c>
      <c r="CM45" s="8">
        <f>'AS400'!CK45</f>
        <v>1</v>
      </c>
      <c r="CN45" s="7">
        <f>'AS400'!CL45</f>
        <v>3</v>
      </c>
      <c r="CO45" s="7" t="str">
        <f>'AS400'!CM45</f>
        <v>PUDT</v>
      </c>
      <c r="CP45" s="7">
        <f>'AS400'!CN45</f>
        <v>100</v>
      </c>
      <c r="CQ45" s="7">
        <f>'AS400'!CO45</f>
        <v>20180301</v>
      </c>
      <c r="CR45" s="7">
        <f>'AS400'!CP45</f>
        <v>20180301</v>
      </c>
      <c r="CS45" s="7" t="str">
        <f>'AS400'!CQ45</f>
        <v>S</v>
      </c>
      <c r="CT45" s="7" t="str">
        <f>'AS400'!CR45</f>
        <v>MT</v>
      </c>
      <c r="CU45" s="7">
        <f>'AS400'!CS45</f>
        <v>20180301</v>
      </c>
      <c r="CV45" s="7">
        <f>'AS400'!CT45</f>
        <v>0</v>
      </c>
      <c r="CW45" s="7">
        <f>'AS400'!CU45</f>
        <v>0</v>
      </c>
      <c r="CX45" s="7">
        <f>'AS400'!CV45</f>
        <v>0</v>
      </c>
      <c r="CY45" s="7">
        <f>'AS400'!CW45</f>
        <v>0</v>
      </c>
      <c r="CZ45" s="7" t="str">
        <f>'AS400'!CX45</f>
        <v>STLV</v>
      </c>
      <c r="DA45" s="7">
        <f>'AS400'!CY45</f>
        <v>818</v>
      </c>
      <c r="DB45" s="7">
        <f>'AS400'!CZ45</f>
        <v>0</v>
      </c>
      <c r="DC45" s="7">
        <f>'AS400'!DA45</f>
        <v>12</v>
      </c>
      <c r="DD45" s="7">
        <f>'AS400'!DB45</f>
        <v>20180201</v>
      </c>
      <c r="DE45" s="7">
        <f>'AS400'!DC45</f>
        <v>0</v>
      </c>
      <c r="DF45" s="7">
        <f>'AS400'!DD45</f>
        <v>0</v>
      </c>
      <c r="DG45" s="7">
        <f>'AS400'!DE45</f>
        <v>23</v>
      </c>
      <c r="DI45" s="7">
        <f>'AS400'!DF45</f>
        <v>46</v>
      </c>
      <c r="DJ45" s="7">
        <f>'AS400'!DG45</f>
        <v>0</v>
      </c>
      <c r="DK45" s="7">
        <f>'AS400'!DH45</f>
        <v>0</v>
      </c>
      <c r="DL45" s="7">
        <f>'AS400'!DI45</f>
        <v>0</v>
      </c>
      <c r="DM45" s="7">
        <f>'AS400'!DJ45</f>
        <v>0</v>
      </c>
      <c r="DN45" s="7">
        <f>'AS400'!DK45</f>
        <v>0</v>
      </c>
      <c r="DO45" s="7">
        <f>'AS400'!DL45</f>
        <v>0</v>
      </c>
      <c r="DP45" s="7">
        <f>'AS400'!DM45</f>
        <v>0</v>
      </c>
      <c r="DQ45" s="7">
        <f>'AS400'!DN45</f>
        <v>0</v>
      </c>
      <c r="DR45" s="7">
        <f>'AS400'!DO45</f>
        <v>0</v>
      </c>
      <c r="DS45" s="7">
        <f>'AS400'!DP45</f>
        <v>0</v>
      </c>
      <c r="DT45" s="7">
        <f>'AS400'!DQ45</f>
        <v>0</v>
      </c>
      <c r="DU45" s="7">
        <f>'AS400'!DR45</f>
        <v>0</v>
      </c>
      <c r="DV45" s="7">
        <f>'AS400'!DS45</f>
        <v>0</v>
      </c>
      <c r="DW45" s="7">
        <f>'AS400'!DT45</f>
        <v>0</v>
      </c>
      <c r="DX45" s="7">
        <f>'AS400'!DU45</f>
        <v>0</v>
      </c>
      <c r="DY45" s="7">
        <f>'AS400'!DV45</f>
        <v>0</v>
      </c>
      <c r="DZ45" s="8">
        <f>'AS400'!DW45</f>
        <v>1</v>
      </c>
      <c r="EA45" s="7">
        <f>'AS400'!DX45</f>
        <v>4</v>
      </c>
      <c r="EB45" s="7" t="str">
        <f>'AS400'!DY45</f>
        <v>PUDS</v>
      </c>
      <c r="EC45" s="7">
        <f>'AS400'!DZ45</f>
        <v>100</v>
      </c>
      <c r="ED45" s="7">
        <f>'AS400'!EA45</f>
        <v>20180301</v>
      </c>
      <c r="EE45" s="7">
        <f>'AS400'!EB45</f>
        <v>20180301</v>
      </c>
      <c r="EF45" s="7" t="str">
        <f>'AS400'!EC45</f>
        <v>S</v>
      </c>
      <c r="EG45" s="7" t="str">
        <f>'AS400'!ED45</f>
        <v>MS</v>
      </c>
      <c r="EH45" s="7">
        <f>'AS400'!EE45</f>
        <v>20180301</v>
      </c>
      <c r="EI45" s="7">
        <f>'AS400'!EF45</f>
        <v>0</v>
      </c>
      <c r="EJ45" s="7">
        <f>'AS400'!EG45</f>
        <v>0</v>
      </c>
      <c r="EK45" s="7">
        <f>'AS400'!EH45</f>
        <v>0</v>
      </c>
      <c r="EL45" s="7">
        <f>'AS400'!EI45</f>
        <v>0</v>
      </c>
      <c r="EM45" s="7" t="str">
        <f>'AS400'!EJ45</f>
        <v>STLV</v>
      </c>
      <c r="EN45" s="7">
        <f>'AS400'!EK45</f>
        <v>818</v>
      </c>
      <c r="EO45" s="7">
        <f>'AS400'!EL45</f>
        <v>0</v>
      </c>
      <c r="EP45" s="7">
        <f>'AS400'!EM45</f>
        <v>12</v>
      </c>
      <c r="EQ45" s="7">
        <f>'AS400'!EN45</f>
        <v>20180201</v>
      </c>
      <c r="ER45" s="7">
        <f>'AS400'!EO45</f>
        <v>0</v>
      </c>
      <c r="ES45" s="7">
        <f>'AS400'!EP45</f>
        <v>0</v>
      </c>
      <c r="ET45" s="7">
        <f>'AS400'!EQ45</f>
        <v>10</v>
      </c>
      <c r="EV45" s="7">
        <f>'AS400'!ER45</f>
        <v>46</v>
      </c>
      <c r="EW45" s="7">
        <f>'AS400'!ES45</f>
        <v>0</v>
      </c>
      <c r="EX45" s="7">
        <f>'AS400'!ET45</f>
        <v>0</v>
      </c>
      <c r="EY45" s="7">
        <f>'AS400'!EU45</f>
        <v>0</v>
      </c>
      <c r="EZ45" s="7">
        <f>'AS400'!EV45</f>
        <v>0</v>
      </c>
      <c r="FA45" s="7">
        <f>'AS400'!EW45</f>
        <v>0</v>
      </c>
      <c r="FB45" s="7">
        <f>'AS400'!EX45</f>
        <v>0</v>
      </c>
      <c r="FC45" s="7">
        <f>'AS400'!EY45</f>
        <v>0</v>
      </c>
      <c r="FD45" s="7">
        <f>'AS400'!EZ45</f>
        <v>0</v>
      </c>
      <c r="FE45" s="7">
        <f>'AS400'!FA45</f>
        <v>0</v>
      </c>
      <c r="FF45" s="7">
        <f>'AS400'!FB45</f>
        <v>0</v>
      </c>
      <c r="FG45" s="7">
        <f>'AS400'!FC45</f>
        <v>0</v>
      </c>
      <c r="FH45" s="7">
        <f>'AS400'!FD45</f>
        <v>0</v>
      </c>
      <c r="FI45" s="7">
        <f>'AS400'!FE45</f>
        <v>0</v>
      </c>
      <c r="FJ45" s="7">
        <f>'AS400'!FF45</f>
        <v>0</v>
      </c>
      <c r="FK45" s="7">
        <f>'AS400'!FG45</f>
        <v>0</v>
      </c>
      <c r="FL45" s="7">
        <f>'AS400'!FH45</f>
        <v>0</v>
      </c>
      <c r="FM45" s="7">
        <f>'AS400'!FI45</f>
        <v>1</v>
      </c>
      <c r="FN45" s="7">
        <f>'AS400'!FJ45</f>
        <v>1</v>
      </c>
      <c r="FO45" s="7">
        <f>'AS400'!FO45</f>
        <v>0</v>
      </c>
      <c r="FP45" s="7">
        <f>'AS400'!FP45</f>
        <v>4</v>
      </c>
      <c r="FQ45" s="7">
        <f>'AS400'!FQ45</f>
        <v>1</v>
      </c>
      <c r="FR45" s="7">
        <f>'AS400'!FR45</f>
        <v>1</v>
      </c>
      <c r="FS45" s="13">
        <f>'AS400'!FO45</f>
        <v>0</v>
      </c>
    </row>
    <row r="46" spans="1:175">
      <c r="A46" s="7">
        <f>'AS400'!A46</f>
        <v>40</v>
      </c>
      <c r="B46" s="7">
        <f>'AS400'!B46</f>
        <v>20190301</v>
      </c>
      <c r="C46" s="7">
        <f>'AS400'!C46</f>
        <v>0</v>
      </c>
      <c r="D46" s="7" t="str">
        <f>'AS400'!D46</f>
        <v>N</v>
      </c>
      <c r="E46" s="7" t="str">
        <f>'AS400'!E46</f>
        <v>N</v>
      </c>
      <c r="F46" s="7" t="str">
        <f>'AS400'!F46</f>
        <v>Y</v>
      </c>
      <c r="G46" s="7">
        <f>'AS400'!G46</f>
        <v>0</v>
      </c>
      <c r="H46" s="14"/>
      <c r="I46" s="7" t="str">
        <f>'AS400'!I46</f>
        <v>RSA</v>
      </c>
      <c r="J46" s="7" t="str">
        <f>'AS400'!J46</f>
        <v>METR</v>
      </c>
      <c r="K46" s="7" t="str">
        <f>'AS400'!K46</f>
        <v>N</v>
      </c>
      <c r="L46" s="7">
        <f>'AS400'!L46</f>
        <v>4</v>
      </c>
      <c r="M46" s="8">
        <f>'AS400'!M46</f>
        <v>1</v>
      </c>
      <c r="N46" s="7">
        <f>'AS400'!N46</f>
        <v>1</v>
      </c>
      <c r="O46" s="7" t="str">
        <f>'AS400'!O46</f>
        <v>MFPA</v>
      </c>
      <c r="P46" s="7">
        <f>'AS400'!P46</f>
        <v>100</v>
      </c>
      <c r="Q46" s="7">
        <f>'AS400'!Q46</f>
        <v>20180301</v>
      </c>
      <c r="R46" s="7">
        <f>'AS400'!R46</f>
        <v>20180301</v>
      </c>
      <c r="S46" s="7" t="str">
        <f>'AS400'!S46</f>
        <v>M</v>
      </c>
      <c r="T46" s="7" t="str">
        <f>'AS400'!T46</f>
        <v>ML</v>
      </c>
      <c r="U46" s="7">
        <f>'AS400'!U46</f>
        <v>20190301</v>
      </c>
      <c r="V46" s="7">
        <f>'AS400'!V46</f>
        <v>6</v>
      </c>
      <c r="W46" s="7">
        <f>'AS400'!W46</f>
        <v>6</v>
      </c>
      <c r="X46" s="7" t="str">
        <f>'AS400'!X46</f>
        <v>MFIX</v>
      </c>
      <c r="Y46" s="7">
        <f>'AS400'!Y46</f>
        <v>0</v>
      </c>
      <c r="Z46" s="7" t="str">
        <f>'AS400'!Z46</f>
        <v>STLV</v>
      </c>
      <c r="AA46" s="7">
        <f>'AS400'!AA46</f>
        <v>818</v>
      </c>
      <c r="AB46" s="7">
        <f>'AS400'!AB46</f>
        <v>0</v>
      </c>
      <c r="AC46" s="7">
        <f>'AS400'!AC46</f>
        <v>12</v>
      </c>
      <c r="AD46" s="7">
        <f>'AS400'!AD46</f>
        <v>20180201</v>
      </c>
      <c r="AE46" s="7">
        <f>'AS400'!AE46</f>
        <v>0</v>
      </c>
      <c r="AF46" s="7">
        <f>'AS400'!AF46</f>
        <v>45000</v>
      </c>
      <c r="AG46" s="7">
        <f>'AS400'!AG46</f>
        <v>172</v>
      </c>
      <c r="AI46" s="7">
        <f>'AS400'!AH46</f>
        <v>45</v>
      </c>
      <c r="AJ46" s="7">
        <f>'AS400'!AI46</f>
        <v>0</v>
      </c>
      <c r="AK46" s="7">
        <f>'AS400'!AJ46</f>
        <v>0</v>
      </c>
      <c r="AL46" s="7">
        <f>'AS400'!AK46</f>
        <v>0</v>
      </c>
      <c r="AM46" s="7">
        <f>'AS400'!AL46</f>
        <v>0</v>
      </c>
      <c r="AN46" s="7">
        <f>'AS400'!AM46</f>
        <v>0</v>
      </c>
      <c r="AO46" s="7">
        <f>'AS400'!AN46</f>
        <v>0</v>
      </c>
      <c r="AP46" s="7">
        <f>'AS400'!AO46</f>
        <v>0</v>
      </c>
      <c r="AQ46" s="7">
        <f>'AS400'!AP46</f>
        <v>0</v>
      </c>
      <c r="AR46" s="7">
        <f>'AS400'!AQ46</f>
        <v>0</v>
      </c>
      <c r="AS46" s="7">
        <f>'AS400'!AR46</f>
        <v>0</v>
      </c>
      <c r="AT46" s="7">
        <f>'AS400'!AS46</f>
        <v>0</v>
      </c>
      <c r="AU46" s="7">
        <f>'AS400'!AT46</f>
        <v>0</v>
      </c>
      <c r="AV46" s="7">
        <f>'AS400'!AU46</f>
        <v>0</v>
      </c>
      <c r="AW46" s="7">
        <f>'AS400'!AV46</f>
        <v>0</v>
      </c>
      <c r="AX46" s="7">
        <f>'AS400'!AW46</f>
        <v>0</v>
      </c>
      <c r="AY46" s="7">
        <f>'AS400'!AX46</f>
        <v>0</v>
      </c>
      <c r="AZ46" s="8">
        <f>'AS400'!AY46</f>
        <v>1</v>
      </c>
      <c r="BA46" s="7">
        <f>'AS400'!AZ46</f>
        <v>2</v>
      </c>
      <c r="BB46" s="7" t="str">
        <f>'AS400'!BA46</f>
        <v>PURO</v>
      </c>
      <c r="BC46" s="7">
        <f>'AS400'!BB46</f>
        <v>100</v>
      </c>
      <c r="BD46" s="7">
        <f>'AS400'!BC46</f>
        <v>20180301</v>
      </c>
      <c r="BE46" s="7">
        <f>'AS400'!BD46</f>
        <v>20180301</v>
      </c>
      <c r="BF46" s="7" t="str">
        <f>'AS400'!BE46</f>
        <v>S</v>
      </c>
      <c r="BG46" s="7" t="str">
        <f>'AS400'!BF46</f>
        <v>ME</v>
      </c>
      <c r="BH46" s="7">
        <f>'AS400'!BG46</f>
        <v>20180301</v>
      </c>
      <c r="BI46" s="7">
        <f>'AS400'!BH46</f>
        <v>0</v>
      </c>
      <c r="BJ46" s="7">
        <f>'AS400'!BI46</f>
        <v>0</v>
      </c>
      <c r="BK46" s="7">
        <f>'AS400'!BJ46</f>
        <v>0</v>
      </c>
      <c r="BL46" s="7">
        <f>'AS400'!BK46</f>
        <v>0</v>
      </c>
      <c r="BM46" s="7" t="str">
        <f>'AS400'!BL46</f>
        <v>STLV</v>
      </c>
      <c r="BN46" s="7">
        <f>'AS400'!BM46</f>
        <v>818</v>
      </c>
      <c r="BO46" s="7">
        <f>'AS400'!BN46</f>
        <v>0</v>
      </c>
      <c r="BP46" s="7">
        <f>'AS400'!BO46</f>
        <v>12</v>
      </c>
      <c r="BQ46" s="7">
        <f>'AS400'!BP46</f>
        <v>20180201</v>
      </c>
      <c r="BR46" s="7">
        <f>'AS400'!BQ46</f>
        <v>0</v>
      </c>
      <c r="BS46" s="7">
        <f>'AS400'!BR46</f>
        <v>0</v>
      </c>
      <c r="BT46" s="7">
        <f>'AS400'!BS46</f>
        <v>7</v>
      </c>
      <c r="BV46" s="7">
        <f>'AS400'!BT46</f>
        <v>45</v>
      </c>
      <c r="BW46" s="7">
        <f>'AS400'!BU46</f>
        <v>0</v>
      </c>
      <c r="BX46" s="7">
        <f>'AS400'!BV46</f>
        <v>0</v>
      </c>
      <c r="BY46" s="7">
        <f>'AS400'!BW46</f>
        <v>0</v>
      </c>
      <c r="BZ46" s="7">
        <f>'AS400'!BX46</f>
        <v>0</v>
      </c>
      <c r="CA46" s="7">
        <f>'AS400'!BY46</f>
        <v>0</v>
      </c>
      <c r="CB46" s="7">
        <f>'AS400'!BZ46</f>
        <v>0</v>
      </c>
      <c r="CC46" s="7">
        <f>'AS400'!CA46</f>
        <v>0</v>
      </c>
      <c r="CD46" s="7">
        <f>'AS400'!CB46</f>
        <v>0</v>
      </c>
      <c r="CE46" s="7">
        <f>'AS400'!CC46</f>
        <v>0</v>
      </c>
      <c r="CF46" s="7">
        <f>'AS400'!CD46</f>
        <v>0</v>
      </c>
      <c r="CG46" s="7">
        <f>'AS400'!CE46</f>
        <v>0</v>
      </c>
      <c r="CH46" s="7">
        <f>'AS400'!CF46</f>
        <v>0</v>
      </c>
      <c r="CI46" s="7">
        <f>'AS400'!CG46</f>
        <v>0</v>
      </c>
      <c r="CJ46" s="7">
        <f>'AS400'!CH46</f>
        <v>0</v>
      </c>
      <c r="CK46" s="7">
        <f>'AS400'!CI46</f>
        <v>0</v>
      </c>
      <c r="CL46" s="7">
        <f>'AS400'!CJ46</f>
        <v>0</v>
      </c>
      <c r="CM46" s="8">
        <f>'AS400'!CK46</f>
        <v>1</v>
      </c>
      <c r="CN46" s="7">
        <f>'AS400'!CL46</f>
        <v>3</v>
      </c>
      <c r="CO46" s="7" t="str">
        <f>'AS400'!CM46</f>
        <v>PUDT</v>
      </c>
      <c r="CP46" s="7">
        <f>'AS400'!CN46</f>
        <v>100</v>
      </c>
      <c r="CQ46" s="7">
        <f>'AS400'!CO46</f>
        <v>20180301</v>
      </c>
      <c r="CR46" s="7">
        <f>'AS400'!CP46</f>
        <v>20180301</v>
      </c>
      <c r="CS46" s="7" t="str">
        <f>'AS400'!CQ46</f>
        <v>S</v>
      </c>
      <c r="CT46" s="7" t="str">
        <f>'AS400'!CR46</f>
        <v>MT</v>
      </c>
      <c r="CU46" s="7">
        <f>'AS400'!CS46</f>
        <v>20180301</v>
      </c>
      <c r="CV46" s="7">
        <f>'AS400'!CT46</f>
        <v>0</v>
      </c>
      <c r="CW46" s="7">
        <f>'AS400'!CU46</f>
        <v>0</v>
      </c>
      <c r="CX46" s="7">
        <f>'AS400'!CV46</f>
        <v>0</v>
      </c>
      <c r="CY46" s="7">
        <f>'AS400'!CW46</f>
        <v>0</v>
      </c>
      <c r="CZ46" s="7" t="str">
        <f>'AS400'!CX46</f>
        <v>STLV</v>
      </c>
      <c r="DA46" s="7">
        <f>'AS400'!CY46</f>
        <v>818</v>
      </c>
      <c r="DB46" s="7">
        <f>'AS400'!CZ46</f>
        <v>0</v>
      </c>
      <c r="DC46" s="7">
        <f>'AS400'!DA46</f>
        <v>12</v>
      </c>
      <c r="DD46" s="7">
        <f>'AS400'!DB46</f>
        <v>20180201</v>
      </c>
      <c r="DE46" s="7">
        <f>'AS400'!DC46</f>
        <v>0</v>
      </c>
      <c r="DF46" s="7">
        <f>'AS400'!DD46</f>
        <v>0</v>
      </c>
      <c r="DG46" s="7">
        <f>'AS400'!DE46</f>
        <v>18</v>
      </c>
      <c r="DI46" s="7">
        <f>'AS400'!DF46</f>
        <v>45</v>
      </c>
      <c r="DJ46" s="7">
        <f>'AS400'!DG46</f>
        <v>0</v>
      </c>
      <c r="DK46" s="7">
        <f>'AS400'!DH46</f>
        <v>0</v>
      </c>
      <c r="DL46" s="7">
        <f>'AS400'!DI46</f>
        <v>0</v>
      </c>
      <c r="DM46" s="7">
        <f>'AS400'!DJ46</f>
        <v>0</v>
      </c>
      <c r="DN46" s="7">
        <f>'AS400'!DK46</f>
        <v>0</v>
      </c>
      <c r="DO46" s="7">
        <f>'AS400'!DL46</f>
        <v>0</v>
      </c>
      <c r="DP46" s="7">
        <f>'AS400'!DM46</f>
        <v>0</v>
      </c>
      <c r="DQ46" s="7">
        <f>'AS400'!DN46</f>
        <v>0</v>
      </c>
      <c r="DR46" s="7">
        <f>'AS400'!DO46</f>
        <v>0</v>
      </c>
      <c r="DS46" s="7">
        <f>'AS400'!DP46</f>
        <v>0</v>
      </c>
      <c r="DT46" s="7">
        <f>'AS400'!DQ46</f>
        <v>0</v>
      </c>
      <c r="DU46" s="7">
        <f>'AS400'!DR46</f>
        <v>0</v>
      </c>
      <c r="DV46" s="7">
        <f>'AS400'!DS46</f>
        <v>0</v>
      </c>
      <c r="DW46" s="7">
        <f>'AS400'!DT46</f>
        <v>0</v>
      </c>
      <c r="DX46" s="7">
        <f>'AS400'!DU46</f>
        <v>0</v>
      </c>
      <c r="DY46" s="7">
        <f>'AS400'!DV46</f>
        <v>0</v>
      </c>
      <c r="DZ46" s="8">
        <f>'AS400'!DW46</f>
        <v>1</v>
      </c>
      <c r="EA46" s="7">
        <f>'AS400'!DX46</f>
        <v>4</v>
      </c>
      <c r="EB46" s="7" t="str">
        <f>'AS400'!DY46</f>
        <v>PUDS</v>
      </c>
      <c r="EC46" s="7">
        <f>'AS400'!DZ46</f>
        <v>100</v>
      </c>
      <c r="ED46" s="7">
        <f>'AS400'!EA46</f>
        <v>20180301</v>
      </c>
      <c r="EE46" s="7">
        <f>'AS400'!EB46</f>
        <v>20180301</v>
      </c>
      <c r="EF46" s="7" t="str">
        <f>'AS400'!EC46</f>
        <v>S</v>
      </c>
      <c r="EG46" s="7" t="str">
        <f>'AS400'!ED46</f>
        <v>MS</v>
      </c>
      <c r="EH46" s="7">
        <f>'AS400'!EE46</f>
        <v>20180301</v>
      </c>
      <c r="EI46" s="7">
        <f>'AS400'!EF46</f>
        <v>0</v>
      </c>
      <c r="EJ46" s="7">
        <f>'AS400'!EG46</f>
        <v>0</v>
      </c>
      <c r="EK46" s="7">
        <f>'AS400'!EH46</f>
        <v>0</v>
      </c>
      <c r="EL46" s="7">
        <f>'AS400'!EI46</f>
        <v>0</v>
      </c>
      <c r="EM46" s="7" t="str">
        <f>'AS400'!EJ46</f>
        <v>STLV</v>
      </c>
      <c r="EN46" s="7">
        <f>'AS400'!EK46</f>
        <v>818</v>
      </c>
      <c r="EO46" s="7">
        <f>'AS400'!EL46</f>
        <v>0</v>
      </c>
      <c r="EP46" s="7">
        <f>'AS400'!EM46</f>
        <v>12</v>
      </c>
      <c r="EQ46" s="7">
        <f>'AS400'!EN46</f>
        <v>20180201</v>
      </c>
      <c r="ER46" s="7">
        <f>'AS400'!EO46</f>
        <v>0</v>
      </c>
      <c r="ES46" s="7">
        <f>'AS400'!EP46</f>
        <v>0</v>
      </c>
      <c r="ET46" s="7">
        <f>'AS400'!EQ46</f>
        <v>9</v>
      </c>
      <c r="EV46" s="7">
        <f>'AS400'!ER46</f>
        <v>45</v>
      </c>
      <c r="EW46" s="7">
        <f>'AS400'!ES46</f>
        <v>0</v>
      </c>
      <c r="EX46" s="7">
        <f>'AS400'!ET46</f>
        <v>0</v>
      </c>
      <c r="EY46" s="7">
        <f>'AS400'!EU46</f>
        <v>0</v>
      </c>
      <c r="EZ46" s="7">
        <f>'AS400'!EV46</f>
        <v>0</v>
      </c>
      <c r="FA46" s="7">
        <f>'AS400'!EW46</f>
        <v>0</v>
      </c>
      <c r="FB46" s="7">
        <f>'AS400'!EX46</f>
        <v>0</v>
      </c>
      <c r="FC46" s="7">
        <f>'AS400'!EY46</f>
        <v>0</v>
      </c>
      <c r="FD46" s="7">
        <f>'AS400'!EZ46</f>
        <v>0</v>
      </c>
      <c r="FE46" s="7">
        <f>'AS400'!FA46</f>
        <v>0</v>
      </c>
      <c r="FF46" s="7">
        <f>'AS400'!FB46</f>
        <v>0</v>
      </c>
      <c r="FG46" s="7">
        <f>'AS400'!FC46</f>
        <v>0</v>
      </c>
      <c r="FH46" s="7">
        <f>'AS400'!FD46</f>
        <v>0</v>
      </c>
      <c r="FI46" s="7">
        <f>'AS400'!FE46</f>
        <v>0</v>
      </c>
      <c r="FJ46" s="7">
        <f>'AS400'!FF46</f>
        <v>0</v>
      </c>
      <c r="FK46" s="7">
        <f>'AS400'!FG46</f>
        <v>0</v>
      </c>
      <c r="FL46" s="7">
        <f>'AS400'!FH46</f>
        <v>0</v>
      </c>
      <c r="FM46" s="7">
        <f>'AS400'!FI46</f>
        <v>1</v>
      </c>
      <c r="FN46" s="7">
        <f>'AS400'!FJ46</f>
        <v>1</v>
      </c>
      <c r="FO46" s="7">
        <f>'AS400'!FO46</f>
        <v>0</v>
      </c>
      <c r="FP46" s="7">
        <f>'AS400'!FP46</f>
        <v>4</v>
      </c>
      <c r="FQ46" s="7">
        <f>'AS400'!FQ46</f>
        <v>1</v>
      </c>
      <c r="FR46" s="7">
        <f>'AS400'!FR46</f>
        <v>1</v>
      </c>
      <c r="FS46" s="13">
        <f>'AS400'!FO46</f>
        <v>0</v>
      </c>
    </row>
    <row r="47" spans="1:175">
      <c r="A47" s="7">
        <f>'AS400'!A47</f>
        <v>41</v>
      </c>
      <c r="B47" s="7">
        <f>'AS400'!B47</f>
        <v>20190301</v>
      </c>
      <c r="C47" s="7">
        <f>'AS400'!C47</f>
        <v>0</v>
      </c>
      <c r="D47" s="7" t="str">
        <f>'AS400'!D47</f>
        <v>N</v>
      </c>
      <c r="E47" s="7" t="str">
        <f>'AS400'!E47</f>
        <v>N</v>
      </c>
      <c r="F47" s="7" t="str">
        <f>'AS400'!F47</f>
        <v>Y</v>
      </c>
      <c r="G47" s="7">
        <f>'AS400'!G47</f>
        <v>0</v>
      </c>
      <c r="H47" s="14"/>
      <c r="I47" s="7" t="str">
        <f>'AS400'!I47</f>
        <v>RSA</v>
      </c>
      <c r="J47" s="7" t="str">
        <f>'AS400'!J47</f>
        <v>METR</v>
      </c>
      <c r="K47" s="7" t="str">
        <f>'AS400'!K47</f>
        <v>N</v>
      </c>
      <c r="L47" s="7">
        <f>'AS400'!L47</f>
        <v>4</v>
      </c>
      <c r="M47" s="8">
        <f>'AS400'!M47</f>
        <v>1</v>
      </c>
      <c r="N47" s="7">
        <f>'AS400'!N47</f>
        <v>1</v>
      </c>
      <c r="O47" s="7" t="str">
        <f>'AS400'!O47</f>
        <v>MFPA</v>
      </c>
      <c r="P47" s="7">
        <f>'AS400'!P47</f>
        <v>100</v>
      </c>
      <c r="Q47" s="7">
        <f>'AS400'!Q47</f>
        <v>20180301</v>
      </c>
      <c r="R47" s="7">
        <f>'AS400'!R47</f>
        <v>20180301</v>
      </c>
      <c r="S47" s="7" t="str">
        <f>'AS400'!S47</f>
        <v>M</v>
      </c>
      <c r="T47" s="7" t="str">
        <f>'AS400'!T47</f>
        <v>MM</v>
      </c>
      <c r="U47" s="7">
        <f>'AS400'!U47</f>
        <v>20190301</v>
      </c>
      <c r="V47" s="7">
        <f>'AS400'!V47</f>
        <v>10</v>
      </c>
      <c r="W47" s="7">
        <f>'AS400'!W47</f>
        <v>10</v>
      </c>
      <c r="X47" s="7" t="str">
        <f>'AS400'!X47</f>
        <v>MFIX</v>
      </c>
      <c r="Y47" s="7">
        <f>'AS400'!Y47</f>
        <v>0</v>
      </c>
      <c r="Z47" s="7" t="str">
        <f>'AS400'!Z47</f>
        <v>STLV</v>
      </c>
      <c r="AA47" s="7">
        <f>'AS400'!AA47</f>
        <v>818</v>
      </c>
      <c r="AB47" s="7">
        <f>'AS400'!AB47</f>
        <v>0</v>
      </c>
      <c r="AC47" s="7">
        <f>'AS400'!AC47</f>
        <v>12</v>
      </c>
      <c r="AD47" s="7">
        <f>'AS400'!AD47</f>
        <v>20180201</v>
      </c>
      <c r="AE47" s="7">
        <f>'AS400'!AE47</f>
        <v>0</v>
      </c>
      <c r="AF47" s="7">
        <f>'AS400'!AF47</f>
        <v>50000</v>
      </c>
      <c r="AG47" s="7">
        <f>'AS400'!AG47</f>
        <v>185</v>
      </c>
      <c r="AI47" s="7">
        <f>'AS400'!AH47</f>
        <v>44</v>
      </c>
      <c r="AJ47" s="7">
        <f>'AS400'!AI47</f>
        <v>0</v>
      </c>
      <c r="AK47" s="7">
        <f>'AS400'!AJ47</f>
        <v>0</v>
      </c>
      <c r="AL47" s="7">
        <f>'AS400'!AK47</f>
        <v>0</v>
      </c>
      <c r="AM47" s="7">
        <f>'AS400'!AL47</f>
        <v>0</v>
      </c>
      <c r="AN47" s="7">
        <f>'AS400'!AM47</f>
        <v>0</v>
      </c>
      <c r="AO47" s="7">
        <f>'AS400'!AN47</f>
        <v>0</v>
      </c>
      <c r="AP47" s="7">
        <f>'AS400'!AO47</f>
        <v>0</v>
      </c>
      <c r="AQ47" s="7">
        <f>'AS400'!AP47</f>
        <v>0</v>
      </c>
      <c r="AR47" s="7">
        <f>'AS400'!AQ47</f>
        <v>0</v>
      </c>
      <c r="AS47" s="7">
        <f>'AS400'!AR47</f>
        <v>0</v>
      </c>
      <c r="AT47" s="7">
        <f>'AS400'!AS47</f>
        <v>0</v>
      </c>
      <c r="AU47" s="7">
        <f>'AS400'!AT47</f>
        <v>0</v>
      </c>
      <c r="AV47" s="7">
        <f>'AS400'!AU47</f>
        <v>0</v>
      </c>
      <c r="AW47" s="7">
        <f>'AS400'!AV47</f>
        <v>0</v>
      </c>
      <c r="AX47" s="7">
        <f>'AS400'!AW47</f>
        <v>0</v>
      </c>
      <c r="AY47" s="7">
        <f>'AS400'!AX47</f>
        <v>0</v>
      </c>
      <c r="AZ47" s="8">
        <f>'AS400'!AY47</f>
        <v>1</v>
      </c>
      <c r="BA47" s="7">
        <f>'AS400'!AZ47</f>
        <v>2</v>
      </c>
      <c r="BB47" s="7" t="str">
        <f>'AS400'!BA47</f>
        <v>PURO</v>
      </c>
      <c r="BC47" s="7">
        <f>'AS400'!BB47</f>
        <v>100</v>
      </c>
      <c r="BD47" s="7">
        <f>'AS400'!BC47</f>
        <v>20180301</v>
      </c>
      <c r="BE47" s="7">
        <f>'AS400'!BD47</f>
        <v>20180301</v>
      </c>
      <c r="BF47" s="7" t="str">
        <f>'AS400'!BE47</f>
        <v>S</v>
      </c>
      <c r="BG47" s="7" t="str">
        <f>'AS400'!BF47</f>
        <v>ME</v>
      </c>
      <c r="BH47" s="7">
        <f>'AS400'!BG47</f>
        <v>20180301</v>
      </c>
      <c r="BI47" s="7">
        <f>'AS400'!BH47</f>
        <v>0</v>
      </c>
      <c r="BJ47" s="7">
        <f>'AS400'!BI47</f>
        <v>0</v>
      </c>
      <c r="BK47" s="7">
        <f>'AS400'!BJ47</f>
        <v>0</v>
      </c>
      <c r="BL47" s="7">
        <f>'AS400'!BK47</f>
        <v>0</v>
      </c>
      <c r="BM47" s="7" t="str">
        <f>'AS400'!BL47</f>
        <v>STLV</v>
      </c>
      <c r="BN47" s="7">
        <f>'AS400'!BM47</f>
        <v>818</v>
      </c>
      <c r="BO47" s="7">
        <f>'AS400'!BN47</f>
        <v>0</v>
      </c>
      <c r="BP47" s="7">
        <f>'AS400'!BO47</f>
        <v>12</v>
      </c>
      <c r="BQ47" s="7">
        <f>'AS400'!BP47</f>
        <v>20180201</v>
      </c>
      <c r="BR47" s="7">
        <f>'AS400'!BQ47</f>
        <v>0</v>
      </c>
      <c r="BS47" s="7">
        <f>'AS400'!BR47</f>
        <v>0</v>
      </c>
      <c r="BT47" s="7">
        <f>'AS400'!BS47</f>
        <v>7</v>
      </c>
      <c r="BV47" s="7">
        <f>'AS400'!BT47</f>
        <v>44</v>
      </c>
      <c r="BW47" s="7">
        <f>'AS400'!BU47</f>
        <v>0</v>
      </c>
      <c r="BX47" s="7">
        <f>'AS400'!BV47</f>
        <v>0</v>
      </c>
      <c r="BY47" s="7">
        <f>'AS400'!BW47</f>
        <v>0</v>
      </c>
      <c r="BZ47" s="7">
        <f>'AS400'!BX47</f>
        <v>0</v>
      </c>
      <c r="CA47" s="7">
        <f>'AS400'!BY47</f>
        <v>0</v>
      </c>
      <c r="CB47" s="7">
        <f>'AS400'!BZ47</f>
        <v>0</v>
      </c>
      <c r="CC47" s="7">
        <f>'AS400'!CA47</f>
        <v>0</v>
      </c>
      <c r="CD47" s="7">
        <f>'AS400'!CB47</f>
        <v>0</v>
      </c>
      <c r="CE47" s="7">
        <f>'AS400'!CC47</f>
        <v>0</v>
      </c>
      <c r="CF47" s="7">
        <f>'AS400'!CD47</f>
        <v>0</v>
      </c>
      <c r="CG47" s="7">
        <f>'AS400'!CE47</f>
        <v>0</v>
      </c>
      <c r="CH47" s="7">
        <f>'AS400'!CF47</f>
        <v>0</v>
      </c>
      <c r="CI47" s="7">
        <f>'AS400'!CG47</f>
        <v>0</v>
      </c>
      <c r="CJ47" s="7">
        <f>'AS400'!CH47</f>
        <v>0</v>
      </c>
      <c r="CK47" s="7">
        <f>'AS400'!CI47</f>
        <v>0</v>
      </c>
      <c r="CL47" s="7">
        <f>'AS400'!CJ47</f>
        <v>0</v>
      </c>
      <c r="CM47" s="8">
        <f>'AS400'!CK47</f>
        <v>1</v>
      </c>
      <c r="CN47" s="7">
        <f>'AS400'!CL47</f>
        <v>3</v>
      </c>
      <c r="CO47" s="7" t="str">
        <f>'AS400'!CM47</f>
        <v>PUDT</v>
      </c>
      <c r="CP47" s="7">
        <f>'AS400'!CN47</f>
        <v>100</v>
      </c>
      <c r="CQ47" s="7">
        <f>'AS400'!CO47</f>
        <v>20180301</v>
      </c>
      <c r="CR47" s="7">
        <f>'AS400'!CP47</f>
        <v>20180301</v>
      </c>
      <c r="CS47" s="7" t="str">
        <f>'AS400'!CQ47</f>
        <v>S</v>
      </c>
      <c r="CT47" s="7" t="str">
        <f>'AS400'!CR47</f>
        <v>MT</v>
      </c>
      <c r="CU47" s="7">
        <f>'AS400'!CS47</f>
        <v>20180301</v>
      </c>
      <c r="CV47" s="7">
        <f>'AS400'!CT47</f>
        <v>0</v>
      </c>
      <c r="CW47" s="7">
        <f>'AS400'!CU47</f>
        <v>0</v>
      </c>
      <c r="CX47" s="7">
        <f>'AS400'!CV47</f>
        <v>0</v>
      </c>
      <c r="CY47" s="7">
        <f>'AS400'!CW47</f>
        <v>0</v>
      </c>
      <c r="CZ47" s="7" t="str">
        <f>'AS400'!CX47</f>
        <v>STLV</v>
      </c>
      <c r="DA47" s="7">
        <f>'AS400'!CY47</f>
        <v>818</v>
      </c>
      <c r="DB47" s="7">
        <f>'AS400'!CZ47</f>
        <v>0</v>
      </c>
      <c r="DC47" s="7">
        <f>'AS400'!DA47</f>
        <v>12</v>
      </c>
      <c r="DD47" s="7">
        <f>'AS400'!DB47</f>
        <v>20180201</v>
      </c>
      <c r="DE47" s="7">
        <f>'AS400'!DC47</f>
        <v>0</v>
      </c>
      <c r="DF47" s="7">
        <f>'AS400'!DD47</f>
        <v>0</v>
      </c>
      <c r="DG47" s="7">
        <f>'AS400'!DE47</f>
        <v>19</v>
      </c>
      <c r="DI47" s="7">
        <f>'AS400'!DF47</f>
        <v>44</v>
      </c>
      <c r="DJ47" s="7">
        <f>'AS400'!DG47</f>
        <v>0</v>
      </c>
      <c r="DK47" s="7">
        <f>'AS400'!DH47</f>
        <v>0</v>
      </c>
      <c r="DL47" s="7">
        <f>'AS400'!DI47</f>
        <v>0</v>
      </c>
      <c r="DM47" s="7">
        <f>'AS400'!DJ47</f>
        <v>0</v>
      </c>
      <c r="DN47" s="7">
        <f>'AS400'!DK47</f>
        <v>0</v>
      </c>
      <c r="DO47" s="7">
        <f>'AS400'!DL47</f>
        <v>0</v>
      </c>
      <c r="DP47" s="7">
        <f>'AS400'!DM47</f>
        <v>0</v>
      </c>
      <c r="DQ47" s="7">
        <f>'AS400'!DN47</f>
        <v>0</v>
      </c>
      <c r="DR47" s="7">
        <f>'AS400'!DO47</f>
        <v>0</v>
      </c>
      <c r="DS47" s="7">
        <f>'AS400'!DP47</f>
        <v>0</v>
      </c>
      <c r="DT47" s="7">
        <f>'AS400'!DQ47</f>
        <v>0</v>
      </c>
      <c r="DU47" s="7">
        <f>'AS400'!DR47</f>
        <v>0</v>
      </c>
      <c r="DV47" s="7">
        <f>'AS400'!DS47</f>
        <v>0</v>
      </c>
      <c r="DW47" s="7">
        <f>'AS400'!DT47</f>
        <v>0</v>
      </c>
      <c r="DX47" s="7">
        <f>'AS400'!DU47</f>
        <v>0</v>
      </c>
      <c r="DY47" s="7">
        <f>'AS400'!DV47</f>
        <v>0</v>
      </c>
      <c r="DZ47" s="8">
        <f>'AS400'!DW47</f>
        <v>1</v>
      </c>
      <c r="EA47" s="7">
        <f>'AS400'!DX47</f>
        <v>4</v>
      </c>
      <c r="EB47" s="7" t="str">
        <f>'AS400'!DY47</f>
        <v>PUDS</v>
      </c>
      <c r="EC47" s="7">
        <f>'AS400'!DZ47</f>
        <v>100</v>
      </c>
      <c r="ED47" s="7">
        <f>'AS400'!EA47</f>
        <v>20180301</v>
      </c>
      <c r="EE47" s="7">
        <f>'AS400'!EB47</f>
        <v>20180301</v>
      </c>
      <c r="EF47" s="7" t="str">
        <f>'AS400'!EC47</f>
        <v>S</v>
      </c>
      <c r="EG47" s="7" t="str">
        <f>'AS400'!ED47</f>
        <v>MS</v>
      </c>
      <c r="EH47" s="7">
        <f>'AS400'!EE47</f>
        <v>20180301</v>
      </c>
      <c r="EI47" s="7">
        <f>'AS400'!EF47</f>
        <v>0</v>
      </c>
      <c r="EJ47" s="7">
        <f>'AS400'!EG47</f>
        <v>0</v>
      </c>
      <c r="EK47" s="7">
        <f>'AS400'!EH47</f>
        <v>0</v>
      </c>
      <c r="EL47" s="7">
        <f>'AS400'!EI47</f>
        <v>0</v>
      </c>
      <c r="EM47" s="7" t="str">
        <f>'AS400'!EJ47</f>
        <v>STLV</v>
      </c>
      <c r="EN47" s="7">
        <f>'AS400'!EK47</f>
        <v>818</v>
      </c>
      <c r="EO47" s="7">
        <f>'AS400'!EL47</f>
        <v>0</v>
      </c>
      <c r="EP47" s="7">
        <f>'AS400'!EM47</f>
        <v>12</v>
      </c>
      <c r="EQ47" s="7">
        <f>'AS400'!EN47</f>
        <v>20180201</v>
      </c>
      <c r="ER47" s="7">
        <f>'AS400'!EO47</f>
        <v>0</v>
      </c>
      <c r="ES47" s="7">
        <f>'AS400'!EP47</f>
        <v>0</v>
      </c>
      <c r="ET47" s="7">
        <f>'AS400'!EQ47</f>
        <v>9</v>
      </c>
      <c r="EV47" s="7">
        <f>'AS400'!ER47</f>
        <v>44</v>
      </c>
      <c r="EW47" s="7">
        <f>'AS400'!ES47</f>
        <v>0</v>
      </c>
      <c r="EX47" s="7">
        <f>'AS400'!ET47</f>
        <v>0</v>
      </c>
      <c r="EY47" s="7">
        <f>'AS400'!EU47</f>
        <v>0</v>
      </c>
      <c r="EZ47" s="7">
        <f>'AS400'!EV47</f>
        <v>0</v>
      </c>
      <c r="FA47" s="7">
        <f>'AS400'!EW47</f>
        <v>0</v>
      </c>
      <c r="FB47" s="7">
        <f>'AS400'!EX47</f>
        <v>0</v>
      </c>
      <c r="FC47" s="7">
        <f>'AS400'!EY47</f>
        <v>0</v>
      </c>
      <c r="FD47" s="7">
        <f>'AS400'!EZ47</f>
        <v>0</v>
      </c>
      <c r="FE47" s="7">
        <f>'AS400'!FA47</f>
        <v>0</v>
      </c>
      <c r="FF47" s="7">
        <f>'AS400'!FB47</f>
        <v>0</v>
      </c>
      <c r="FG47" s="7">
        <f>'AS400'!FC47</f>
        <v>0</v>
      </c>
      <c r="FH47" s="7">
        <f>'AS400'!FD47</f>
        <v>0</v>
      </c>
      <c r="FI47" s="7">
        <f>'AS400'!FE47</f>
        <v>0</v>
      </c>
      <c r="FJ47" s="7">
        <f>'AS400'!FF47</f>
        <v>0</v>
      </c>
      <c r="FK47" s="7">
        <f>'AS400'!FG47</f>
        <v>0</v>
      </c>
      <c r="FL47" s="7">
        <f>'AS400'!FH47</f>
        <v>0</v>
      </c>
      <c r="FM47" s="7">
        <f>'AS400'!FI47</f>
        <v>1</v>
      </c>
      <c r="FN47" s="7">
        <f>'AS400'!FJ47</f>
        <v>1</v>
      </c>
      <c r="FO47" s="7">
        <f>'AS400'!FO47</f>
        <v>0</v>
      </c>
      <c r="FP47" s="7">
        <f>'AS400'!FP47</f>
        <v>4</v>
      </c>
      <c r="FQ47" s="7">
        <f>'AS400'!FQ47</f>
        <v>1</v>
      </c>
      <c r="FR47" s="7">
        <f>'AS400'!FR47</f>
        <v>1</v>
      </c>
      <c r="FS47" s="13">
        <f>'AS400'!FO47</f>
        <v>0</v>
      </c>
    </row>
    <row r="48" spans="1:175">
      <c r="A48" s="7">
        <f>'AS400'!A48</f>
        <v>42</v>
      </c>
      <c r="B48" s="7">
        <f>'AS400'!B48</f>
        <v>20190301</v>
      </c>
      <c r="C48" s="7">
        <f>'AS400'!C48</f>
        <v>0</v>
      </c>
      <c r="D48" s="7" t="str">
        <f>'AS400'!D48</f>
        <v>N</v>
      </c>
      <c r="E48" s="7" t="str">
        <f>'AS400'!E48</f>
        <v>N</v>
      </c>
      <c r="F48" s="7" t="str">
        <f>'AS400'!F48</f>
        <v>Y</v>
      </c>
      <c r="G48" s="7">
        <f>'AS400'!G48</f>
        <v>0</v>
      </c>
      <c r="H48" s="14"/>
      <c r="I48" s="7" t="str">
        <f>'AS400'!I48</f>
        <v>RSA</v>
      </c>
      <c r="J48" s="7" t="str">
        <f>'AS400'!J48</f>
        <v>METR</v>
      </c>
      <c r="K48" s="7" t="str">
        <f>'AS400'!K48</f>
        <v>N</v>
      </c>
      <c r="L48" s="7">
        <f>'AS400'!L48</f>
        <v>4</v>
      </c>
      <c r="M48" s="8">
        <f>'AS400'!M48</f>
        <v>1</v>
      </c>
      <c r="N48" s="7">
        <f>'AS400'!N48</f>
        <v>1</v>
      </c>
      <c r="O48" s="7" t="str">
        <f>'AS400'!O48</f>
        <v>MFPA</v>
      </c>
      <c r="P48" s="7">
        <f>'AS400'!P48</f>
        <v>100</v>
      </c>
      <c r="Q48" s="7">
        <f>'AS400'!Q48</f>
        <v>20180301</v>
      </c>
      <c r="R48" s="7">
        <f>'AS400'!R48</f>
        <v>20180301</v>
      </c>
      <c r="S48" s="7" t="str">
        <f>'AS400'!S48</f>
        <v>M</v>
      </c>
      <c r="T48" s="7" t="str">
        <f>'AS400'!T48</f>
        <v>MM</v>
      </c>
      <c r="U48" s="7">
        <f>'AS400'!U48</f>
        <v>20190301</v>
      </c>
      <c r="V48" s="7">
        <f>'AS400'!V48</f>
        <v>10</v>
      </c>
      <c r="W48" s="7">
        <f>'AS400'!W48</f>
        <v>10</v>
      </c>
      <c r="X48" s="7" t="str">
        <f>'AS400'!X48</f>
        <v>MFIX</v>
      </c>
      <c r="Y48" s="7">
        <f>'AS400'!Y48</f>
        <v>0</v>
      </c>
      <c r="Z48" s="7" t="str">
        <f>'AS400'!Z48</f>
        <v>STLV</v>
      </c>
      <c r="AA48" s="7">
        <f>'AS400'!AA48</f>
        <v>818</v>
      </c>
      <c r="AB48" s="7">
        <f>'AS400'!AB48</f>
        <v>0</v>
      </c>
      <c r="AC48" s="7">
        <f>'AS400'!AC48</f>
        <v>12</v>
      </c>
      <c r="AD48" s="7">
        <f>'AS400'!AD48</f>
        <v>20180201</v>
      </c>
      <c r="AE48" s="7">
        <f>'AS400'!AE48</f>
        <v>0</v>
      </c>
      <c r="AF48" s="7">
        <f>'AS400'!AF48</f>
        <v>50000</v>
      </c>
      <c r="AG48" s="7">
        <f>'AS400'!AG48</f>
        <v>185</v>
      </c>
      <c r="AI48" s="7">
        <f>'AS400'!AH48</f>
        <v>44</v>
      </c>
      <c r="AJ48" s="7">
        <f>'AS400'!AI48</f>
        <v>0</v>
      </c>
      <c r="AK48" s="7">
        <f>'AS400'!AJ48</f>
        <v>0</v>
      </c>
      <c r="AL48" s="7">
        <f>'AS400'!AK48</f>
        <v>0</v>
      </c>
      <c r="AM48" s="7">
        <f>'AS400'!AL48</f>
        <v>0</v>
      </c>
      <c r="AN48" s="7">
        <f>'AS400'!AM48</f>
        <v>0</v>
      </c>
      <c r="AO48" s="7">
        <f>'AS400'!AN48</f>
        <v>0</v>
      </c>
      <c r="AP48" s="7">
        <f>'AS400'!AO48</f>
        <v>0</v>
      </c>
      <c r="AQ48" s="7">
        <f>'AS400'!AP48</f>
        <v>0</v>
      </c>
      <c r="AR48" s="7">
        <f>'AS400'!AQ48</f>
        <v>0</v>
      </c>
      <c r="AS48" s="7">
        <f>'AS400'!AR48</f>
        <v>0</v>
      </c>
      <c r="AT48" s="7">
        <f>'AS400'!AS48</f>
        <v>0</v>
      </c>
      <c r="AU48" s="7">
        <f>'AS400'!AT48</f>
        <v>0</v>
      </c>
      <c r="AV48" s="7">
        <f>'AS400'!AU48</f>
        <v>0</v>
      </c>
      <c r="AW48" s="7">
        <f>'AS400'!AV48</f>
        <v>0</v>
      </c>
      <c r="AX48" s="7">
        <f>'AS400'!AW48</f>
        <v>0</v>
      </c>
      <c r="AY48" s="7">
        <f>'AS400'!AX48</f>
        <v>0</v>
      </c>
      <c r="AZ48" s="8">
        <f>'AS400'!AY48</f>
        <v>1</v>
      </c>
      <c r="BA48" s="7">
        <f>'AS400'!AZ48</f>
        <v>2</v>
      </c>
      <c r="BB48" s="7" t="str">
        <f>'AS400'!BA48</f>
        <v>PURO</v>
      </c>
      <c r="BC48" s="7">
        <f>'AS400'!BB48</f>
        <v>100</v>
      </c>
      <c r="BD48" s="7">
        <f>'AS400'!BC48</f>
        <v>20180301</v>
      </c>
      <c r="BE48" s="7">
        <f>'AS400'!BD48</f>
        <v>20180301</v>
      </c>
      <c r="BF48" s="7" t="str">
        <f>'AS400'!BE48</f>
        <v>S</v>
      </c>
      <c r="BG48" s="7" t="str">
        <f>'AS400'!BF48</f>
        <v>ME</v>
      </c>
      <c r="BH48" s="7">
        <f>'AS400'!BG48</f>
        <v>20180301</v>
      </c>
      <c r="BI48" s="7">
        <f>'AS400'!BH48</f>
        <v>0</v>
      </c>
      <c r="BJ48" s="7">
        <f>'AS400'!BI48</f>
        <v>0</v>
      </c>
      <c r="BK48" s="7">
        <f>'AS400'!BJ48</f>
        <v>0</v>
      </c>
      <c r="BL48" s="7">
        <f>'AS400'!BK48</f>
        <v>0</v>
      </c>
      <c r="BM48" s="7" t="str">
        <f>'AS400'!BL48</f>
        <v>STLV</v>
      </c>
      <c r="BN48" s="7">
        <f>'AS400'!BM48</f>
        <v>818</v>
      </c>
      <c r="BO48" s="7">
        <f>'AS400'!BN48</f>
        <v>0</v>
      </c>
      <c r="BP48" s="7">
        <f>'AS400'!BO48</f>
        <v>12</v>
      </c>
      <c r="BQ48" s="7">
        <f>'AS400'!BP48</f>
        <v>20180201</v>
      </c>
      <c r="BR48" s="7">
        <f>'AS400'!BQ48</f>
        <v>0</v>
      </c>
      <c r="BS48" s="7">
        <f>'AS400'!BR48</f>
        <v>0</v>
      </c>
      <c r="BT48" s="7">
        <f>'AS400'!BS48</f>
        <v>7</v>
      </c>
      <c r="BV48" s="7">
        <f>'AS400'!BT48</f>
        <v>44</v>
      </c>
      <c r="BW48" s="7">
        <f>'AS400'!BU48</f>
        <v>0</v>
      </c>
      <c r="BX48" s="7">
        <f>'AS400'!BV48</f>
        <v>0</v>
      </c>
      <c r="BY48" s="7">
        <f>'AS400'!BW48</f>
        <v>0</v>
      </c>
      <c r="BZ48" s="7">
        <f>'AS400'!BX48</f>
        <v>0</v>
      </c>
      <c r="CA48" s="7">
        <f>'AS400'!BY48</f>
        <v>0</v>
      </c>
      <c r="CB48" s="7">
        <f>'AS400'!BZ48</f>
        <v>0</v>
      </c>
      <c r="CC48" s="7">
        <f>'AS400'!CA48</f>
        <v>0</v>
      </c>
      <c r="CD48" s="7">
        <f>'AS400'!CB48</f>
        <v>0</v>
      </c>
      <c r="CE48" s="7">
        <f>'AS400'!CC48</f>
        <v>0</v>
      </c>
      <c r="CF48" s="7">
        <f>'AS400'!CD48</f>
        <v>0</v>
      </c>
      <c r="CG48" s="7">
        <f>'AS400'!CE48</f>
        <v>0</v>
      </c>
      <c r="CH48" s="7">
        <f>'AS400'!CF48</f>
        <v>0</v>
      </c>
      <c r="CI48" s="7">
        <f>'AS400'!CG48</f>
        <v>0</v>
      </c>
      <c r="CJ48" s="7">
        <f>'AS400'!CH48</f>
        <v>0</v>
      </c>
      <c r="CK48" s="7">
        <f>'AS400'!CI48</f>
        <v>0</v>
      </c>
      <c r="CL48" s="7">
        <f>'AS400'!CJ48</f>
        <v>0</v>
      </c>
      <c r="CM48" s="8">
        <f>'AS400'!CK48</f>
        <v>1</v>
      </c>
      <c r="CN48" s="7">
        <f>'AS400'!CL48</f>
        <v>3</v>
      </c>
      <c r="CO48" s="7" t="str">
        <f>'AS400'!CM48</f>
        <v>PUDT</v>
      </c>
      <c r="CP48" s="7">
        <f>'AS400'!CN48</f>
        <v>100</v>
      </c>
      <c r="CQ48" s="7">
        <f>'AS400'!CO48</f>
        <v>20180301</v>
      </c>
      <c r="CR48" s="7">
        <f>'AS400'!CP48</f>
        <v>20180301</v>
      </c>
      <c r="CS48" s="7" t="str">
        <f>'AS400'!CQ48</f>
        <v>S</v>
      </c>
      <c r="CT48" s="7" t="str">
        <f>'AS400'!CR48</f>
        <v>MT</v>
      </c>
      <c r="CU48" s="7">
        <f>'AS400'!CS48</f>
        <v>20180301</v>
      </c>
      <c r="CV48" s="7">
        <f>'AS400'!CT48</f>
        <v>0</v>
      </c>
      <c r="CW48" s="7">
        <f>'AS400'!CU48</f>
        <v>0</v>
      </c>
      <c r="CX48" s="7">
        <f>'AS400'!CV48</f>
        <v>0</v>
      </c>
      <c r="CY48" s="7">
        <f>'AS400'!CW48</f>
        <v>0</v>
      </c>
      <c r="CZ48" s="7" t="str">
        <f>'AS400'!CX48</f>
        <v>STLV</v>
      </c>
      <c r="DA48" s="7">
        <f>'AS400'!CY48</f>
        <v>818</v>
      </c>
      <c r="DB48" s="7">
        <f>'AS400'!CZ48</f>
        <v>0</v>
      </c>
      <c r="DC48" s="7">
        <f>'AS400'!DA48</f>
        <v>12</v>
      </c>
      <c r="DD48" s="7">
        <f>'AS400'!DB48</f>
        <v>20180201</v>
      </c>
      <c r="DE48" s="7">
        <f>'AS400'!DC48</f>
        <v>0</v>
      </c>
      <c r="DF48" s="7">
        <f>'AS400'!DD48</f>
        <v>0</v>
      </c>
      <c r="DG48" s="7">
        <f>'AS400'!DE48</f>
        <v>19</v>
      </c>
      <c r="DI48" s="7">
        <f>'AS400'!DF48</f>
        <v>44</v>
      </c>
      <c r="DJ48" s="7">
        <f>'AS400'!DG48</f>
        <v>0</v>
      </c>
      <c r="DK48" s="7">
        <f>'AS400'!DH48</f>
        <v>0</v>
      </c>
      <c r="DL48" s="7">
        <f>'AS400'!DI48</f>
        <v>0</v>
      </c>
      <c r="DM48" s="7">
        <f>'AS400'!DJ48</f>
        <v>0</v>
      </c>
      <c r="DN48" s="7">
        <f>'AS400'!DK48</f>
        <v>0</v>
      </c>
      <c r="DO48" s="7">
        <f>'AS400'!DL48</f>
        <v>0</v>
      </c>
      <c r="DP48" s="7">
        <f>'AS400'!DM48</f>
        <v>0</v>
      </c>
      <c r="DQ48" s="7">
        <f>'AS400'!DN48</f>
        <v>0</v>
      </c>
      <c r="DR48" s="7">
        <f>'AS400'!DO48</f>
        <v>0</v>
      </c>
      <c r="DS48" s="7">
        <f>'AS400'!DP48</f>
        <v>0</v>
      </c>
      <c r="DT48" s="7">
        <f>'AS400'!DQ48</f>
        <v>0</v>
      </c>
      <c r="DU48" s="7">
        <f>'AS400'!DR48</f>
        <v>0</v>
      </c>
      <c r="DV48" s="7">
        <f>'AS400'!DS48</f>
        <v>0</v>
      </c>
      <c r="DW48" s="7">
        <f>'AS400'!DT48</f>
        <v>0</v>
      </c>
      <c r="DX48" s="7">
        <f>'AS400'!DU48</f>
        <v>0</v>
      </c>
      <c r="DY48" s="7">
        <f>'AS400'!DV48</f>
        <v>0</v>
      </c>
      <c r="DZ48" s="8">
        <f>'AS400'!DW48</f>
        <v>1</v>
      </c>
      <c r="EA48" s="7">
        <f>'AS400'!DX48</f>
        <v>4</v>
      </c>
      <c r="EB48" s="7" t="str">
        <f>'AS400'!DY48</f>
        <v>PUDS</v>
      </c>
      <c r="EC48" s="7">
        <f>'AS400'!DZ48</f>
        <v>100</v>
      </c>
      <c r="ED48" s="7">
        <f>'AS400'!EA48</f>
        <v>20180301</v>
      </c>
      <c r="EE48" s="7">
        <f>'AS400'!EB48</f>
        <v>20180301</v>
      </c>
      <c r="EF48" s="7" t="str">
        <f>'AS400'!EC48</f>
        <v>S</v>
      </c>
      <c r="EG48" s="7" t="str">
        <f>'AS400'!ED48</f>
        <v>MS</v>
      </c>
      <c r="EH48" s="7">
        <f>'AS400'!EE48</f>
        <v>20180301</v>
      </c>
      <c r="EI48" s="7">
        <f>'AS400'!EF48</f>
        <v>0</v>
      </c>
      <c r="EJ48" s="7">
        <f>'AS400'!EG48</f>
        <v>0</v>
      </c>
      <c r="EK48" s="7">
        <f>'AS400'!EH48</f>
        <v>0</v>
      </c>
      <c r="EL48" s="7">
        <f>'AS400'!EI48</f>
        <v>0</v>
      </c>
      <c r="EM48" s="7" t="str">
        <f>'AS400'!EJ48</f>
        <v>STLV</v>
      </c>
      <c r="EN48" s="7">
        <f>'AS400'!EK48</f>
        <v>818</v>
      </c>
      <c r="EO48" s="7">
        <f>'AS400'!EL48</f>
        <v>0</v>
      </c>
      <c r="EP48" s="7">
        <f>'AS400'!EM48</f>
        <v>12</v>
      </c>
      <c r="EQ48" s="7">
        <f>'AS400'!EN48</f>
        <v>20180201</v>
      </c>
      <c r="ER48" s="7">
        <f>'AS400'!EO48</f>
        <v>0</v>
      </c>
      <c r="ES48" s="7">
        <f>'AS400'!EP48</f>
        <v>0</v>
      </c>
      <c r="ET48" s="7">
        <f>'AS400'!EQ48</f>
        <v>9</v>
      </c>
      <c r="EV48" s="7">
        <f>'AS400'!ER48</f>
        <v>44</v>
      </c>
      <c r="EW48" s="7">
        <f>'AS400'!ES48</f>
        <v>0</v>
      </c>
      <c r="EX48" s="7">
        <f>'AS400'!ET48</f>
        <v>0</v>
      </c>
      <c r="EY48" s="7">
        <f>'AS400'!EU48</f>
        <v>0</v>
      </c>
      <c r="EZ48" s="7">
        <f>'AS400'!EV48</f>
        <v>0</v>
      </c>
      <c r="FA48" s="7">
        <f>'AS400'!EW48</f>
        <v>0</v>
      </c>
      <c r="FB48" s="7">
        <f>'AS400'!EX48</f>
        <v>0</v>
      </c>
      <c r="FC48" s="7">
        <f>'AS400'!EY48</f>
        <v>0</v>
      </c>
      <c r="FD48" s="7">
        <f>'AS400'!EZ48</f>
        <v>0</v>
      </c>
      <c r="FE48" s="7">
        <f>'AS400'!FA48</f>
        <v>0</v>
      </c>
      <c r="FF48" s="7">
        <f>'AS400'!FB48</f>
        <v>0</v>
      </c>
      <c r="FG48" s="7">
        <f>'AS400'!FC48</f>
        <v>0</v>
      </c>
      <c r="FH48" s="7">
        <f>'AS400'!FD48</f>
        <v>0</v>
      </c>
      <c r="FI48" s="7">
        <f>'AS400'!FE48</f>
        <v>0</v>
      </c>
      <c r="FJ48" s="7">
        <f>'AS400'!FF48</f>
        <v>0</v>
      </c>
      <c r="FK48" s="7">
        <f>'AS400'!FG48</f>
        <v>0</v>
      </c>
      <c r="FL48" s="7">
        <f>'AS400'!FH48</f>
        <v>0</v>
      </c>
      <c r="FM48" s="7">
        <f>'AS400'!FI48</f>
        <v>1</v>
      </c>
      <c r="FN48" s="7">
        <f>'AS400'!FJ48</f>
        <v>1</v>
      </c>
      <c r="FO48" s="7">
        <f>'AS400'!FO48</f>
        <v>0</v>
      </c>
      <c r="FP48" s="7">
        <f>'AS400'!FP48</f>
        <v>4</v>
      </c>
      <c r="FQ48" s="7">
        <f>'AS400'!FQ48</f>
        <v>1</v>
      </c>
      <c r="FR48" s="7">
        <f>'AS400'!FR48</f>
        <v>1</v>
      </c>
      <c r="FS48" s="13">
        <f>'AS400'!FO48</f>
        <v>0</v>
      </c>
    </row>
    <row r="49" spans="1:175">
      <c r="A49" s="7">
        <f>'AS400'!A49</f>
        <v>43</v>
      </c>
      <c r="B49" s="7">
        <f>'AS400'!B49</f>
        <v>20190301</v>
      </c>
      <c r="C49" s="7">
        <f>'AS400'!C49</f>
        <v>0</v>
      </c>
      <c r="D49" s="7" t="str">
        <f>'AS400'!D49</f>
        <v>N</v>
      </c>
      <c r="E49" s="7" t="str">
        <f>'AS400'!E49</f>
        <v>N</v>
      </c>
      <c r="F49" s="7" t="str">
        <f>'AS400'!F49</f>
        <v>Y</v>
      </c>
      <c r="G49" s="7">
        <f>'AS400'!G49</f>
        <v>0</v>
      </c>
      <c r="H49" s="14"/>
      <c r="I49" s="7" t="str">
        <f>'AS400'!I49</f>
        <v>RSA</v>
      </c>
      <c r="J49" s="7" t="str">
        <f>'AS400'!J49</f>
        <v>METR</v>
      </c>
      <c r="K49" s="7" t="str">
        <f>'AS400'!K49</f>
        <v>N</v>
      </c>
      <c r="L49" s="7">
        <f>'AS400'!L49</f>
        <v>4</v>
      </c>
      <c r="M49" s="8">
        <f>'AS400'!M49</f>
        <v>1</v>
      </c>
      <c r="N49" s="7">
        <f>'AS400'!N49</f>
        <v>1</v>
      </c>
      <c r="O49" s="7" t="str">
        <f>'AS400'!O49</f>
        <v>MFPA</v>
      </c>
      <c r="P49" s="7">
        <f>'AS400'!P49</f>
        <v>100</v>
      </c>
      <c r="Q49" s="7">
        <f>'AS400'!Q49</f>
        <v>20180301</v>
      </c>
      <c r="R49" s="7">
        <f>'AS400'!R49</f>
        <v>20180301</v>
      </c>
      <c r="S49" s="7" t="str">
        <f>'AS400'!S49</f>
        <v>M</v>
      </c>
      <c r="T49" s="7" t="str">
        <f>'AS400'!T49</f>
        <v>MM</v>
      </c>
      <c r="U49" s="7">
        <f>'AS400'!U49</f>
        <v>20190301</v>
      </c>
      <c r="V49" s="7">
        <f>'AS400'!V49</f>
        <v>10</v>
      </c>
      <c r="W49" s="7">
        <f>'AS400'!W49</f>
        <v>10</v>
      </c>
      <c r="X49" s="7" t="str">
        <f>'AS400'!X49</f>
        <v>MFIX</v>
      </c>
      <c r="Y49" s="7">
        <f>'AS400'!Y49</f>
        <v>0</v>
      </c>
      <c r="Z49" s="7" t="str">
        <f>'AS400'!Z49</f>
        <v>STLV</v>
      </c>
      <c r="AA49" s="7">
        <f>'AS400'!AA49</f>
        <v>818</v>
      </c>
      <c r="AB49" s="7">
        <f>'AS400'!AB49</f>
        <v>0</v>
      </c>
      <c r="AC49" s="7">
        <f>'AS400'!AC49</f>
        <v>12</v>
      </c>
      <c r="AD49" s="7">
        <f>'AS400'!AD49</f>
        <v>20180201</v>
      </c>
      <c r="AE49" s="7">
        <f>'AS400'!AE49</f>
        <v>0</v>
      </c>
      <c r="AF49" s="7">
        <f>'AS400'!AF49</f>
        <v>50000</v>
      </c>
      <c r="AG49" s="7">
        <f>'AS400'!AG49</f>
        <v>185</v>
      </c>
      <c r="AI49" s="7">
        <f>'AS400'!AH49</f>
        <v>45</v>
      </c>
      <c r="AJ49" s="7">
        <f>'AS400'!AI49</f>
        <v>0</v>
      </c>
      <c r="AK49" s="7">
        <f>'AS400'!AJ49</f>
        <v>0</v>
      </c>
      <c r="AL49" s="7">
        <f>'AS400'!AK49</f>
        <v>0</v>
      </c>
      <c r="AM49" s="7">
        <f>'AS400'!AL49</f>
        <v>0</v>
      </c>
      <c r="AN49" s="7">
        <f>'AS400'!AM49</f>
        <v>0</v>
      </c>
      <c r="AO49" s="7">
        <f>'AS400'!AN49</f>
        <v>0</v>
      </c>
      <c r="AP49" s="7">
        <f>'AS400'!AO49</f>
        <v>0</v>
      </c>
      <c r="AQ49" s="7">
        <f>'AS400'!AP49</f>
        <v>0</v>
      </c>
      <c r="AR49" s="7">
        <f>'AS400'!AQ49</f>
        <v>0</v>
      </c>
      <c r="AS49" s="7">
        <f>'AS400'!AR49</f>
        <v>0</v>
      </c>
      <c r="AT49" s="7">
        <f>'AS400'!AS49</f>
        <v>0</v>
      </c>
      <c r="AU49" s="7">
        <f>'AS400'!AT49</f>
        <v>0</v>
      </c>
      <c r="AV49" s="7">
        <f>'AS400'!AU49</f>
        <v>0</v>
      </c>
      <c r="AW49" s="7">
        <f>'AS400'!AV49</f>
        <v>0</v>
      </c>
      <c r="AX49" s="7">
        <f>'AS400'!AW49</f>
        <v>0</v>
      </c>
      <c r="AY49" s="7">
        <f>'AS400'!AX49</f>
        <v>0</v>
      </c>
      <c r="AZ49" s="8">
        <f>'AS400'!AY49</f>
        <v>1</v>
      </c>
      <c r="BA49" s="7">
        <f>'AS400'!AZ49</f>
        <v>2</v>
      </c>
      <c r="BB49" s="7" t="str">
        <f>'AS400'!BA49</f>
        <v>PURO</v>
      </c>
      <c r="BC49" s="7">
        <f>'AS400'!BB49</f>
        <v>100</v>
      </c>
      <c r="BD49" s="7">
        <f>'AS400'!BC49</f>
        <v>20180301</v>
      </c>
      <c r="BE49" s="7">
        <f>'AS400'!BD49</f>
        <v>20180301</v>
      </c>
      <c r="BF49" s="7" t="str">
        <f>'AS400'!BE49</f>
        <v>S</v>
      </c>
      <c r="BG49" s="7" t="str">
        <f>'AS400'!BF49</f>
        <v>ME</v>
      </c>
      <c r="BH49" s="7">
        <f>'AS400'!BG49</f>
        <v>20180301</v>
      </c>
      <c r="BI49" s="7">
        <f>'AS400'!BH49</f>
        <v>0</v>
      </c>
      <c r="BJ49" s="7">
        <f>'AS400'!BI49</f>
        <v>0</v>
      </c>
      <c r="BK49" s="7">
        <f>'AS400'!BJ49</f>
        <v>0</v>
      </c>
      <c r="BL49" s="7">
        <f>'AS400'!BK49</f>
        <v>0</v>
      </c>
      <c r="BM49" s="7" t="str">
        <f>'AS400'!BL49</f>
        <v>STLV</v>
      </c>
      <c r="BN49" s="7">
        <f>'AS400'!BM49</f>
        <v>818</v>
      </c>
      <c r="BO49" s="7">
        <f>'AS400'!BN49</f>
        <v>0</v>
      </c>
      <c r="BP49" s="7">
        <f>'AS400'!BO49</f>
        <v>12</v>
      </c>
      <c r="BQ49" s="7">
        <f>'AS400'!BP49</f>
        <v>20180201</v>
      </c>
      <c r="BR49" s="7">
        <f>'AS400'!BQ49</f>
        <v>0</v>
      </c>
      <c r="BS49" s="7">
        <f>'AS400'!BR49</f>
        <v>0</v>
      </c>
      <c r="BT49" s="7">
        <f>'AS400'!BS49</f>
        <v>7</v>
      </c>
      <c r="BV49" s="7">
        <f>'AS400'!BT49</f>
        <v>45</v>
      </c>
      <c r="BW49" s="7">
        <f>'AS400'!BU49</f>
        <v>0</v>
      </c>
      <c r="BX49" s="7">
        <f>'AS400'!BV49</f>
        <v>0</v>
      </c>
      <c r="BY49" s="7">
        <f>'AS400'!BW49</f>
        <v>0</v>
      </c>
      <c r="BZ49" s="7">
        <f>'AS400'!BX49</f>
        <v>0</v>
      </c>
      <c r="CA49" s="7">
        <f>'AS400'!BY49</f>
        <v>0</v>
      </c>
      <c r="CB49" s="7">
        <f>'AS400'!BZ49</f>
        <v>0</v>
      </c>
      <c r="CC49" s="7">
        <f>'AS400'!CA49</f>
        <v>0</v>
      </c>
      <c r="CD49" s="7">
        <f>'AS400'!CB49</f>
        <v>0</v>
      </c>
      <c r="CE49" s="7">
        <f>'AS400'!CC49</f>
        <v>0</v>
      </c>
      <c r="CF49" s="7">
        <f>'AS400'!CD49</f>
        <v>0</v>
      </c>
      <c r="CG49" s="7">
        <f>'AS400'!CE49</f>
        <v>0</v>
      </c>
      <c r="CH49" s="7">
        <f>'AS400'!CF49</f>
        <v>0</v>
      </c>
      <c r="CI49" s="7">
        <f>'AS400'!CG49</f>
        <v>0</v>
      </c>
      <c r="CJ49" s="7">
        <f>'AS400'!CH49</f>
        <v>0</v>
      </c>
      <c r="CK49" s="7">
        <f>'AS400'!CI49</f>
        <v>0</v>
      </c>
      <c r="CL49" s="7">
        <f>'AS400'!CJ49</f>
        <v>0</v>
      </c>
      <c r="CM49" s="8">
        <f>'AS400'!CK49</f>
        <v>1</v>
      </c>
      <c r="CN49" s="7">
        <f>'AS400'!CL49</f>
        <v>3</v>
      </c>
      <c r="CO49" s="7" t="str">
        <f>'AS400'!CM49</f>
        <v>PUDT</v>
      </c>
      <c r="CP49" s="7">
        <f>'AS400'!CN49</f>
        <v>100</v>
      </c>
      <c r="CQ49" s="7">
        <f>'AS400'!CO49</f>
        <v>20180301</v>
      </c>
      <c r="CR49" s="7">
        <f>'AS400'!CP49</f>
        <v>20180301</v>
      </c>
      <c r="CS49" s="7" t="str">
        <f>'AS400'!CQ49</f>
        <v>S</v>
      </c>
      <c r="CT49" s="7" t="str">
        <f>'AS400'!CR49</f>
        <v>MT</v>
      </c>
      <c r="CU49" s="7">
        <f>'AS400'!CS49</f>
        <v>20180301</v>
      </c>
      <c r="CV49" s="7">
        <f>'AS400'!CT49</f>
        <v>0</v>
      </c>
      <c r="CW49" s="7">
        <f>'AS400'!CU49</f>
        <v>0</v>
      </c>
      <c r="CX49" s="7">
        <f>'AS400'!CV49</f>
        <v>0</v>
      </c>
      <c r="CY49" s="7">
        <f>'AS400'!CW49</f>
        <v>0</v>
      </c>
      <c r="CZ49" s="7" t="str">
        <f>'AS400'!CX49</f>
        <v>STLV</v>
      </c>
      <c r="DA49" s="7">
        <f>'AS400'!CY49</f>
        <v>818</v>
      </c>
      <c r="DB49" s="7">
        <f>'AS400'!CZ49</f>
        <v>0</v>
      </c>
      <c r="DC49" s="7">
        <f>'AS400'!DA49</f>
        <v>12</v>
      </c>
      <c r="DD49" s="7">
        <f>'AS400'!DB49</f>
        <v>20180201</v>
      </c>
      <c r="DE49" s="7">
        <f>'AS400'!DC49</f>
        <v>0</v>
      </c>
      <c r="DF49" s="7">
        <f>'AS400'!DD49</f>
        <v>0</v>
      </c>
      <c r="DG49" s="7">
        <f>'AS400'!DE49</f>
        <v>19</v>
      </c>
      <c r="DI49" s="7">
        <f>'AS400'!DF49</f>
        <v>45</v>
      </c>
      <c r="DJ49" s="7">
        <f>'AS400'!DG49</f>
        <v>0</v>
      </c>
      <c r="DK49" s="7">
        <f>'AS400'!DH49</f>
        <v>0</v>
      </c>
      <c r="DL49" s="7">
        <f>'AS400'!DI49</f>
        <v>0</v>
      </c>
      <c r="DM49" s="7">
        <f>'AS400'!DJ49</f>
        <v>0</v>
      </c>
      <c r="DN49" s="7">
        <f>'AS400'!DK49</f>
        <v>0</v>
      </c>
      <c r="DO49" s="7">
        <f>'AS400'!DL49</f>
        <v>0</v>
      </c>
      <c r="DP49" s="7">
        <f>'AS400'!DM49</f>
        <v>0</v>
      </c>
      <c r="DQ49" s="7">
        <f>'AS400'!DN49</f>
        <v>0</v>
      </c>
      <c r="DR49" s="7">
        <f>'AS400'!DO49</f>
        <v>0</v>
      </c>
      <c r="DS49" s="7">
        <f>'AS400'!DP49</f>
        <v>0</v>
      </c>
      <c r="DT49" s="7">
        <f>'AS400'!DQ49</f>
        <v>0</v>
      </c>
      <c r="DU49" s="7">
        <f>'AS400'!DR49</f>
        <v>0</v>
      </c>
      <c r="DV49" s="7">
        <f>'AS400'!DS49</f>
        <v>0</v>
      </c>
      <c r="DW49" s="7">
        <f>'AS400'!DT49</f>
        <v>0</v>
      </c>
      <c r="DX49" s="7">
        <f>'AS400'!DU49</f>
        <v>0</v>
      </c>
      <c r="DY49" s="7">
        <f>'AS400'!DV49</f>
        <v>0</v>
      </c>
      <c r="DZ49" s="8">
        <f>'AS400'!DW49</f>
        <v>1</v>
      </c>
      <c r="EA49" s="7">
        <f>'AS400'!DX49</f>
        <v>4</v>
      </c>
      <c r="EB49" s="7" t="str">
        <f>'AS400'!DY49</f>
        <v>PUDS</v>
      </c>
      <c r="EC49" s="7">
        <f>'AS400'!DZ49</f>
        <v>100</v>
      </c>
      <c r="ED49" s="7">
        <f>'AS400'!EA49</f>
        <v>20180301</v>
      </c>
      <c r="EE49" s="7">
        <f>'AS400'!EB49</f>
        <v>20180301</v>
      </c>
      <c r="EF49" s="7" t="str">
        <f>'AS400'!EC49</f>
        <v>S</v>
      </c>
      <c r="EG49" s="7" t="str">
        <f>'AS400'!ED49</f>
        <v>MS</v>
      </c>
      <c r="EH49" s="7">
        <f>'AS400'!EE49</f>
        <v>20180301</v>
      </c>
      <c r="EI49" s="7">
        <f>'AS400'!EF49</f>
        <v>0</v>
      </c>
      <c r="EJ49" s="7">
        <f>'AS400'!EG49</f>
        <v>0</v>
      </c>
      <c r="EK49" s="7">
        <f>'AS400'!EH49</f>
        <v>0</v>
      </c>
      <c r="EL49" s="7">
        <f>'AS400'!EI49</f>
        <v>0</v>
      </c>
      <c r="EM49" s="7" t="str">
        <f>'AS400'!EJ49</f>
        <v>STLV</v>
      </c>
      <c r="EN49" s="7">
        <f>'AS400'!EK49</f>
        <v>818</v>
      </c>
      <c r="EO49" s="7">
        <f>'AS400'!EL49</f>
        <v>0</v>
      </c>
      <c r="EP49" s="7">
        <f>'AS400'!EM49</f>
        <v>12</v>
      </c>
      <c r="EQ49" s="7">
        <f>'AS400'!EN49</f>
        <v>20180201</v>
      </c>
      <c r="ER49" s="7">
        <f>'AS400'!EO49</f>
        <v>0</v>
      </c>
      <c r="ES49" s="7">
        <f>'AS400'!EP49</f>
        <v>0</v>
      </c>
      <c r="ET49" s="7">
        <f>'AS400'!EQ49</f>
        <v>9</v>
      </c>
      <c r="EV49" s="7">
        <f>'AS400'!ER49</f>
        <v>45</v>
      </c>
      <c r="EW49" s="7">
        <f>'AS400'!ES49</f>
        <v>0</v>
      </c>
      <c r="EX49" s="7">
        <f>'AS400'!ET49</f>
        <v>0</v>
      </c>
      <c r="EY49" s="7">
        <f>'AS400'!EU49</f>
        <v>0</v>
      </c>
      <c r="EZ49" s="7">
        <f>'AS400'!EV49</f>
        <v>0</v>
      </c>
      <c r="FA49" s="7">
        <f>'AS400'!EW49</f>
        <v>0</v>
      </c>
      <c r="FB49" s="7">
        <f>'AS400'!EX49</f>
        <v>0</v>
      </c>
      <c r="FC49" s="7">
        <f>'AS400'!EY49</f>
        <v>0</v>
      </c>
      <c r="FD49" s="7">
        <f>'AS400'!EZ49</f>
        <v>0</v>
      </c>
      <c r="FE49" s="7">
        <f>'AS400'!FA49</f>
        <v>0</v>
      </c>
      <c r="FF49" s="7">
        <f>'AS400'!FB49</f>
        <v>0</v>
      </c>
      <c r="FG49" s="7">
        <f>'AS400'!FC49</f>
        <v>0</v>
      </c>
      <c r="FH49" s="7">
        <f>'AS400'!FD49</f>
        <v>0</v>
      </c>
      <c r="FI49" s="7">
        <f>'AS400'!FE49</f>
        <v>0</v>
      </c>
      <c r="FJ49" s="7">
        <f>'AS400'!FF49</f>
        <v>0</v>
      </c>
      <c r="FK49" s="7">
        <f>'AS400'!FG49</f>
        <v>0</v>
      </c>
      <c r="FL49" s="7">
        <f>'AS400'!FH49</f>
        <v>0</v>
      </c>
      <c r="FM49" s="7">
        <f>'AS400'!FI49</f>
        <v>1</v>
      </c>
      <c r="FN49" s="7">
        <f>'AS400'!FJ49</f>
        <v>1</v>
      </c>
      <c r="FO49" s="7">
        <f>'AS400'!FO49</f>
        <v>0</v>
      </c>
      <c r="FP49" s="7">
        <f>'AS400'!FP49</f>
        <v>4</v>
      </c>
      <c r="FQ49" s="7">
        <f>'AS400'!FQ49</f>
        <v>1</v>
      </c>
      <c r="FR49" s="7">
        <f>'AS400'!FR49</f>
        <v>1</v>
      </c>
      <c r="FS49" s="13">
        <f>'AS400'!FO49</f>
        <v>0</v>
      </c>
    </row>
    <row r="50" spans="1:175">
      <c r="A50" s="7">
        <f>'AS400'!A50</f>
        <v>44</v>
      </c>
      <c r="B50" s="7">
        <f>'AS400'!B50</f>
        <v>20190301</v>
      </c>
      <c r="C50" s="7">
        <f>'AS400'!C50</f>
        <v>0</v>
      </c>
      <c r="D50" s="7" t="str">
        <f>'AS400'!D50</f>
        <v>N</v>
      </c>
      <c r="E50" s="7" t="str">
        <f>'AS400'!E50</f>
        <v>N</v>
      </c>
      <c r="F50" s="7" t="str">
        <f>'AS400'!F50</f>
        <v>Y</v>
      </c>
      <c r="G50" s="7">
        <f>'AS400'!G50</f>
        <v>0</v>
      </c>
      <c r="H50" s="14"/>
      <c r="I50" s="7" t="str">
        <f>'AS400'!I50</f>
        <v>RSA</v>
      </c>
      <c r="J50" s="7" t="str">
        <f>'AS400'!J50</f>
        <v>METR</v>
      </c>
      <c r="K50" s="7" t="str">
        <f>'AS400'!K50</f>
        <v>N</v>
      </c>
      <c r="L50" s="7">
        <f>'AS400'!L50</f>
        <v>4</v>
      </c>
      <c r="M50" s="8">
        <f>'AS400'!M50</f>
        <v>1</v>
      </c>
      <c r="N50" s="7">
        <f>'AS400'!N50</f>
        <v>1</v>
      </c>
      <c r="O50" s="7" t="str">
        <f>'AS400'!O50</f>
        <v>MFPA</v>
      </c>
      <c r="P50" s="7">
        <f>'AS400'!P50</f>
        <v>100</v>
      </c>
      <c r="Q50" s="7">
        <f>'AS400'!Q50</f>
        <v>20180301</v>
      </c>
      <c r="R50" s="7">
        <f>'AS400'!R50</f>
        <v>20180301</v>
      </c>
      <c r="S50" s="7" t="str">
        <f>'AS400'!S50</f>
        <v>M</v>
      </c>
      <c r="T50" s="7" t="str">
        <f>'AS400'!T50</f>
        <v>MM</v>
      </c>
      <c r="U50" s="7">
        <f>'AS400'!U50</f>
        <v>20190301</v>
      </c>
      <c r="V50" s="7">
        <f>'AS400'!V50</f>
        <v>10</v>
      </c>
      <c r="W50" s="7">
        <f>'AS400'!W50</f>
        <v>10</v>
      </c>
      <c r="X50" s="7" t="str">
        <f>'AS400'!X50</f>
        <v>MFIX</v>
      </c>
      <c r="Y50" s="7">
        <f>'AS400'!Y50</f>
        <v>0</v>
      </c>
      <c r="Z50" s="7" t="str">
        <f>'AS400'!Z50</f>
        <v>STLV</v>
      </c>
      <c r="AA50" s="7">
        <f>'AS400'!AA50</f>
        <v>818</v>
      </c>
      <c r="AB50" s="7">
        <f>'AS400'!AB50</f>
        <v>0</v>
      </c>
      <c r="AC50" s="7">
        <f>'AS400'!AC50</f>
        <v>12</v>
      </c>
      <c r="AD50" s="7">
        <f>'AS400'!AD50</f>
        <v>20180201</v>
      </c>
      <c r="AE50" s="7">
        <f>'AS400'!AE50</f>
        <v>0</v>
      </c>
      <c r="AF50" s="7">
        <f>'AS400'!AF50</f>
        <v>50000</v>
      </c>
      <c r="AG50" s="7">
        <f>'AS400'!AG50</f>
        <v>226</v>
      </c>
      <c r="AI50" s="7">
        <f>'AS400'!AH50</f>
        <v>46</v>
      </c>
      <c r="AJ50" s="7">
        <f>'AS400'!AI50</f>
        <v>0</v>
      </c>
      <c r="AK50" s="7">
        <f>'AS400'!AJ50</f>
        <v>0</v>
      </c>
      <c r="AL50" s="7">
        <f>'AS400'!AK50</f>
        <v>0</v>
      </c>
      <c r="AM50" s="7">
        <f>'AS400'!AL50</f>
        <v>0</v>
      </c>
      <c r="AN50" s="7">
        <f>'AS400'!AM50</f>
        <v>0</v>
      </c>
      <c r="AO50" s="7">
        <f>'AS400'!AN50</f>
        <v>0</v>
      </c>
      <c r="AP50" s="7">
        <f>'AS400'!AO50</f>
        <v>0</v>
      </c>
      <c r="AQ50" s="7">
        <f>'AS400'!AP50</f>
        <v>0</v>
      </c>
      <c r="AR50" s="7">
        <f>'AS400'!AQ50</f>
        <v>0</v>
      </c>
      <c r="AS50" s="7">
        <f>'AS400'!AR50</f>
        <v>0</v>
      </c>
      <c r="AT50" s="7">
        <f>'AS400'!AS50</f>
        <v>0</v>
      </c>
      <c r="AU50" s="7">
        <f>'AS400'!AT50</f>
        <v>0</v>
      </c>
      <c r="AV50" s="7">
        <f>'AS400'!AU50</f>
        <v>0</v>
      </c>
      <c r="AW50" s="7">
        <f>'AS400'!AV50</f>
        <v>0</v>
      </c>
      <c r="AX50" s="7">
        <f>'AS400'!AW50</f>
        <v>0</v>
      </c>
      <c r="AY50" s="7">
        <f>'AS400'!AX50</f>
        <v>0</v>
      </c>
      <c r="AZ50" s="8">
        <f>'AS400'!AY50</f>
        <v>1</v>
      </c>
      <c r="BA50" s="7">
        <f>'AS400'!AZ50</f>
        <v>2</v>
      </c>
      <c r="BB50" s="7" t="str">
        <f>'AS400'!BA50</f>
        <v>PURO</v>
      </c>
      <c r="BC50" s="7">
        <f>'AS400'!BB50</f>
        <v>100</v>
      </c>
      <c r="BD50" s="7">
        <f>'AS400'!BC50</f>
        <v>20180301</v>
      </c>
      <c r="BE50" s="7">
        <f>'AS400'!BD50</f>
        <v>20180301</v>
      </c>
      <c r="BF50" s="7" t="str">
        <f>'AS400'!BE50</f>
        <v>S</v>
      </c>
      <c r="BG50" s="7" t="str">
        <f>'AS400'!BF50</f>
        <v>ME</v>
      </c>
      <c r="BH50" s="7">
        <f>'AS400'!BG50</f>
        <v>20180301</v>
      </c>
      <c r="BI50" s="7">
        <f>'AS400'!BH50</f>
        <v>0</v>
      </c>
      <c r="BJ50" s="7">
        <f>'AS400'!BI50</f>
        <v>0</v>
      </c>
      <c r="BK50" s="7">
        <f>'AS400'!BJ50</f>
        <v>0</v>
      </c>
      <c r="BL50" s="7">
        <f>'AS400'!BK50</f>
        <v>0</v>
      </c>
      <c r="BM50" s="7" t="str">
        <f>'AS400'!BL50</f>
        <v>STLV</v>
      </c>
      <c r="BN50" s="7">
        <f>'AS400'!BM50</f>
        <v>818</v>
      </c>
      <c r="BO50" s="7">
        <f>'AS400'!BN50</f>
        <v>0</v>
      </c>
      <c r="BP50" s="7">
        <f>'AS400'!BO50</f>
        <v>12</v>
      </c>
      <c r="BQ50" s="7">
        <f>'AS400'!BP50</f>
        <v>20180201</v>
      </c>
      <c r="BR50" s="7">
        <f>'AS400'!BQ50</f>
        <v>0</v>
      </c>
      <c r="BS50" s="7">
        <f>'AS400'!BR50</f>
        <v>0</v>
      </c>
      <c r="BT50" s="7">
        <f>'AS400'!BS50</f>
        <v>7</v>
      </c>
      <c r="BV50" s="7">
        <f>'AS400'!BT50</f>
        <v>46</v>
      </c>
      <c r="BW50" s="7">
        <f>'AS400'!BU50</f>
        <v>0</v>
      </c>
      <c r="BX50" s="7">
        <f>'AS400'!BV50</f>
        <v>0</v>
      </c>
      <c r="BY50" s="7">
        <f>'AS400'!BW50</f>
        <v>0</v>
      </c>
      <c r="BZ50" s="7">
        <f>'AS400'!BX50</f>
        <v>0</v>
      </c>
      <c r="CA50" s="7">
        <f>'AS400'!BY50</f>
        <v>0</v>
      </c>
      <c r="CB50" s="7">
        <f>'AS400'!BZ50</f>
        <v>0</v>
      </c>
      <c r="CC50" s="7">
        <f>'AS400'!CA50</f>
        <v>0</v>
      </c>
      <c r="CD50" s="7">
        <f>'AS400'!CB50</f>
        <v>0</v>
      </c>
      <c r="CE50" s="7">
        <f>'AS400'!CC50</f>
        <v>0</v>
      </c>
      <c r="CF50" s="7">
        <f>'AS400'!CD50</f>
        <v>0</v>
      </c>
      <c r="CG50" s="7">
        <f>'AS400'!CE50</f>
        <v>0</v>
      </c>
      <c r="CH50" s="7">
        <f>'AS400'!CF50</f>
        <v>0</v>
      </c>
      <c r="CI50" s="7">
        <f>'AS400'!CG50</f>
        <v>0</v>
      </c>
      <c r="CJ50" s="7">
        <f>'AS400'!CH50</f>
        <v>0</v>
      </c>
      <c r="CK50" s="7">
        <f>'AS400'!CI50</f>
        <v>0</v>
      </c>
      <c r="CL50" s="7">
        <f>'AS400'!CJ50</f>
        <v>0</v>
      </c>
      <c r="CM50" s="8">
        <f>'AS400'!CK50</f>
        <v>1</v>
      </c>
      <c r="CN50" s="7">
        <f>'AS400'!CL50</f>
        <v>3</v>
      </c>
      <c r="CO50" s="7" t="str">
        <f>'AS400'!CM50</f>
        <v>PUDT</v>
      </c>
      <c r="CP50" s="7">
        <f>'AS400'!CN50</f>
        <v>100</v>
      </c>
      <c r="CQ50" s="7">
        <f>'AS400'!CO50</f>
        <v>20180301</v>
      </c>
      <c r="CR50" s="7">
        <f>'AS400'!CP50</f>
        <v>20180301</v>
      </c>
      <c r="CS50" s="7" t="str">
        <f>'AS400'!CQ50</f>
        <v>S</v>
      </c>
      <c r="CT50" s="7" t="str">
        <f>'AS400'!CR50</f>
        <v>MT</v>
      </c>
      <c r="CU50" s="7">
        <f>'AS400'!CS50</f>
        <v>20180301</v>
      </c>
      <c r="CV50" s="7">
        <f>'AS400'!CT50</f>
        <v>0</v>
      </c>
      <c r="CW50" s="7">
        <f>'AS400'!CU50</f>
        <v>0</v>
      </c>
      <c r="CX50" s="7">
        <f>'AS400'!CV50</f>
        <v>0</v>
      </c>
      <c r="CY50" s="7">
        <f>'AS400'!CW50</f>
        <v>0</v>
      </c>
      <c r="CZ50" s="7" t="str">
        <f>'AS400'!CX50</f>
        <v>STLV</v>
      </c>
      <c r="DA50" s="7">
        <f>'AS400'!CY50</f>
        <v>818</v>
      </c>
      <c r="DB50" s="7">
        <f>'AS400'!CZ50</f>
        <v>0</v>
      </c>
      <c r="DC50" s="7">
        <f>'AS400'!DA50</f>
        <v>12</v>
      </c>
      <c r="DD50" s="7">
        <f>'AS400'!DB50</f>
        <v>20180201</v>
      </c>
      <c r="DE50" s="7">
        <f>'AS400'!DC50</f>
        <v>0</v>
      </c>
      <c r="DF50" s="7">
        <f>'AS400'!DD50</f>
        <v>0</v>
      </c>
      <c r="DG50" s="7">
        <f>'AS400'!DE50</f>
        <v>26</v>
      </c>
      <c r="DI50" s="7">
        <f>'AS400'!DF50</f>
        <v>46</v>
      </c>
      <c r="DJ50" s="7">
        <f>'AS400'!DG50</f>
        <v>0</v>
      </c>
      <c r="DK50" s="7">
        <f>'AS400'!DH50</f>
        <v>0</v>
      </c>
      <c r="DL50" s="7">
        <f>'AS400'!DI50</f>
        <v>0</v>
      </c>
      <c r="DM50" s="7">
        <f>'AS400'!DJ50</f>
        <v>0</v>
      </c>
      <c r="DN50" s="7">
        <f>'AS400'!DK50</f>
        <v>0</v>
      </c>
      <c r="DO50" s="7">
        <f>'AS400'!DL50</f>
        <v>0</v>
      </c>
      <c r="DP50" s="7">
        <f>'AS400'!DM50</f>
        <v>0</v>
      </c>
      <c r="DQ50" s="7">
        <f>'AS400'!DN50</f>
        <v>0</v>
      </c>
      <c r="DR50" s="7">
        <f>'AS400'!DO50</f>
        <v>0</v>
      </c>
      <c r="DS50" s="7">
        <f>'AS400'!DP50</f>
        <v>0</v>
      </c>
      <c r="DT50" s="7">
        <f>'AS400'!DQ50</f>
        <v>0</v>
      </c>
      <c r="DU50" s="7">
        <f>'AS400'!DR50</f>
        <v>0</v>
      </c>
      <c r="DV50" s="7">
        <f>'AS400'!DS50</f>
        <v>0</v>
      </c>
      <c r="DW50" s="7">
        <f>'AS400'!DT50</f>
        <v>0</v>
      </c>
      <c r="DX50" s="7">
        <f>'AS400'!DU50</f>
        <v>0</v>
      </c>
      <c r="DY50" s="7">
        <f>'AS400'!DV50</f>
        <v>0</v>
      </c>
      <c r="DZ50" s="8">
        <f>'AS400'!DW50</f>
        <v>1</v>
      </c>
      <c r="EA50" s="7">
        <f>'AS400'!DX50</f>
        <v>4</v>
      </c>
      <c r="EB50" s="7" t="str">
        <f>'AS400'!DY50</f>
        <v>PUDS</v>
      </c>
      <c r="EC50" s="7">
        <f>'AS400'!DZ50</f>
        <v>100</v>
      </c>
      <c r="ED50" s="7">
        <f>'AS400'!EA50</f>
        <v>20180301</v>
      </c>
      <c r="EE50" s="7">
        <f>'AS400'!EB50</f>
        <v>20180301</v>
      </c>
      <c r="EF50" s="7" t="str">
        <f>'AS400'!EC50</f>
        <v>S</v>
      </c>
      <c r="EG50" s="7" t="str">
        <f>'AS400'!ED50</f>
        <v>MS</v>
      </c>
      <c r="EH50" s="7">
        <f>'AS400'!EE50</f>
        <v>20180301</v>
      </c>
      <c r="EI50" s="7">
        <f>'AS400'!EF50</f>
        <v>0</v>
      </c>
      <c r="EJ50" s="7">
        <f>'AS400'!EG50</f>
        <v>0</v>
      </c>
      <c r="EK50" s="7">
        <f>'AS400'!EH50</f>
        <v>0</v>
      </c>
      <c r="EL50" s="7">
        <f>'AS400'!EI50</f>
        <v>0</v>
      </c>
      <c r="EM50" s="7" t="str">
        <f>'AS400'!EJ50</f>
        <v>STLV</v>
      </c>
      <c r="EN50" s="7">
        <f>'AS400'!EK50</f>
        <v>818</v>
      </c>
      <c r="EO50" s="7">
        <f>'AS400'!EL50</f>
        <v>0</v>
      </c>
      <c r="EP50" s="7">
        <f>'AS400'!EM50</f>
        <v>12</v>
      </c>
      <c r="EQ50" s="7">
        <f>'AS400'!EN50</f>
        <v>20180201</v>
      </c>
      <c r="ER50" s="7">
        <f>'AS400'!EO50</f>
        <v>0</v>
      </c>
      <c r="ES50" s="7">
        <f>'AS400'!EP50</f>
        <v>0</v>
      </c>
      <c r="ET50" s="7">
        <f>'AS400'!EQ50</f>
        <v>11</v>
      </c>
      <c r="EV50" s="7">
        <f>'AS400'!ER50</f>
        <v>46</v>
      </c>
      <c r="EW50" s="7">
        <f>'AS400'!ES50</f>
        <v>0</v>
      </c>
      <c r="EX50" s="7">
        <f>'AS400'!ET50</f>
        <v>0</v>
      </c>
      <c r="EY50" s="7">
        <f>'AS400'!EU50</f>
        <v>0</v>
      </c>
      <c r="EZ50" s="7">
        <f>'AS400'!EV50</f>
        <v>0</v>
      </c>
      <c r="FA50" s="7">
        <f>'AS400'!EW50</f>
        <v>0</v>
      </c>
      <c r="FB50" s="7">
        <f>'AS400'!EX50</f>
        <v>0</v>
      </c>
      <c r="FC50" s="7">
        <f>'AS400'!EY50</f>
        <v>0</v>
      </c>
      <c r="FD50" s="7">
        <f>'AS400'!EZ50</f>
        <v>0</v>
      </c>
      <c r="FE50" s="7">
        <f>'AS400'!FA50</f>
        <v>0</v>
      </c>
      <c r="FF50" s="7">
        <f>'AS400'!FB50</f>
        <v>0</v>
      </c>
      <c r="FG50" s="7">
        <f>'AS400'!FC50</f>
        <v>0</v>
      </c>
      <c r="FH50" s="7">
        <f>'AS400'!FD50</f>
        <v>0</v>
      </c>
      <c r="FI50" s="7">
        <f>'AS400'!FE50</f>
        <v>0</v>
      </c>
      <c r="FJ50" s="7">
        <f>'AS400'!FF50</f>
        <v>0</v>
      </c>
      <c r="FK50" s="7">
        <f>'AS400'!FG50</f>
        <v>0</v>
      </c>
      <c r="FL50" s="7">
        <f>'AS400'!FH50</f>
        <v>0</v>
      </c>
      <c r="FM50" s="7">
        <f>'AS400'!FI50</f>
        <v>1</v>
      </c>
      <c r="FN50" s="7">
        <f>'AS400'!FJ50</f>
        <v>1</v>
      </c>
      <c r="FO50" s="7">
        <f>'AS400'!FO50</f>
        <v>0</v>
      </c>
      <c r="FP50" s="7">
        <f>'AS400'!FP50</f>
        <v>4</v>
      </c>
      <c r="FQ50" s="7">
        <f>'AS400'!FQ50</f>
        <v>1</v>
      </c>
      <c r="FR50" s="7">
        <f>'AS400'!FR50</f>
        <v>1</v>
      </c>
      <c r="FS50" s="13">
        <f>'AS400'!FO50</f>
        <v>0</v>
      </c>
    </row>
    <row r="51" spans="1:175">
      <c r="A51" s="7">
        <f>'AS400'!A51</f>
        <v>45</v>
      </c>
      <c r="B51" s="7">
        <f>'AS400'!B51</f>
        <v>20190301</v>
      </c>
      <c r="C51" s="7">
        <f>'AS400'!C51</f>
        <v>0</v>
      </c>
      <c r="D51" s="7" t="str">
        <f>'AS400'!D51</f>
        <v>N</v>
      </c>
      <c r="E51" s="7" t="str">
        <f>'AS400'!E51</f>
        <v>N</v>
      </c>
      <c r="F51" s="7" t="str">
        <f>'AS400'!F51</f>
        <v>Y</v>
      </c>
      <c r="G51" s="7">
        <f>'AS400'!G51</f>
        <v>0</v>
      </c>
      <c r="H51" s="14"/>
      <c r="I51" s="7" t="str">
        <f>'AS400'!I51</f>
        <v>RSA</v>
      </c>
      <c r="J51" s="7" t="str">
        <f>'AS400'!J51</f>
        <v>METR</v>
      </c>
      <c r="K51" s="7" t="str">
        <f>'AS400'!K51</f>
        <v>N</v>
      </c>
      <c r="L51" s="7">
        <f>'AS400'!L51</f>
        <v>4</v>
      </c>
      <c r="M51" s="8">
        <f>'AS400'!M51</f>
        <v>1</v>
      </c>
      <c r="N51" s="7">
        <f>'AS400'!N51</f>
        <v>1</v>
      </c>
      <c r="O51" s="7" t="str">
        <f>'AS400'!O51</f>
        <v>MFPA</v>
      </c>
      <c r="P51" s="7">
        <f>'AS400'!P51</f>
        <v>100</v>
      </c>
      <c r="Q51" s="7">
        <f>'AS400'!Q51</f>
        <v>20180301</v>
      </c>
      <c r="R51" s="7">
        <f>'AS400'!R51</f>
        <v>20180301</v>
      </c>
      <c r="S51" s="7" t="str">
        <f>'AS400'!S51</f>
        <v>M</v>
      </c>
      <c r="T51" s="7" t="str">
        <f>'AS400'!T51</f>
        <v>MM</v>
      </c>
      <c r="U51" s="7">
        <f>'AS400'!U51</f>
        <v>20190301</v>
      </c>
      <c r="V51" s="7">
        <f>'AS400'!V51</f>
        <v>10</v>
      </c>
      <c r="W51" s="7">
        <f>'AS400'!W51</f>
        <v>10</v>
      </c>
      <c r="X51" s="7" t="str">
        <f>'AS400'!X51</f>
        <v>MFIX</v>
      </c>
      <c r="Y51" s="7">
        <f>'AS400'!Y51</f>
        <v>0</v>
      </c>
      <c r="Z51" s="7" t="str">
        <f>'AS400'!Z51</f>
        <v>STLV</v>
      </c>
      <c r="AA51" s="7">
        <f>'AS400'!AA51</f>
        <v>818</v>
      </c>
      <c r="AB51" s="7">
        <f>'AS400'!AB51</f>
        <v>0</v>
      </c>
      <c r="AC51" s="7">
        <f>'AS400'!AC51</f>
        <v>12</v>
      </c>
      <c r="AD51" s="7">
        <f>'AS400'!AD51</f>
        <v>20180201</v>
      </c>
      <c r="AE51" s="7">
        <f>'AS400'!AE51</f>
        <v>0</v>
      </c>
      <c r="AF51" s="7">
        <f>'AS400'!AF51</f>
        <v>50000</v>
      </c>
      <c r="AG51" s="7">
        <f>'AS400'!AG51</f>
        <v>226</v>
      </c>
      <c r="AI51" s="7">
        <f>'AS400'!AH51</f>
        <v>47</v>
      </c>
      <c r="AJ51" s="7">
        <f>'AS400'!AI51</f>
        <v>0</v>
      </c>
      <c r="AK51" s="7">
        <f>'AS400'!AJ51</f>
        <v>0</v>
      </c>
      <c r="AL51" s="7">
        <f>'AS400'!AK51</f>
        <v>0</v>
      </c>
      <c r="AM51" s="7">
        <f>'AS400'!AL51</f>
        <v>0</v>
      </c>
      <c r="AN51" s="7">
        <f>'AS400'!AM51</f>
        <v>0</v>
      </c>
      <c r="AO51" s="7">
        <f>'AS400'!AN51</f>
        <v>0</v>
      </c>
      <c r="AP51" s="7">
        <f>'AS400'!AO51</f>
        <v>0</v>
      </c>
      <c r="AQ51" s="7">
        <f>'AS400'!AP51</f>
        <v>0</v>
      </c>
      <c r="AR51" s="7">
        <f>'AS400'!AQ51</f>
        <v>0</v>
      </c>
      <c r="AS51" s="7">
        <f>'AS400'!AR51</f>
        <v>0</v>
      </c>
      <c r="AT51" s="7">
        <f>'AS400'!AS51</f>
        <v>0</v>
      </c>
      <c r="AU51" s="7">
        <f>'AS400'!AT51</f>
        <v>0</v>
      </c>
      <c r="AV51" s="7">
        <f>'AS400'!AU51</f>
        <v>0</v>
      </c>
      <c r="AW51" s="7">
        <f>'AS400'!AV51</f>
        <v>0</v>
      </c>
      <c r="AX51" s="7">
        <f>'AS400'!AW51</f>
        <v>0</v>
      </c>
      <c r="AY51" s="7">
        <f>'AS400'!AX51</f>
        <v>0</v>
      </c>
      <c r="AZ51" s="8">
        <f>'AS400'!AY51</f>
        <v>1</v>
      </c>
      <c r="BA51" s="7">
        <f>'AS400'!AZ51</f>
        <v>2</v>
      </c>
      <c r="BB51" s="7" t="str">
        <f>'AS400'!BA51</f>
        <v>PURO</v>
      </c>
      <c r="BC51" s="7">
        <f>'AS400'!BB51</f>
        <v>100</v>
      </c>
      <c r="BD51" s="7">
        <f>'AS400'!BC51</f>
        <v>20180301</v>
      </c>
      <c r="BE51" s="7">
        <f>'AS400'!BD51</f>
        <v>20180301</v>
      </c>
      <c r="BF51" s="7" t="str">
        <f>'AS400'!BE51</f>
        <v>S</v>
      </c>
      <c r="BG51" s="7" t="str">
        <f>'AS400'!BF51</f>
        <v>ME</v>
      </c>
      <c r="BH51" s="7">
        <f>'AS400'!BG51</f>
        <v>20180301</v>
      </c>
      <c r="BI51" s="7">
        <f>'AS400'!BH51</f>
        <v>0</v>
      </c>
      <c r="BJ51" s="7">
        <f>'AS400'!BI51</f>
        <v>0</v>
      </c>
      <c r="BK51" s="7">
        <f>'AS400'!BJ51</f>
        <v>0</v>
      </c>
      <c r="BL51" s="7">
        <f>'AS400'!BK51</f>
        <v>0</v>
      </c>
      <c r="BM51" s="7" t="str">
        <f>'AS400'!BL51</f>
        <v>STLV</v>
      </c>
      <c r="BN51" s="7">
        <f>'AS400'!BM51</f>
        <v>818</v>
      </c>
      <c r="BO51" s="7">
        <f>'AS400'!BN51</f>
        <v>0</v>
      </c>
      <c r="BP51" s="7">
        <f>'AS400'!BO51</f>
        <v>12</v>
      </c>
      <c r="BQ51" s="7">
        <f>'AS400'!BP51</f>
        <v>20180201</v>
      </c>
      <c r="BR51" s="7">
        <f>'AS400'!BQ51</f>
        <v>0</v>
      </c>
      <c r="BS51" s="7">
        <f>'AS400'!BR51</f>
        <v>0</v>
      </c>
      <c r="BT51" s="7">
        <f>'AS400'!BS51</f>
        <v>7</v>
      </c>
      <c r="BV51" s="7">
        <f>'AS400'!BT51</f>
        <v>47</v>
      </c>
      <c r="BW51" s="7">
        <f>'AS400'!BU51</f>
        <v>0</v>
      </c>
      <c r="BX51" s="7">
        <f>'AS400'!BV51</f>
        <v>0</v>
      </c>
      <c r="BY51" s="7">
        <f>'AS400'!BW51</f>
        <v>0</v>
      </c>
      <c r="BZ51" s="7">
        <f>'AS400'!BX51</f>
        <v>0</v>
      </c>
      <c r="CA51" s="7">
        <f>'AS400'!BY51</f>
        <v>0</v>
      </c>
      <c r="CB51" s="7">
        <f>'AS400'!BZ51</f>
        <v>0</v>
      </c>
      <c r="CC51" s="7">
        <f>'AS400'!CA51</f>
        <v>0</v>
      </c>
      <c r="CD51" s="7">
        <f>'AS400'!CB51</f>
        <v>0</v>
      </c>
      <c r="CE51" s="7">
        <f>'AS400'!CC51</f>
        <v>0</v>
      </c>
      <c r="CF51" s="7">
        <f>'AS400'!CD51</f>
        <v>0</v>
      </c>
      <c r="CG51" s="7">
        <f>'AS400'!CE51</f>
        <v>0</v>
      </c>
      <c r="CH51" s="7">
        <f>'AS400'!CF51</f>
        <v>0</v>
      </c>
      <c r="CI51" s="7">
        <f>'AS400'!CG51</f>
        <v>0</v>
      </c>
      <c r="CJ51" s="7">
        <f>'AS400'!CH51</f>
        <v>0</v>
      </c>
      <c r="CK51" s="7">
        <f>'AS400'!CI51</f>
        <v>0</v>
      </c>
      <c r="CL51" s="7">
        <f>'AS400'!CJ51</f>
        <v>0</v>
      </c>
      <c r="CM51" s="8">
        <f>'AS400'!CK51</f>
        <v>1</v>
      </c>
      <c r="CN51" s="7">
        <f>'AS400'!CL51</f>
        <v>3</v>
      </c>
      <c r="CO51" s="7" t="str">
        <f>'AS400'!CM51</f>
        <v>PUDT</v>
      </c>
      <c r="CP51" s="7">
        <f>'AS400'!CN51</f>
        <v>100</v>
      </c>
      <c r="CQ51" s="7">
        <f>'AS400'!CO51</f>
        <v>20180301</v>
      </c>
      <c r="CR51" s="7">
        <f>'AS400'!CP51</f>
        <v>20180301</v>
      </c>
      <c r="CS51" s="7" t="str">
        <f>'AS400'!CQ51</f>
        <v>S</v>
      </c>
      <c r="CT51" s="7" t="str">
        <f>'AS400'!CR51</f>
        <v>MT</v>
      </c>
      <c r="CU51" s="7">
        <f>'AS400'!CS51</f>
        <v>20180301</v>
      </c>
      <c r="CV51" s="7">
        <f>'AS400'!CT51</f>
        <v>0</v>
      </c>
      <c r="CW51" s="7">
        <f>'AS400'!CU51</f>
        <v>0</v>
      </c>
      <c r="CX51" s="7">
        <f>'AS400'!CV51</f>
        <v>0</v>
      </c>
      <c r="CY51" s="7">
        <f>'AS400'!CW51</f>
        <v>0</v>
      </c>
      <c r="CZ51" s="7" t="str">
        <f>'AS400'!CX51</f>
        <v>STLV</v>
      </c>
      <c r="DA51" s="7">
        <f>'AS400'!CY51</f>
        <v>818</v>
      </c>
      <c r="DB51" s="7">
        <f>'AS400'!CZ51</f>
        <v>0</v>
      </c>
      <c r="DC51" s="7">
        <f>'AS400'!DA51</f>
        <v>12</v>
      </c>
      <c r="DD51" s="7">
        <f>'AS400'!DB51</f>
        <v>20180201</v>
      </c>
      <c r="DE51" s="7">
        <f>'AS400'!DC51</f>
        <v>0</v>
      </c>
      <c r="DF51" s="7">
        <f>'AS400'!DD51</f>
        <v>0</v>
      </c>
      <c r="DG51" s="7">
        <f>'AS400'!DE51</f>
        <v>26</v>
      </c>
      <c r="DI51" s="7">
        <f>'AS400'!DF51</f>
        <v>47</v>
      </c>
      <c r="DJ51" s="7">
        <f>'AS400'!DG51</f>
        <v>0</v>
      </c>
      <c r="DK51" s="7">
        <f>'AS400'!DH51</f>
        <v>0</v>
      </c>
      <c r="DL51" s="7">
        <f>'AS400'!DI51</f>
        <v>0</v>
      </c>
      <c r="DM51" s="7">
        <f>'AS400'!DJ51</f>
        <v>0</v>
      </c>
      <c r="DN51" s="7">
        <f>'AS400'!DK51</f>
        <v>0</v>
      </c>
      <c r="DO51" s="7">
        <f>'AS400'!DL51</f>
        <v>0</v>
      </c>
      <c r="DP51" s="7">
        <f>'AS400'!DM51</f>
        <v>0</v>
      </c>
      <c r="DQ51" s="7">
        <f>'AS400'!DN51</f>
        <v>0</v>
      </c>
      <c r="DR51" s="7">
        <f>'AS400'!DO51</f>
        <v>0</v>
      </c>
      <c r="DS51" s="7">
        <f>'AS400'!DP51</f>
        <v>0</v>
      </c>
      <c r="DT51" s="7">
        <f>'AS400'!DQ51</f>
        <v>0</v>
      </c>
      <c r="DU51" s="7">
        <f>'AS400'!DR51</f>
        <v>0</v>
      </c>
      <c r="DV51" s="7">
        <f>'AS400'!DS51</f>
        <v>0</v>
      </c>
      <c r="DW51" s="7">
        <f>'AS400'!DT51</f>
        <v>0</v>
      </c>
      <c r="DX51" s="7">
        <f>'AS400'!DU51</f>
        <v>0</v>
      </c>
      <c r="DY51" s="7">
        <f>'AS400'!DV51</f>
        <v>0</v>
      </c>
      <c r="DZ51" s="8">
        <f>'AS400'!DW51</f>
        <v>1</v>
      </c>
      <c r="EA51" s="7">
        <f>'AS400'!DX51</f>
        <v>4</v>
      </c>
      <c r="EB51" s="7" t="str">
        <f>'AS400'!DY51</f>
        <v>PUDS</v>
      </c>
      <c r="EC51" s="7">
        <f>'AS400'!DZ51</f>
        <v>100</v>
      </c>
      <c r="ED51" s="7">
        <f>'AS400'!EA51</f>
        <v>20180301</v>
      </c>
      <c r="EE51" s="7">
        <f>'AS400'!EB51</f>
        <v>20180301</v>
      </c>
      <c r="EF51" s="7" t="str">
        <f>'AS400'!EC51</f>
        <v>S</v>
      </c>
      <c r="EG51" s="7" t="str">
        <f>'AS400'!ED51</f>
        <v>MS</v>
      </c>
      <c r="EH51" s="7">
        <f>'AS400'!EE51</f>
        <v>20180301</v>
      </c>
      <c r="EI51" s="7">
        <f>'AS400'!EF51</f>
        <v>0</v>
      </c>
      <c r="EJ51" s="7">
        <f>'AS400'!EG51</f>
        <v>0</v>
      </c>
      <c r="EK51" s="7">
        <f>'AS400'!EH51</f>
        <v>0</v>
      </c>
      <c r="EL51" s="7">
        <f>'AS400'!EI51</f>
        <v>0</v>
      </c>
      <c r="EM51" s="7" t="str">
        <f>'AS400'!EJ51</f>
        <v>STLV</v>
      </c>
      <c r="EN51" s="7">
        <f>'AS400'!EK51</f>
        <v>818</v>
      </c>
      <c r="EO51" s="7">
        <f>'AS400'!EL51</f>
        <v>0</v>
      </c>
      <c r="EP51" s="7">
        <f>'AS400'!EM51</f>
        <v>12</v>
      </c>
      <c r="EQ51" s="7">
        <f>'AS400'!EN51</f>
        <v>20180201</v>
      </c>
      <c r="ER51" s="7">
        <f>'AS400'!EO51</f>
        <v>0</v>
      </c>
      <c r="ES51" s="7">
        <f>'AS400'!EP51</f>
        <v>0</v>
      </c>
      <c r="ET51" s="7">
        <f>'AS400'!EQ51</f>
        <v>11</v>
      </c>
      <c r="EV51" s="7">
        <f>'AS400'!ER51</f>
        <v>47</v>
      </c>
      <c r="EW51" s="7">
        <f>'AS400'!ES51</f>
        <v>0</v>
      </c>
      <c r="EX51" s="7">
        <f>'AS400'!ET51</f>
        <v>0</v>
      </c>
      <c r="EY51" s="7">
        <f>'AS400'!EU51</f>
        <v>0</v>
      </c>
      <c r="EZ51" s="7">
        <f>'AS400'!EV51</f>
        <v>0</v>
      </c>
      <c r="FA51" s="7">
        <f>'AS400'!EW51</f>
        <v>0</v>
      </c>
      <c r="FB51" s="7">
        <f>'AS400'!EX51</f>
        <v>0</v>
      </c>
      <c r="FC51" s="7">
        <f>'AS400'!EY51</f>
        <v>0</v>
      </c>
      <c r="FD51" s="7">
        <f>'AS400'!EZ51</f>
        <v>0</v>
      </c>
      <c r="FE51" s="7">
        <f>'AS400'!FA51</f>
        <v>0</v>
      </c>
      <c r="FF51" s="7">
        <f>'AS400'!FB51</f>
        <v>0</v>
      </c>
      <c r="FG51" s="7">
        <f>'AS400'!FC51</f>
        <v>0</v>
      </c>
      <c r="FH51" s="7">
        <f>'AS400'!FD51</f>
        <v>0</v>
      </c>
      <c r="FI51" s="7">
        <f>'AS400'!FE51</f>
        <v>0</v>
      </c>
      <c r="FJ51" s="7">
        <f>'AS400'!FF51</f>
        <v>0</v>
      </c>
      <c r="FK51" s="7">
        <f>'AS400'!FG51</f>
        <v>0</v>
      </c>
      <c r="FL51" s="7">
        <f>'AS400'!FH51</f>
        <v>0</v>
      </c>
      <c r="FM51" s="7">
        <f>'AS400'!FI51</f>
        <v>1</v>
      </c>
      <c r="FN51" s="7">
        <f>'AS400'!FJ51</f>
        <v>1</v>
      </c>
      <c r="FO51" s="7">
        <f>'AS400'!FO51</f>
        <v>0</v>
      </c>
      <c r="FP51" s="7">
        <f>'AS400'!FP51</f>
        <v>4</v>
      </c>
      <c r="FQ51" s="7">
        <f>'AS400'!FQ51</f>
        <v>1</v>
      </c>
      <c r="FR51" s="7">
        <f>'AS400'!FR51</f>
        <v>1</v>
      </c>
      <c r="FS51" s="13">
        <f>'AS400'!FO51</f>
        <v>0</v>
      </c>
    </row>
    <row r="52" spans="1:175">
      <c r="A52" s="7">
        <f>'AS400'!A52</f>
        <v>46</v>
      </c>
      <c r="B52" s="7">
        <f>'AS400'!B52</f>
        <v>20190301</v>
      </c>
      <c r="C52" s="7">
        <f>'AS400'!C52</f>
        <v>0</v>
      </c>
      <c r="D52" s="7" t="str">
        <f>'AS400'!D52</f>
        <v>N</v>
      </c>
      <c r="E52" s="7" t="str">
        <f>'AS400'!E52</f>
        <v>N</v>
      </c>
      <c r="F52" s="7" t="str">
        <f>'AS400'!F52</f>
        <v>Y</v>
      </c>
      <c r="G52" s="7">
        <f>'AS400'!G52</f>
        <v>0</v>
      </c>
      <c r="H52" s="14"/>
      <c r="I52" s="7" t="str">
        <f>'AS400'!I52</f>
        <v>RSA</v>
      </c>
      <c r="J52" s="7" t="str">
        <f>'AS400'!J52</f>
        <v>METR</v>
      </c>
      <c r="K52" s="7" t="str">
        <f>'AS400'!K52</f>
        <v>N</v>
      </c>
      <c r="L52" s="7">
        <f>'AS400'!L52</f>
        <v>4</v>
      </c>
      <c r="M52" s="8">
        <f>'AS400'!M52</f>
        <v>1</v>
      </c>
      <c r="N52" s="7">
        <f>'AS400'!N52</f>
        <v>1</v>
      </c>
      <c r="O52" s="7" t="str">
        <f>'AS400'!O52</f>
        <v>MFPA</v>
      </c>
      <c r="P52" s="7">
        <f>'AS400'!P52</f>
        <v>100</v>
      </c>
      <c r="Q52" s="7">
        <f>'AS400'!Q52</f>
        <v>20180301</v>
      </c>
      <c r="R52" s="7">
        <f>'AS400'!R52</f>
        <v>20180301</v>
      </c>
      <c r="S52" s="7" t="str">
        <f>'AS400'!S52</f>
        <v>M</v>
      </c>
      <c r="T52" s="7" t="str">
        <f>'AS400'!T52</f>
        <v>MN</v>
      </c>
      <c r="U52" s="7">
        <f>'AS400'!U52</f>
        <v>20190301</v>
      </c>
      <c r="V52" s="7">
        <f>'AS400'!V52</f>
        <v>10</v>
      </c>
      <c r="W52" s="7">
        <f>'AS400'!W52</f>
        <v>10</v>
      </c>
      <c r="X52" s="7" t="str">
        <f>'AS400'!X52</f>
        <v>MFIX</v>
      </c>
      <c r="Y52" s="7">
        <f>'AS400'!Y52</f>
        <v>0</v>
      </c>
      <c r="Z52" s="7" t="str">
        <f>'AS400'!Z52</f>
        <v>STLV</v>
      </c>
      <c r="AA52" s="7">
        <f>'AS400'!AA52</f>
        <v>818</v>
      </c>
      <c r="AB52" s="7">
        <f>'AS400'!AB52</f>
        <v>0</v>
      </c>
      <c r="AC52" s="7">
        <f>'AS400'!AC52</f>
        <v>12</v>
      </c>
      <c r="AD52" s="7">
        <f>'AS400'!AD52</f>
        <v>20180201</v>
      </c>
      <c r="AE52" s="7">
        <f>'AS400'!AE52</f>
        <v>0</v>
      </c>
      <c r="AF52" s="7">
        <f>'AS400'!AF52</f>
        <v>50000</v>
      </c>
      <c r="AG52" s="7">
        <f>'AS400'!AG52</f>
        <v>427</v>
      </c>
      <c r="AI52" s="7">
        <f>'AS400'!AH52</f>
        <v>70</v>
      </c>
      <c r="AJ52" s="7">
        <f>'AS400'!AI52</f>
        <v>0</v>
      </c>
      <c r="AK52" s="7">
        <f>'AS400'!AJ52</f>
        <v>0</v>
      </c>
      <c r="AL52" s="7">
        <f>'AS400'!AK52</f>
        <v>0</v>
      </c>
      <c r="AM52" s="7">
        <f>'AS400'!AL52</f>
        <v>0</v>
      </c>
      <c r="AN52" s="7">
        <f>'AS400'!AM52</f>
        <v>0</v>
      </c>
      <c r="AO52" s="7">
        <f>'AS400'!AN52</f>
        <v>0</v>
      </c>
      <c r="AP52" s="7">
        <f>'AS400'!AO52</f>
        <v>0</v>
      </c>
      <c r="AQ52" s="7">
        <f>'AS400'!AP52</f>
        <v>0</v>
      </c>
      <c r="AR52" s="7">
        <f>'AS400'!AQ52</f>
        <v>0</v>
      </c>
      <c r="AS52" s="7">
        <f>'AS400'!AR52</f>
        <v>0</v>
      </c>
      <c r="AT52" s="7">
        <f>'AS400'!AS52</f>
        <v>0</v>
      </c>
      <c r="AU52" s="7">
        <f>'AS400'!AT52</f>
        <v>0</v>
      </c>
      <c r="AV52" s="7">
        <f>'AS400'!AU52</f>
        <v>0</v>
      </c>
      <c r="AW52" s="7">
        <f>'AS400'!AV52</f>
        <v>0</v>
      </c>
      <c r="AX52" s="7">
        <f>'AS400'!AW52</f>
        <v>0</v>
      </c>
      <c r="AY52" s="7">
        <f>'AS400'!AX52</f>
        <v>0</v>
      </c>
      <c r="AZ52" s="8">
        <f>'AS400'!AY52</f>
        <v>1</v>
      </c>
      <c r="BA52" s="7">
        <f>'AS400'!AZ52</f>
        <v>2</v>
      </c>
      <c r="BB52" s="7" t="str">
        <f>'AS400'!BA52</f>
        <v>PURO</v>
      </c>
      <c r="BC52" s="7">
        <f>'AS400'!BB52</f>
        <v>100</v>
      </c>
      <c r="BD52" s="7">
        <f>'AS400'!BC52</f>
        <v>20180301</v>
      </c>
      <c r="BE52" s="7">
        <f>'AS400'!BD52</f>
        <v>20180301</v>
      </c>
      <c r="BF52" s="7" t="str">
        <f>'AS400'!BE52</f>
        <v>S</v>
      </c>
      <c r="BG52" s="7" t="str">
        <f>'AS400'!BF52</f>
        <v>ME</v>
      </c>
      <c r="BH52" s="7">
        <f>'AS400'!BG52</f>
        <v>20180301</v>
      </c>
      <c r="BI52" s="7">
        <f>'AS400'!BH52</f>
        <v>0</v>
      </c>
      <c r="BJ52" s="7">
        <f>'AS400'!BI52</f>
        <v>0</v>
      </c>
      <c r="BK52" s="7">
        <f>'AS400'!BJ52</f>
        <v>0</v>
      </c>
      <c r="BL52" s="7">
        <f>'AS400'!BK52</f>
        <v>0</v>
      </c>
      <c r="BM52" s="7" t="str">
        <f>'AS400'!BL52</f>
        <v>STLV</v>
      </c>
      <c r="BN52" s="7">
        <f>'AS400'!BM52</f>
        <v>818</v>
      </c>
      <c r="BO52" s="7">
        <f>'AS400'!BN52</f>
        <v>0</v>
      </c>
      <c r="BP52" s="7">
        <f>'AS400'!BO52</f>
        <v>12</v>
      </c>
      <c r="BQ52" s="7">
        <f>'AS400'!BP52</f>
        <v>20180201</v>
      </c>
      <c r="BR52" s="7">
        <f>'AS400'!BQ52</f>
        <v>0</v>
      </c>
      <c r="BS52" s="7">
        <f>'AS400'!BR52</f>
        <v>0</v>
      </c>
      <c r="BT52" s="7">
        <f>'AS400'!BS52</f>
        <v>22</v>
      </c>
      <c r="BV52" s="7">
        <f>'AS400'!BT52</f>
        <v>70</v>
      </c>
      <c r="BW52" s="7">
        <f>'AS400'!BU52</f>
        <v>0</v>
      </c>
      <c r="BX52" s="7">
        <f>'AS400'!BV52</f>
        <v>0</v>
      </c>
      <c r="BY52" s="7">
        <f>'AS400'!BW52</f>
        <v>0</v>
      </c>
      <c r="BZ52" s="7">
        <f>'AS400'!BX52</f>
        <v>0</v>
      </c>
      <c r="CA52" s="7">
        <f>'AS400'!BY52</f>
        <v>0</v>
      </c>
      <c r="CB52" s="7">
        <f>'AS400'!BZ52</f>
        <v>0</v>
      </c>
      <c r="CC52" s="7">
        <f>'AS400'!CA52</f>
        <v>0</v>
      </c>
      <c r="CD52" s="7">
        <f>'AS400'!CB52</f>
        <v>0</v>
      </c>
      <c r="CE52" s="7">
        <f>'AS400'!CC52</f>
        <v>0</v>
      </c>
      <c r="CF52" s="7">
        <f>'AS400'!CD52</f>
        <v>0</v>
      </c>
      <c r="CG52" s="7">
        <f>'AS400'!CE52</f>
        <v>0</v>
      </c>
      <c r="CH52" s="7">
        <f>'AS400'!CF52</f>
        <v>0</v>
      </c>
      <c r="CI52" s="7">
        <f>'AS400'!CG52</f>
        <v>0</v>
      </c>
      <c r="CJ52" s="7">
        <f>'AS400'!CH52</f>
        <v>0</v>
      </c>
      <c r="CK52" s="7">
        <f>'AS400'!CI52</f>
        <v>0</v>
      </c>
      <c r="CL52" s="7">
        <f>'AS400'!CJ52</f>
        <v>0</v>
      </c>
      <c r="CM52" s="8">
        <f>'AS400'!CK52</f>
        <v>1</v>
      </c>
      <c r="CN52" s="7">
        <f>'AS400'!CL52</f>
        <v>3</v>
      </c>
      <c r="CO52" s="7" t="str">
        <f>'AS400'!CM52</f>
        <v>PUDT</v>
      </c>
      <c r="CP52" s="7">
        <f>'AS400'!CN52</f>
        <v>100</v>
      </c>
      <c r="CQ52" s="7">
        <f>'AS400'!CO52</f>
        <v>20180301</v>
      </c>
      <c r="CR52" s="7">
        <f>'AS400'!CP52</f>
        <v>20180301</v>
      </c>
      <c r="CS52" s="7" t="str">
        <f>'AS400'!CQ52</f>
        <v>S</v>
      </c>
      <c r="CT52" s="7" t="str">
        <f>'AS400'!CR52</f>
        <v>MT</v>
      </c>
      <c r="CU52" s="7">
        <f>'AS400'!CS52</f>
        <v>20180301</v>
      </c>
      <c r="CV52" s="7">
        <f>'AS400'!CT52</f>
        <v>0</v>
      </c>
      <c r="CW52" s="7">
        <f>'AS400'!CU52</f>
        <v>0</v>
      </c>
      <c r="CX52" s="7">
        <f>'AS400'!CV52</f>
        <v>0</v>
      </c>
      <c r="CY52" s="7">
        <f>'AS400'!CW52</f>
        <v>0</v>
      </c>
      <c r="CZ52" s="7" t="str">
        <f>'AS400'!CX52</f>
        <v>STLV</v>
      </c>
      <c r="DA52" s="7">
        <f>'AS400'!CY52</f>
        <v>818</v>
      </c>
      <c r="DB52" s="7">
        <f>'AS400'!CZ52</f>
        <v>0</v>
      </c>
      <c r="DC52" s="7">
        <f>'AS400'!DA52</f>
        <v>12</v>
      </c>
      <c r="DD52" s="7">
        <f>'AS400'!DB52</f>
        <v>20180201</v>
      </c>
      <c r="DE52" s="7">
        <f>'AS400'!DC52</f>
        <v>0</v>
      </c>
      <c r="DF52" s="7">
        <f>'AS400'!DD52</f>
        <v>0</v>
      </c>
      <c r="DG52" s="7">
        <f>'AS400'!DE52</f>
        <v>71</v>
      </c>
      <c r="DI52" s="7">
        <f>'AS400'!DF52</f>
        <v>70</v>
      </c>
      <c r="DJ52" s="7">
        <f>'AS400'!DG52</f>
        <v>0</v>
      </c>
      <c r="DK52" s="7">
        <f>'AS400'!DH52</f>
        <v>0</v>
      </c>
      <c r="DL52" s="7">
        <f>'AS400'!DI52</f>
        <v>0</v>
      </c>
      <c r="DM52" s="7">
        <f>'AS400'!DJ52</f>
        <v>0</v>
      </c>
      <c r="DN52" s="7">
        <f>'AS400'!DK52</f>
        <v>0</v>
      </c>
      <c r="DO52" s="7">
        <f>'AS400'!DL52</f>
        <v>0</v>
      </c>
      <c r="DP52" s="7">
        <f>'AS400'!DM52</f>
        <v>0</v>
      </c>
      <c r="DQ52" s="7">
        <f>'AS400'!DN52</f>
        <v>0</v>
      </c>
      <c r="DR52" s="7">
        <f>'AS400'!DO52</f>
        <v>0</v>
      </c>
      <c r="DS52" s="7">
        <f>'AS400'!DP52</f>
        <v>0</v>
      </c>
      <c r="DT52" s="7">
        <f>'AS400'!DQ52</f>
        <v>0</v>
      </c>
      <c r="DU52" s="7">
        <f>'AS400'!DR52</f>
        <v>0</v>
      </c>
      <c r="DV52" s="7">
        <f>'AS400'!DS52</f>
        <v>0</v>
      </c>
      <c r="DW52" s="7">
        <f>'AS400'!DT52</f>
        <v>0</v>
      </c>
      <c r="DX52" s="7">
        <f>'AS400'!DU52</f>
        <v>0</v>
      </c>
      <c r="DY52" s="7">
        <f>'AS400'!DV52</f>
        <v>0</v>
      </c>
      <c r="DZ52" s="8">
        <f>'AS400'!DW52</f>
        <v>1</v>
      </c>
      <c r="EA52" s="7">
        <f>'AS400'!DX52</f>
        <v>4</v>
      </c>
      <c r="EB52" s="7" t="str">
        <f>'AS400'!DY52</f>
        <v>PUDS</v>
      </c>
      <c r="EC52" s="7">
        <f>'AS400'!DZ52</f>
        <v>100</v>
      </c>
      <c r="ED52" s="7">
        <f>'AS400'!EA52</f>
        <v>20180301</v>
      </c>
      <c r="EE52" s="7">
        <f>'AS400'!EB52</f>
        <v>20180301</v>
      </c>
      <c r="EF52" s="7" t="str">
        <f>'AS400'!EC52</f>
        <v>S</v>
      </c>
      <c r="EG52" s="7" t="str">
        <f>'AS400'!ED52</f>
        <v>MS</v>
      </c>
      <c r="EH52" s="7">
        <f>'AS400'!EE52</f>
        <v>20180301</v>
      </c>
      <c r="EI52" s="7">
        <f>'AS400'!EF52</f>
        <v>0</v>
      </c>
      <c r="EJ52" s="7">
        <f>'AS400'!EG52</f>
        <v>0</v>
      </c>
      <c r="EK52" s="7">
        <f>'AS400'!EH52</f>
        <v>0</v>
      </c>
      <c r="EL52" s="7">
        <f>'AS400'!EI52</f>
        <v>0</v>
      </c>
      <c r="EM52" s="7" t="str">
        <f>'AS400'!EJ52</f>
        <v>STLV</v>
      </c>
      <c r="EN52" s="7">
        <f>'AS400'!EK52</f>
        <v>818</v>
      </c>
      <c r="EO52" s="7">
        <f>'AS400'!EL52</f>
        <v>0</v>
      </c>
      <c r="EP52" s="7">
        <f>'AS400'!EM52</f>
        <v>12</v>
      </c>
      <c r="EQ52" s="7">
        <f>'AS400'!EN52</f>
        <v>20180201</v>
      </c>
      <c r="ER52" s="7">
        <f>'AS400'!EO52</f>
        <v>0</v>
      </c>
      <c r="ES52" s="7">
        <f>'AS400'!EP52</f>
        <v>0</v>
      </c>
      <c r="ET52" s="7">
        <f>'AS400'!EQ52</f>
        <v>21</v>
      </c>
      <c r="EV52" s="7">
        <f>'AS400'!ER52</f>
        <v>70</v>
      </c>
      <c r="EW52" s="7">
        <f>'AS400'!ES52</f>
        <v>0</v>
      </c>
      <c r="EX52" s="7">
        <f>'AS400'!ET52</f>
        <v>0</v>
      </c>
      <c r="EY52" s="7">
        <f>'AS400'!EU52</f>
        <v>0</v>
      </c>
      <c r="EZ52" s="7">
        <f>'AS400'!EV52</f>
        <v>0</v>
      </c>
      <c r="FA52" s="7">
        <f>'AS400'!EW52</f>
        <v>0</v>
      </c>
      <c r="FB52" s="7">
        <f>'AS400'!EX52</f>
        <v>0</v>
      </c>
      <c r="FC52" s="7">
        <f>'AS400'!EY52</f>
        <v>0</v>
      </c>
      <c r="FD52" s="7">
        <f>'AS400'!EZ52</f>
        <v>0</v>
      </c>
      <c r="FE52" s="7">
        <f>'AS400'!FA52</f>
        <v>0</v>
      </c>
      <c r="FF52" s="7">
        <f>'AS400'!FB52</f>
        <v>0</v>
      </c>
      <c r="FG52" s="7">
        <f>'AS400'!FC52</f>
        <v>0</v>
      </c>
      <c r="FH52" s="7">
        <f>'AS400'!FD52</f>
        <v>0</v>
      </c>
      <c r="FI52" s="7">
        <f>'AS400'!FE52</f>
        <v>0</v>
      </c>
      <c r="FJ52" s="7">
        <f>'AS400'!FF52</f>
        <v>0</v>
      </c>
      <c r="FK52" s="7">
        <f>'AS400'!FG52</f>
        <v>0</v>
      </c>
      <c r="FL52" s="7">
        <f>'AS400'!FH52</f>
        <v>0</v>
      </c>
      <c r="FM52" s="7">
        <f>'AS400'!FI52</f>
        <v>1</v>
      </c>
      <c r="FN52" s="7">
        <f>'AS400'!FJ52</f>
        <v>1</v>
      </c>
      <c r="FO52" s="7">
        <f>'AS400'!FO52</f>
        <v>0</v>
      </c>
      <c r="FP52" s="7">
        <f>'AS400'!FP52</f>
        <v>4</v>
      </c>
      <c r="FQ52" s="7">
        <f>'AS400'!FQ52</f>
        <v>1</v>
      </c>
      <c r="FR52" s="7">
        <f>'AS400'!FR52</f>
        <v>1</v>
      </c>
      <c r="FS52" s="13">
        <f>'AS400'!FO52</f>
        <v>0</v>
      </c>
    </row>
    <row r="53" spans="1:175">
      <c r="A53" s="7">
        <f>'AS400'!A53</f>
        <v>47</v>
      </c>
      <c r="B53" s="7">
        <f>'AS400'!B53</f>
        <v>20190301</v>
      </c>
      <c r="C53" s="7">
        <f>'AS400'!C53</f>
        <v>0</v>
      </c>
      <c r="D53" s="7" t="str">
        <f>'AS400'!D53</f>
        <v>N</v>
      </c>
      <c r="E53" s="7" t="str">
        <f>'AS400'!E53</f>
        <v>N</v>
      </c>
      <c r="F53" s="7" t="str">
        <f>'AS400'!F53</f>
        <v>Y</v>
      </c>
      <c r="G53" s="7">
        <f>'AS400'!G53</f>
        <v>0</v>
      </c>
      <c r="H53" s="14"/>
      <c r="I53" s="7" t="str">
        <f>'AS400'!I53</f>
        <v>RSA</v>
      </c>
      <c r="J53" s="7" t="str">
        <f>'AS400'!J53</f>
        <v>METR</v>
      </c>
      <c r="K53" s="7" t="str">
        <f>'AS400'!K53</f>
        <v>N</v>
      </c>
      <c r="L53" s="7">
        <f>'AS400'!L53</f>
        <v>4</v>
      </c>
      <c r="M53" s="8">
        <f>'AS400'!M53</f>
        <v>1</v>
      </c>
      <c r="N53" s="7">
        <f>'AS400'!N53</f>
        <v>1</v>
      </c>
      <c r="O53" s="7" t="str">
        <f>'AS400'!O53</f>
        <v>MFEF</v>
      </c>
      <c r="P53" s="7">
        <f>'AS400'!P53</f>
        <v>100</v>
      </c>
      <c r="Q53" s="7">
        <f>'AS400'!Q53</f>
        <v>20180301</v>
      </c>
      <c r="R53" s="7">
        <f>'AS400'!R53</f>
        <v>20180301</v>
      </c>
      <c r="S53" s="7" t="str">
        <f>'AS400'!S53</f>
        <v>M</v>
      </c>
      <c r="T53" s="7" t="str">
        <f>'AS400'!T53</f>
        <v>MN</v>
      </c>
      <c r="U53" s="7">
        <f>'AS400'!U53</f>
        <v>20190301</v>
      </c>
      <c r="V53" s="7">
        <f>'AS400'!V53</f>
        <v>10</v>
      </c>
      <c r="W53" s="7">
        <f>'AS400'!W53</f>
        <v>10</v>
      </c>
      <c r="X53" s="7" t="str">
        <f>'AS400'!X53</f>
        <v>MFIX</v>
      </c>
      <c r="Y53" s="7">
        <f>'AS400'!Y53</f>
        <v>0</v>
      </c>
      <c r="Z53" s="7" t="str">
        <f>'AS400'!Z53</f>
        <v>STLV</v>
      </c>
      <c r="AA53" s="7">
        <f>'AS400'!AA53</f>
        <v>818</v>
      </c>
      <c r="AB53" s="7">
        <f>'AS400'!AB53</f>
        <v>0</v>
      </c>
      <c r="AC53" s="7">
        <f>'AS400'!AC53</f>
        <v>12</v>
      </c>
      <c r="AD53" s="7">
        <f>'AS400'!AD53</f>
        <v>20180201</v>
      </c>
      <c r="AE53" s="7">
        <f>'AS400'!AE53</f>
        <v>0</v>
      </c>
      <c r="AF53" s="7">
        <f>'AS400'!AF53</f>
        <v>50000</v>
      </c>
      <c r="AG53" s="7">
        <f>'AS400'!AG53</f>
        <v>258</v>
      </c>
      <c r="AI53" s="7">
        <f>'AS400'!AH53</f>
        <v>38</v>
      </c>
      <c r="AJ53" s="7">
        <f>'AS400'!AI53</f>
        <v>0</v>
      </c>
      <c r="AK53" s="7">
        <f>'AS400'!AJ53</f>
        <v>0</v>
      </c>
      <c r="AL53" s="7">
        <f>'AS400'!AK53</f>
        <v>0</v>
      </c>
      <c r="AM53" s="7">
        <f>'AS400'!AL53</f>
        <v>0</v>
      </c>
      <c r="AN53" s="7">
        <f>'AS400'!AM53</f>
        <v>0</v>
      </c>
      <c r="AO53" s="7">
        <f>'AS400'!AN53</f>
        <v>0</v>
      </c>
      <c r="AP53" s="7">
        <f>'AS400'!AO53</f>
        <v>0</v>
      </c>
      <c r="AQ53" s="7">
        <f>'AS400'!AP53</f>
        <v>0</v>
      </c>
      <c r="AR53" s="7">
        <f>'AS400'!AQ53</f>
        <v>0</v>
      </c>
      <c r="AS53" s="7">
        <f>'AS400'!AR53</f>
        <v>0</v>
      </c>
      <c r="AT53" s="7">
        <f>'AS400'!AS53</f>
        <v>0</v>
      </c>
      <c r="AU53" s="7">
        <f>'AS400'!AT53</f>
        <v>0</v>
      </c>
      <c r="AV53" s="7">
        <f>'AS400'!AU53</f>
        <v>0</v>
      </c>
      <c r="AW53" s="7">
        <f>'AS400'!AV53</f>
        <v>0</v>
      </c>
      <c r="AX53" s="7">
        <f>'AS400'!AW53</f>
        <v>0</v>
      </c>
      <c r="AY53" s="7">
        <f>'AS400'!AX53</f>
        <v>0</v>
      </c>
      <c r="AZ53" s="8">
        <f>'AS400'!AY53</f>
        <v>1</v>
      </c>
      <c r="BA53" s="7">
        <f>'AS400'!AZ53</f>
        <v>2</v>
      </c>
      <c r="BB53" s="7" t="str">
        <f>'AS400'!BA53</f>
        <v>PURO</v>
      </c>
      <c r="BC53" s="7">
        <f>'AS400'!BB53</f>
        <v>100</v>
      </c>
      <c r="BD53" s="7">
        <f>'AS400'!BC53</f>
        <v>20180301</v>
      </c>
      <c r="BE53" s="7">
        <f>'AS400'!BD53</f>
        <v>20180301</v>
      </c>
      <c r="BF53" s="7" t="str">
        <f>'AS400'!BE53</f>
        <v>S</v>
      </c>
      <c r="BG53" s="7" t="str">
        <f>'AS400'!BF53</f>
        <v>ME</v>
      </c>
      <c r="BH53" s="7">
        <f>'AS400'!BG53</f>
        <v>20180301</v>
      </c>
      <c r="BI53" s="7">
        <f>'AS400'!BH53</f>
        <v>0</v>
      </c>
      <c r="BJ53" s="7">
        <f>'AS400'!BI53</f>
        <v>0</v>
      </c>
      <c r="BK53" s="7">
        <f>'AS400'!BJ53</f>
        <v>0</v>
      </c>
      <c r="BL53" s="7">
        <f>'AS400'!BK53</f>
        <v>0</v>
      </c>
      <c r="BM53" s="7" t="str">
        <f>'AS400'!BL53</f>
        <v>STLV</v>
      </c>
      <c r="BN53" s="7">
        <f>'AS400'!BM53</f>
        <v>818</v>
      </c>
      <c r="BO53" s="7">
        <f>'AS400'!BN53</f>
        <v>0</v>
      </c>
      <c r="BP53" s="7">
        <f>'AS400'!BO53</f>
        <v>12</v>
      </c>
      <c r="BQ53" s="7">
        <f>'AS400'!BP53</f>
        <v>20180201</v>
      </c>
      <c r="BR53" s="7">
        <f>'AS400'!BQ53</f>
        <v>0</v>
      </c>
      <c r="BS53" s="7">
        <f>'AS400'!BR53</f>
        <v>0</v>
      </c>
      <c r="BT53" s="7">
        <f>'AS400'!BS53</f>
        <v>45</v>
      </c>
      <c r="BV53" s="7">
        <f>'AS400'!BT53</f>
        <v>38</v>
      </c>
      <c r="BW53" s="7">
        <f>'AS400'!BU53</f>
        <v>0</v>
      </c>
      <c r="BX53" s="7">
        <f>'AS400'!BV53</f>
        <v>0</v>
      </c>
      <c r="BY53" s="7">
        <f>'AS400'!BW53</f>
        <v>0</v>
      </c>
      <c r="BZ53" s="7">
        <f>'AS400'!BX53</f>
        <v>0</v>
      </c>
      <c r="CA53" s="7">
        <f>'AS400'!BY53</f>
        <v>0</v>
      </c>
      <c r="CB53" s="7">
        <f>'AS400'!BZ53</f>
        <v>0</v>
      </c>
      <c r="CC53" s="7">
        <f>'AS400'!CA53</f>
        <v>0</v>
      </c>
      <c r="CD53" s="7">
        <f>'AS400'!CB53</f>
        <v>0</v>
      </c>
      <c r="CE53" s="7">
        <f>'AS400'!CC53</f>
        <v>0</v>
      </c>
      <c r="CF53" s="7">
        <f>'AS400'!CD53</f>
        <v>0</v>
      </c>
      <c r="CG53" s="7">
        <f>'AS400'!CE53</f>
        <v>0</v>
      </c>
      <c r="CH53" s="7">
        <f>'AS400'!CF53</f>
        <v>0</v>
      </c>
      <c r="CI53" s="7">
        <f>'AS400'!CG53</f>
        <v>0</v>
      </c>
      <c r="CJ53" s="7">
        <f>'AS400'!CH53</f>
        <v>0</v>
      </c>
      <c r="CK53" s="7">
        <f>'AS400'!CI53</f>
        <v>0</v>
      </c>
      <c r="CL53" s="7">
        <f>'AS400'!CJ53</f>
        <v>0</v>
      </c>
      <c r="CM53" s="8">
        <f>'AS400'!CK53</f>
        <v>1</v>
      </c>
      <c r="CN53" s="7">
        <f>'AS400'!CL53</f>
        <v>3</v>
      </c>
      <c r="CO53" s="7" t="str">
        <f>'AS400'!CM53</f>
        <v>PUDT</v>
      </c>
      <c r="CP53" s="7">
        <f>'AS400'!CN53</f>
        <v>100</v>
      </c>
      <c r="CQ53" s="7">
        <f>'AS400'!CO53</f>
        <v>20180301</v>
      </c>
      <c r="CR53" s="7">
        <f>'AS400'!CP53</f>
        <v>20180301</v>
      </c>
      <c r="CS53" s="7" t="str">
        <f>'AS400'!CQ53</f>
        <v>S</v>
      </c>
      <c r="CT53" s="7" t="str">
        <f>'AS400'!CR53</f>
        <v>MT</v>
      </c>
      <c r="CU53" s="7">
        <f>'AS400'!CS53</f>
        <v>20180301</v>
      </c>
      <c r="CV53" s="7">
        <f>'AS400'!CT53</f>
        <v>0</v>
      </c>
      <c r="CW53" s="7">
        <f>'AS400'!CU53</f>
        <v>0</v>
      </c>
      <c r="CX53" s="7">
        <f>'AS400'!CV53</f>
        <v>0</v>
      </c>
      <c r="CY53" s="7">
        <f>'AS400'!CW53</f>
        <v>0</v>
      </c>
      <c r="CZ53" s="7" t="str">
        <f>'AS400'!CX53</f>
        <v>STLV</v>
      </c>
      <c r="DA53" s="7">
        <f>'AS400'!CY53</f>
        <v>818</v>
      </c>
      <c r="DB53" s="7">
        <f>'AS400'!CZ53</f>
        <v>0</v>
      </c>
      <c r="DC53" s="7">
        <f>'AS400'!DA53</f>
        <v>12</v>
      </c>
      <c r="DD53" s="7">
        <f>'AS400'!DB53</f>
        <v>20180201</v>
      </c>
      <c r="DE53" s="7">
        <f>'AS400'!DC53</f>
        <v>0</v>
      </c>
      <c r="DF53" s="7">
        <f>'AS400'!DD53</f>
        <v>0</v>
      </c>
      <c r="DG53" s="7">
        <f>'AS400'!DE53</f>
        <v>62</v>
      </c>
      <c r="DI53" s="7">
        <f>'AS400'!DF53</f>
        <v>38</v>
      </c>
      <c r="DJ53" s="7">
        <f>'AS400'!DG53</f>
        <v>0</v>
      </c>
      <c r="DK53" s="7">
        <f>'AS400'!DH53</f>
        <v>0</v>
      </c>
      <c r="DL53" s="7">
        <f>'AS400'!DI53</f>
        <v>0</v>
      </c>
      <c r="DM53" s="7">
        <f>'AS400'!DJ53</f>
        <v>0</v>
      </c>
      <c r="DN53" s="7">
        <f>'AS400'!DK53</f>
        <v>0</v>
      </c>
      <c r="DO53" s="7">
        <f>'AS400'!DL53</f>
        <v>0</v>
      </c>
      <c r="DP53" s="7">
        <f>'AS400'!DM53</f>
        <v>0</v>
      </c>
      <c r="DQ53" s="7">
        <f>'AS400'!DN53</f>
        <v>0</v>
      </c>
      <c r="DR53" s="7">
        <f>'AS400'!DO53</f>
        <v>0</v>
      </c>
      <c r="DS53" s="7">
        <f>'AS400'!DP53</f>
        <v>0</v>
      </c>
      <c r="DT53" s="7">
        <f>'AS400'!DQ53</f>
        <v>0</v>
      </c>
      <c r="DU53" s="7">
        <f>'AS400'!DR53</f>
        <v>0</v>
      </c>
      <c r="DV53" s="7">
        <f>'AS400'!DS53</f>
        <v>0</v>
      </c>
      <c r="DW53" s="7">
        <f>'AS400'!DT53</f>
        <v>0</v>
      </c>
      <c r="DX53" s="7">
        <f>'AS400'!DU53</f>
        <v>0</v>
      </c>
      <c r="DY53" s="7">
        <f>'AS400'!DV53</f>
        <v>0</v>
      </c>
      <c r="DZ53" s="8">
        <f>'AS400'!DW53</f>
        <v>1</v>
      </c>
      <c r="EA53" s="7">
        <f>'AS400'!DX53</f>
        <v>4</v>
      </c>
      <c r="EB53" s="7" t="str">
        <f>'AS400'!DY53</f>
        <v>PUDS</v>
      </c>
      <c r="EC53" s="7">
        <f>'AS400'!DZ53</f>
        <v>100</v>
      </c>
      <c r="ED53" s="7">
        <f>'AS400'!EA53</f>
        <v>20180301</v>
      </c>
      <c r="EE53" s="7">
        <f>'AS400'!EB53</f>
        <v>20180301</v>
      </c>
      <c r="EF53" s="7" t="str">
        <f>'AS400'!EC53</f>
        <v>S</v>
      </c>
      <c r="EG53" s="7" t="str">
        <f>'AS400'!ED53</f>
        <v>MS</v>
      </c>
      <c r="EH53" s="7">
        <f>'AS400'!EE53</f>
        <v>20180301</v>
      </c>
      <c r="EI53" s="7">
        <f>'AS400'!EF53</f>
        <v>0</v>
      </c>
      <c r="EJ53" s="7">
        <f>'AS400'!EG53</f>
        <v>0</v>
      </c>
      <c r="EK53" s="7">
        <f>'AS400'!EH53</f>
        <v>0</v>
      </c>
      <c r="EL53" s="7">
        <f>'AS400'!EI53</f>
        <v>0</v>
      </c>
      <c r="EM53" s="7" t="str">
        <f>'AS400'!EJ53</f>
        <v>STLV</v>
      </c>
      <c r="EN53" s="7">
        <f>'AS400'!EK53</f>
        <v>818</v>
      </c>
      <c r="EO53" s="7">
        <f>'AS400'!EL53</f>
        <v>0</v>
      </c>
      <c r="EP53" s="7">
        <f>'AS400'!EM53</f>
        <v>12</v>
      </c>
      <c r="EQ53" s="7">
        <f>'AS400'!EN53</f>
        <v>20180201</v>
      </c>
      <c r="ER53" s="7">
        <f>'AS400'!EO53</f>
        <v>0</v>
      </c>
      <c r="ES53" s="7">
        <f>'AS400'!EP53</f>
        <v>0</v>
      </c>
      <c r="ET53" s="7">
        <f>'AS400'!EQ53</f>
        <v>22</v>
      </c>
      <c r="EV53" s="7">
        <f>'AS400'!ER53</f>
        <v>38</v>
      </c>
      <c r="EW53" s="7">
        <f>'AS400'!ES53</f>
        <v>0</v>
      </c>
      <c r="EX53" s="7">
        <f>'AS400'!ET53</f>
        <v>0</v>
      </c>
      <c r="EY53" s="7">
        <f>'AS400'!EU53</f>
        <v>0</v>
      </c>
      <c r="EZ53" s="7">
        <f>'AS400'!EV53</f>
        <v>0</v>
      </c>
      <c r="FA53" s="7">
        <f>'AS400'!EW53</f>
        <v>0</v>
      </c>
      <c r="FB53" s="7">
        <f>'AS400'!EX53</f>
        <v>0</v>
      </c>
      <c r="FC53" s="7">
        <f>'AS400'!EY53</f>
        <v>0</v>
      </c>
      <c r="FD53" s="7">
        <f>'AS400'!EZ53</f>
        <v>0</v>
      </c>
      <c r="FE53" s="7">
        <f>'AS400'!FA53</f>
        <v>0</v>
      </c>
      <c r="FF53" s="7">
        <f>'AS400'!FB53</f>
        <v>0</v>
      </c>
      <c r="FG53" s="7">
        <f>'AS400'!FC53</f>
        <v>0</v>
      </c>
      <c r="FH53" s="7">
        <f>'AS400'!FD53</f>
        <v>0</v>
      </c>
      <c r="FI53" s="7">
        <f>'AS400'!FE53</f>
        <v>0</v>
      </c>
      <c r="FJ53" s="7">
        <f>'AS400'!FF53</f>
        <v>0</v>
      </c>
      <c r="FK53" s="7">
        <f>'AS400'!FG53</f>
        <v>0</v>
      </c>
      <c r="FL53" s="7">
        <f>'AS400'!FH53</f>
        <v>0</v>
      </c>
      <c r="FM53" s="7">
        <f>'AS400'!FI53</f>
        <v>1</v>
      </c>
      <c r="FN53" s="7">
        <f>'AS400'!FJ53</f>
        <v>1</v>
      </c>
      <c r="FO53" s="7">
        <f>'AS400'!FO53</f>
        <v>0</v>
      </c>
      <c r="FP53" s="7">
        <f>'AS400'!FP53</f>
        <v>4</v>
      </c>
      <c r="FQ53" s="7">
        <f>'AS400'!FQ53</f>
        <v>1</v>
      </c>
      <c r="FR53" s="7">
        <f>'AS400'!FR53</f>
        <v>1</v>
      </c>
      <c r="FS53" s="13">
        <f>'AS400'!FO53</f>
        <v>0</v>
      </c>
    </row>
    <row r="54" spans="1:175">
      <c r="A54" s="7">
        <f>'AS400'!A54</f>
        <v>48</v>
      </c>
      <c r="B54" s="7">
        <f>'AS400'!B54</f>
        <v>20190301</v>
      </c>
      <c r="C54" s="7">
        <f>'AS400'!C54</f>
        <v>0</v>
      </c>
      <c r="D54" s="7" t="str">
        <f>'AS400'!D54</f>
        <v>N</v>
      </c>
      <c r="E54" s="7" t="str">
        <f>'AS400'!E54</f>
        <v>N</v>
      </c>
      <c r="F54" s="7" t="str">
        <f>'AS400'!F54</f>
        <v>Y</v>
      </c>
      <c r="G54" s="7">
        <f>'AS400'!G54</f>
        <v>0</v>
      </c>
      <c r="H54" s="14"/>
      <c r="I54" s="7" t="str">
        <f>'AS400'!I54</f>
        <v>RSA</v>
      </c>
      <c r="J54" s="7" t="str">
        <f>'AS400'!J54</f>
        <v>METR</v>
      </c>
      <c r="K54" s="7" t="str">
        <f>'AS400'!K54</f>
        <v>N</v>
      </c>
      <c r="L54" s="7">
        <f>'AS400'!L54</f>
        <v>4</v>
      </c>
      <c r="M54" s="8">
        <f>'AS400'!M54</f>
        <v>1</v>
      </c>
      <c r="N54" s="7">
        <f>'AS400'!N54</f>
        <v>1</v>
      </c>
      <c r="O54" s="7" t="str">
        <f>'AS400'!O54</f>
        <v>MFEF</v>
      </c>
      <c r="P54" s="7">
        <f>'AS400'!P54</f>
        <v>100</v>
      </c>
      <c r="Q54" s="7">
        <f>'AS400'!Q54</f>
        <v>20180301</v>
      </c>
      <c r="R54" s="7">
        <f>'AS400'!R54</f>
        <v>20180301</v>
      </c>
      <c r="S54" s="7" t="str">
        <f>'AS400'!S54</f>
        <v>M</v>
      </c>
      <c r="T54" s="7" t="str">
        <f>'AS400'!T54</f>
        <v>MN</v>
      </c>
      <c r="U54" s="7">
        <f>'AS400'!U54</f>
        <v>20190301</v>
      </c>
      <c r="V54" s="7">
        <f>'AS400'!V54</f>
        <v>10</v>
      </c>
      <c r="W54" s="7">
        <f>'AS400'!W54</f>
        <v>10</v>
      </c>
      <c r="X54" s="7" t="str">
        <f>'AS400'!X54</f>
        <v>MFIX</v>
      </c>
      <c r="Y54" s="7">
        <f>'AS400'!Y54</f>
        <v>0</v>
      </c>
      <c r="Z54" s="7" t="str">
        <f>'AS400'!Z54</f>
        <v>STLV</v>
      </c>
      <c r="AA54" s="7">
        <f>'AS400'!AA54</f>
        <v>818</v>
      </c>
      <c r="AB54" s="7">
        <f>'AS400'!AB54</f>
        <v>0</v>
      </c>
      <c r="AC54" s="7">
        <f>'AS400'!AC54</f>
        <v>12</v>
      </c>
      <c r="AD54" s="7">
        <f>'AS400'!AD54</f>
        <v>20180201</v>
      </c>
      <c r="AE54" s="7">
        <f>'AS400'!AE54</f>
        <v>0</v>
      </c>
      <c r="AF54" s="7">
        <f>'AS400'!AF54</f>
        <v>45000</v>
      </c>
      <c r="AG54" s="7">
        <f>'AS400'!AG54</f>
        <v>237</v>
      </c>
      <c r="AI54" s="7">
        <f>'AS400'!AH54</f>
        <v>37</v>
      </c>
      <c r="AJ54" s="7">
        <f>'AS400'!AI54</f>
        <v>0</v>
      </c>
      <c r="AK54" s="7">
        <f>'AS400'!AJ54</f>
        <v>0</v>
      </c>
      <c r="AL54" s="7">
        <f>'AS400'!AK54</f>
        <v>0</v>
      </c>
      <c r="AM54" s="7">
        <f>'AS400'!AL54</f>
        <v>0</v>
      </c>
      <c r="AN54" s="7">
        <f>'AS400'!AM54</f>
        <v>0</v>
      </c>
      <c r="AO54" s="7">
        <f>'AS400'!AN54</f>
        <v>0</v>
      </c>
      <c r="AP54" s="7">
        <f>'AS400'!AO54</f>
        <v>0</v>
      </c>
      <c r="AQ54" s="7">
        <f>'AS400'!AP54</f>
        <v>0</v>
      </c>
      <c r="AR54" s="7">
        <f>'AS400'!AQ54</f>
        <v>0</v>
      </c>
      <c r="AS54" s="7">
        <f>'AS400'!AR54</f>
        <v>0</v>
      </c>
      <c r="AT54" s="7">
        <f>'AS400'!AS54</f>
        <v>0</v>
      </c>
      <c r="AU54" s="7">
        <f>'AS400'!AT54</f>
        <v>0</v>
      </c>
      <c r="AV54" s="7">
        <f>'AS400'!AU54</f>
        <v>0</v>
      </c>
      <c r="AW54" s="7">
        <f>'AS400'!AV54</f>
        <v>0</v>
      </c>
      <c r="AX54" s="7">
        <f>'AS400'!AW54</f>
        <v>0</v>
      </c>
      <c r="AY54" s="7">
        <f>'AS400'!AX54</f>
        <v>0</v>
      </c>
      <c r="AZ54" s="8">
        <f>'AS400'!AY54</f>
        <v>1</v>
      </c>
      <c r="BA54" s="7">
        <f>'AS400'!AZ54</f>
        <v>2</v>
      </c>
      <c r="BB54" s="7" t="str">
        <f>'AS400'!BA54</f>
        <v>PURO</v>
      </c>
      <c r="BC54" s="7">
        <f>'AS400'!BB54</f>
        <v>100</v>
      </c>
      <c r="BD54" s="7">
        <f>'AS400'!BC54</f>
        <v>20180301</v>
      </c>
      <c r="BE54" s="7">
        <f>'AS400'!BD54</f>
        <v>20180301</v>
      </c>
      <c r="BF54" s="7" t="str">
        <f>'AS400'!BE54</f>
        <v>S</v>
      </c>
      <c r="BG54" s="7" t="str">
        <f>'AS400'!BF54</f>
        <v>ME</v>
      </c>
      <c r="BH54" s="7">
        <f>'AS400'!BG54</f>
        <v>20180301</v>
      </c>
      <c r="BI54" s="7">
        <f>'AS400'!BH54</f>
        <v>0</v>
      </c>
      <c r="BJ54" s="7">
        <f>'AS400'!BI54</f>
        <v>0</v>
      </c>
      <c r="BK54" s="7">
        <f>'AS400'!BJ54</f>
        <v>0</v>
      </c>
      <c r="BL54" s="7">
        <f>'AS400'!BK54</f>
        <v>0</v>
      </c>
      <c r="BM54" s="7" t="str">
        <f>'AS400'!BL54</f>
        <v>STLV</v>
      </c>
      <c r="BN54" s="7">
        <f>'AS400'!BM54</f>
        <v>818</v>
      </c>
      <c r="BO54" s="7">
        <f>'AS400'!BN54</f>
        <v>0</v>
      </c>
      <c r="BP54" s="7">
        <f>'AS400'!BO54</f>
        <v>12</v>
      </c>
      <c r="BQ54" s="7">
        <f>'AS400'!BP54</f>
        <v>20180201</v>
      </c>
      <c r="BR54" s="7">
        <f>'AS400'!BQ54</f>
        <v>0</v>
      </c>
      <c r="BS54" s="7">
        <f>'AS400'!BR54</f>
        <v>0</v>
      </c>
      <c r="BT54" s="7">
        <f>'AS400'!BS54</f>
        <v>42</v>
      </c>
      <c r="BV54" s="7">
        <f>'AS400'!BT54</f>
        <v>37</v>
      </c>
      <c r="BW54" s="7">
        <f>'AS400'!BU54</f>
        <v>0</v>
      </c>
      <c r="BX54" s="7">
        <f>'AS400'!BV54</f>
        <v>0</v>
      </c>
      <c r="BY54" s="7">
        <f>'AS400'!BW54</f>
        <v>0</v>
      </c>
      <c r="BZ54" s="7">
        <f>'AS400'!BX54</f>
        <v>0</v>
      </c>
      <c r="CA54" s="7">
        <f>'AS400'!BY54</f>
        <v>0</v>
      </c>
      <c r="CB54" s="7">
        <f>'AS400'!BZ54</f>
        <v>0</v>
      </c>
      <c r="CC54" s="7">
        <f>'AS400'!CA54</f>
        <v>0</v>
      </c>
      <c r="CD54" s="7">
        <f>'AS400'!CB54</f>
        <v>0</v>
      </c>
      <c r="CE54" s="7">
        <f>'AS400'!CC54</f>
        <v>0</v>
      </c>
      <c r="CF54" s="7">
        <f>'AS400'!CD54</f>
        <v>0</v>
      </c>
      <c r="CG54" s="7">
        <f>'AS400'!CE54</f>
        <v>0</v>
      </c>
      <c r="CH54" s="7">
        <f>'AS400'!CF54</f>
        <v>0</v>
      </c>
      <c r="CI54" s="7">
        <f>'AS400'!CG54</f>
        <v>0</v>
      </c>
      <c r="CJ54" s="7">
        <f>'AS400'!CH54</f>
        <v>0</v>
      </c>
      <c r="CK54" s="7">
        <f>'AS400'!CI54</f>
        <v>0</v>
      </c>
      <c r="CL54" s="7">
        <f>'AS400'!CJ54</f>
        <v>0</v>
      </c>
      <c r="CM54" s="8">
        <f>'AS400'!CK54</f>
        <v>1</v>
      </c>
      <c r="CN54" s="7">
        <f>'AS400'!CL54</f>
        <v>3</v>
      </c>
      <c r="CO54" s="7" t="str">
        <f>'AS400'!CM54</f>
        <v>PUDT</v>
      </c>
      <c r="CP54" s="7">
        <f>'AS400'!CN54</f>
        <v>100</v>
      </c>
      <c r="CQ54" s="7">
        <f>'AS400'!CO54</f>
        <v>20180301</v>
      </c>
      <c r="CR54" s="7">
        <f>'AS400'!CP54</f>
        <v>20180301</v>
      </c>
      <c r="CS54" s="7" t="str">
        <f>'AS400'!CQ54</f>
        <v>S</v>
      </c>
      <c r="CT54" s="7" t="str">
        <f>'AS400'!CR54</f>
        <v>MT</v>
      </c>
      <c r="CU54" s="7">
        <f>'AS400'!CS54</f>
        <v>20180301</v>
      </c>
      <c r="CV54" s="7">
        <f>'AS400'!CT54</f>
        <v>0</v>
      </c>
      <c r="CW54" s="7">
        <f>'AS400'!CU54</f>
        <v>0</v>
      </c>
      <c r="CX54" s="7">
        <f>'AS400'!CV54</f>
        <v>0</v>
      </c>
      <c r="CY54" s="7">
        <f>'AS400'!CW54</f>
        <v>0</v>
      </c>
      <c r="CZ54" s="7" t="str">
        <f>'AS400'!CX54</f>
        <v>STLV</v>
      </c>
      <c r="DA54" s="7">
        <f>'AS400'!CY54</f>
        <v>818</v>
      </c>
      <c r="DB54" s="7">
        <f>'AS400'!CZ54</f>
        <v>0</v>
      </c>
      <c r="DC54" s="7">
        <f>'AS400'!DA54</f>
        <v>12</v>
      </c>
      <c r="DD54" s="7">
        <f>'AS400'!DB54</f>
        <v>20180201</v>
      </c>
      <c r="DE54" s="7">
        <f>'AS400'!DC54</f>
        <v>0</v>
      </c>
      <c r="DF54" s="7">
        <f>'AS400'!DD54</f>
        <v>0</v>
      </c>
      <c r="DG54" s="7">
        <f>'AS400'!DE54</f>
        <v>57</v>
      </c>
      <c r="DI54" s="7">
        <f>'AS400'!DF54</f>
        <v>37</v>
      </c>
      <c r="DJ54" s="7">
        <f>'AS400'!DG54</f>
        <v>0</v>
      </c>
      <c r="DK54" s="7">
        <f>'AS400'!DH54</f>
        <v>0</v>
      </c>
      <c r="DL54" s="7">
        <f>'AS400'!DI54</f>
        <v>0</v>
      </c>
      <c r="DM54" s="7">
        <f>'AS400'!DJ54</f>
        <v>0</v>
      </c>
      <c r="DN54" s="7">
        <f>'AS400'!DK54</f>
        <v>0</v>
      </c>
      <c r="DO54" s="7">
        <f>'AS400'!DL54</f>
        <v>0</v>
      </c>
      <c r="DP54" s="7">
        <f>'AS400'!DM54</f>
        <v>0</v>
      </c>
      <c r="DQ54" s="7">
        <f>'AS400'!DN54</f>
        <v>0</v>
      </c>
      <c r="DR54" s="7">
        <f>'AS400'!DO54</f>
        <v>0</v>
      </c>
      <c r="DS54" s="7">
        <f>'AS400'!DP54</f>
        <v>0</v>
      </c>
      <c r="DT54" s="7">
        <f>'AS400'!DQ54</f>
        <v>0</v>
      </c>
      <c r="DU54" s="7">
        <f>'AS400'!DR54</f>
        <v>0</v>
      </c>
      <c r="DV54" s="7">
        <f>'AS400'!DS54</f>
        <v>0</v>
      </c>
      <c r="DW54" s="7">
        <f>'AS400'!DT54</f>
        <v>0</v>
      </c>
      <c r="DX54" s="7">
        <f>'AS400'!DU54</f>
        <v>0</v>
      </c>
      <c r="DY54" s="7">
        <f>'AS400'!DV54</f>
        <v>0</v>
      </c>
      <c r="DZ54" s="8">
        <f>'AS400'!DW54</f>
        <v>1</v>
      </c>
      <c r="EA54" s="7">
        <f>'AS400'!DX54</f>
        <v>4</v>
      </c>
      <c r="EB54" s="7" t="str">
        <f>'AS400'!DY54</f>
        <v>PUDS</v>
      </c>
      <c r="EC54" s="7">
        <f>'AS400'!DZ54</f>
        <v>100</v>
      </c>
      <c r="ED54" s="7">
        <f>'AS400'!EA54</f>
        <v>20180301</v>
      </c>
      <c r="EE54" s="7">
        <f>'AS400'!EB54</f>
        <v>20180301</v>
      </c>
      <c r="EF54" s="7" t="str">
        <f>'AS400'!EC54</f>
        <v>S</v>
      </c>
      <c r="EG54" s="7" t="str">
        <f>'AS400'!ED54</f>
        <v>MS</v>
      </c>
      <c r="EH54" s="7">
        <f>'AS400'!EE54</f>
        <v>20180301</v>
      </c>
      <c r="EI54" s="7">
        <f>'AS400'!EF54</f>
        <v>0</v>
      </c>
      <c r="EJ54" s="7">
        <f>'AS400'!EG54</f>
        <v>0</v>
      </c>
      <c r="EK54" s="7">
        <f>'AS400'!EH54</f>
        <v>0</v>
      </c>
      <c r="EL54" s="7">
        <f>'AS400'!EI54</f>
        <v>0</v>
      </c>
      <c r="EM54" s="7" t="str">
        <f>'AS400'!EJ54</f>
        <v>STLV</v>
      </c>
      <c r="EN54" s="7">
        <f>'AS400'!EK54</f>
        <v>818</v>
      </c>
      <c r="EO54" s="7">
        <f>'AS400'!EL54</f>
        <v>0</v>
      </c>
      <c r="EP54" s="7">
        <f>'AS400'!EM54</f>
        <v>12</v>
      </c>
      <c r="EQ54" s="7">
        <f>'AS400'!EN54</f>
        <v>20180201</v>
      </c>
      <c r="ER54" s="7">
        <f>'AS400'!EO54</f>
        <v>0</v>
      </c>
      <c r="ES54" s="7">
        <f>'AS400'!EP54</f>
        <v>0</v>
      </c>
      <c r="ET54" s="7">
        <f>'AS400'!EQ54</f>
        <v>21</v>
      </c>
      <c r="EV54" s="7">
        <f>'AS400'!ER54</f>
        <v>37</v>
      </c>
      <c r="EW54" s="7">
        <f>'AS400'!ES54</f>
        <v>0</v>
      </c>
      <c r="EX54" s="7">
        <f>'AS400'!ET54</f>
        <v>0</v>
      </c>
      <c r="EY54" s="7">
        <f>'AS400'!EU54</f>
        <v>0</v>
      </c>
      <c r="EZ54" s="7">
        <f>'AS400'!EV54</f>
        <v>0</v>
      </c>
      <c r="FA54" s="7">
        <f>'AS400'!EW54</f>
        <v>0</v>
      </c>
      <c r="FB54" s="7">
        <f>'AS400'!EX54</f>
        <v>0</v>
      </c>
      <c r="FC54" s="7">
        <f>'AS400'!EY54</f>
        <v>0</v>
      </c>
      <c r="FD54" s="7">
        <f>'AS400'!EZ54</f>
        <v>0</v>
      </c>
      <c r="FE54" s="7">
        <f>'AS400'!FA54</f>
        <v>0</v>
      </c>
      <c r="FF54" s="7">
        <f>'AS400'!FB54</f>
        <v>0</v>
      </c>
      <c r="FG54" s="7">
        <f>'AS400'!FC54</f>
        <v>0</v>
      </c>
      <c r="FH54" s="7">
        <f>'AS400'!FD54</f>
        <v>0</v>
      </c>
      <c r="FI54" s="7">
        <f>'AS400'!FE54</f>
        <v>0</v>
      </c>
      <c r="FJ54" s="7">
        <f>'AS400'!FF54</f>
        <v>0</v>
      </c>
      <c r="FK54" s="7">
        <f>'AS400'!FG54</f>
        <v>0</v>
      </c>
      <c r="FL54" s="7">
        <f>'AS400'!FH54</f>
        <v>0</v>
      </c>
      <c r="FM54" s="7">
        <f>'AS400'!FI54</f>
        <v>1</v>
      </c>
      <c r="FN54" s="7">
        <f>'AS400'!FJ54</f>
        <v>1</v>
      </c>
      <c r="FO54" s="7">
        <f>'AS400'!FO54</f>
        <v>0</v>
      </c>
      <c r="FP54" s="7">
        <f>'AS400'!FP54</f>
        <v>4</v>
      </c>
      <c r="FQ54" s="7">
        <f>'AS400'!FQ54</f>
        <v>1</v>
      </c>
      <c r="FR54" s="7">
        <f>'AS400'!FR54</f>
        <v>1</v>
      </c>
      <c r="FS54" s="13">
        <f>'AS400'!FO54</f>
        <v>0</v>
      </c>
    </row>
    <row r="55" spans="1:175">
      <c r="A55" s="7">
        <f>'AS400'!A55</f>
        <v>49</v>
      </c>
      <c r="B55" s="7">
        <f>'AS400'!B55</f>
        <v>20190301</v>
      </c>
      <c r="C55" s="7">
        <f>'AS400'!C55</f>
        <v>0</v>
      </c>
      <c r="D55" s="7" t="str">
        <f>'AS400'!D55</f>
        <v>N</v>
      </c>
      <c r="E55" s="7" t="str">
        <f>'AS400'!E55</f>
        <v>N</v>
      </c>
      <c r="F55" s="7" t="str">
        <f>'AS400'!F55</f>
        <v>Y</v>
      </c>
      <c r="G55" s="7">
        <f>'AS400'!G55</f>
        <v>0</v>
      </c>
      <c r="H55" s="14"/>
      <c r="I55" s="7" t="str">
        <f>'AS400'!I55</f>
        <v>RSA</v>
      </c>
      <c r="J55" s="7" t="str">
        <f>'AS400'!J55</f>
        <v>METR</v>
      </c>
      <c r="K55" s="7" t="str">
        <f>'AS400'!K55</f>
        <v>N</v>
      </c>
      <c r="L55" s="7">
        <f>'AS400'!L55</f>
        <v>4</v>
      </c>
      <c r="M55" s="8">
        <f>'AS400'!M55</f>
        <v>1</v>
      </c>
      <c r="N55" s="7">
        <f>'AS400'!N55</f>
        <v>1</v>
      </c>
      <c r="O55" s="7" t="str">
        <f>'AS400'!O55</f>
        <v>MFEF</v>
      </c>
      <c r="P55" s="7">
        <f>'AS400'!P55</f>
        <v>100</v>
      </c>
      <c r="Q55" s="7">
        <f>'AS400'!Q55</f>
        <v>20180301</v>
      </c>
      <c r="R55" s="7">
        <f>'AS400'!R55</f>
        <v>20180301</v>
      </c>
      <c r="S55" s="7" t="str">
        <f>'AS400'!S55</f>
        <v>M</v>
      </c>
      <c r="T55" s="7" t="str">
        <f>'AS400'!T55</f>
        <v>MN</v>
      </c>
      <c r="U55" s="7">
        <f>'AS400'!U55</f>
        <v>20190301</v>
      </c>
      <c r="V55" s="7">
        <f>'AS400'!V55</f>
        <v>10</v>
      </c>
      <c r="W55" s="7">
        <f>'AS400'!W55</f>
        <v>10</v>
      </c>
      <c r="X55" s="7" t="str">
        <f>'AS400'!X55</f>
        <v>MFIX</v>
      </c>
      <c r="Y55" s="7">
        <f>'AS400'!Y55</f>
        <v>0</v>
      </c>
      <c r="Z55" s="7" t="str">
        <f>'AS400'!Z55</f>
        <v>STLV</v>
      </c>
      <c r="AA55" s="7">
        <f>'AS400'!AA55</f>
        <v>818</v>
      </c>
      <c r="AB55" s="7">
        <f>'AS400'!AB55</f>
        <v>0</v>
      </c>
      <c r="AC55" s="7">
        <f>'AS400'!AC55</f>
        <v>12</v>
      </c>
      <c r="AD55" s="7">
        <f>'AS400'!AD55</f>
        <v>20180201</v>
      </c>
      <c r="AE55" s="7">
        <f>'AS400'!AE55</f>
        <v>0</v>
      </c>
      <c r="AF55" s="7">
        <f>'AS400'!AF55</f>
        <v>40000</v>
      </c>
      <c r="AG55" s="7">
        <f>'AS400'!AG55</f>
        <v>216</v>
      </c>
      <c r="AI55" s="7">
        <f>'AS400'!AH55</f>
        <v>36</v>
      </c>
      <c r="AJ55" s="7">
        <f>'AS400'!AI55</f>
        <v>0</v>
      </c>
      <c r="AK55" s="7">
        <f>'AS400'!AJ55</f>
        <v>0</v>
      </c>
      <c r="AL55" s="7">
        <f>'AS400'!AK55</f>
        <v>0</v>
      </c>
      <c r="AM55" s="7">
        <f>'AS400'!AL55</f>
        <v>0</v>
      </c>
      <c r="AN55" s="7">
        <f>'AS400'!AM55</f>
        <v>0</v>
      </c>
      <c r="AO55" s="7">
        <f>'AS400'!AN55</f>
        <v>0</v>
      </c>
      <c r="AP55" s="7">
        <f>'AS400'!AO55</f>
        <v>0</v>
      </c>
      <c r="AQ55" s="7">
        <f>'AS400'!AP55</f>
        <v>0</v>
      </c>
      <c r="AR55" s="7">
        <f>'AS400'!AQ55</f>
        <v>0</v>
      </c>
      <c r="AS55" s="7">
        <f>'AS400'!AR55</f>
        <v>0</v>
      </c>
      <c r="AT55" s="7">
        <f>'AS400'!AS55</f>
        <v>0</v>
      </c>
      <c r="AU55" s="7">
        <f>'AS400'!AT55</f>
        <v>0</v>
      </c>
      <c r="AV55" s="7">
        <f>'AS400'!AU55</f>
        <v>0</v>
      </c>
      <c r="AW55" s="7">
        <f>'AS400'!AV55</f>
        <v>0</v>
      </c>
      <c r="AX55" s="7">
        <f>'AS400'!AW55</f>
        <v>0</v>
      </c>
      <c r="AY55" s="7">
        <f>'AS400'!AX55</f>
        <v>0</v>
      </c>
      <c r="AZ55" s="8">
        <f>'AS400'!AY55</f>
        <v>1</v>
      </c>
      <c r="BA55" s="7">
        <f>'AS400'!AZ55</f>
        <v>2</v>
      </c>
      <c r="BB55" s="7" t="str">
        <f>'AS400'!BA55</f>
        <v>PURO</v>
      </c>
      <c r="BC55" s="7">
        <f>'AS400'!BB55</f>
        <v>100</v>
      </c>
      <c r="BD55" s="7">
        <f>'AS400'!BC55</f>
        <v>20180301</v>
      </c>
      <c r="BE55" s="7">
        <f>'AS400'!BD55</f>
        <v>20180301</v>
      </c>
      <c r="BF55" s="7" t="str">
        <f>'AS400'!BE55</f>
        <v>S</v>
      </c>
      <c r="BG55" s="7" t="str">
        <f>'AS400'!BF55</f>
        <v>ME</v>
      </c>
      <c r="BH55" s="7">
        <f>'AS400'!BG55</f>
        <v>20180301</v>
      </c>
      <c r="BI55" s="7">
        <f>'AS400'!BH55</f>
        <v>0</v>
      </c>
      <c r="BJ55" s="7">
        <f>'AS400'!BI55</f>
        <v>0</v>
      </c>
      <c r="BK55" s="7">
        <f>'AS400'!BJ55</f>
        <v>0</v>
      </c>
      <c r="BL55" s="7">
        <f>'AS400'!BK55</f>
        <v>0</v>
      </c>
      <c r="BM55" s="7" t="str">
        <f>'AS400'!BL55</f>
        <v>STLV</v>
      </c>
      <c r="BN55" s="7">
        <f>'AS400'!BM55</f>
        <v>818</v>
      </c>
      <c r="BO55" s="7">
        <f>'AS400'!BN55</f>
        <v>0</v>
      </c>
      <c r="BP55" s="7">
        <f>'AS400'!BO55</f>
        <v>12</v>
      </c>
      <c r="BQ55" s="7">
        <f>'AS400'!BP55</f>
        <v>20180201</v>
      </c>
      <c r="BR55" s="7">
        <f>'AS400'!BQ55</f>
        <v>0</v>
      </c>
      <c r="BS55" s="7">
        <f>'AS400'!BR55</f>
        <v>0</v>
      </c>
      <c r="BT55" s="7">
        <f>'AS400'!BS55</f>
        <v>39</v>
      </c>
      <c r="BV55" s="7">
        <f>'AS400'!BT55</f>
        <v>36</v>
      </c>
      <c r="BW55" s="7">
        <f>'AS400'!BU55</f>
        <v>0</v>
      </c>
      <c r="BX55" s="7">
        <f>'AS400'!BV55</f>
        <v>0</v>
      </c>
      <c r="BY55" s="7">
        <f>'AS400'!BW55</f>
        <v>0</v>
      </c>
      <c r="BZ55" s="7">
        <f>'AS400'!BX55</f>
        <v>0</v>
      </c>
      <c r="CA55" s="7">
        <f>'AS400'!BY55</f>
        <v>0</v>
      </c>
      <c r="CB55" s="7">
        <f>'AS400'!BZ55</f>
        <v>0</v>
      </c>
      <c r="CC55" s="7">
        <f>'AS400'!CA55</f>
        <v>0</v>
      </c>
      <c r="CD55" s="7">
        <f>'AS400'!CB55</f>
        <v>0</v>
      </c>
      <c r="CE55" s="7">
        <f>'AS400'!CC55</f>
        <v>0</v>
      </c>
      <c r="CF55" s="7">
        <f>'AS400'!CD55</f>
        <v>0</v>
      </c>
      <c r="CG55" s="7">
        <f>'AS400'!CE55</f>
        <v>0</v>
      </c>
      <c r="CH55" s="7">
        <f>'AS400'!CF55</f>
        <v>0</v>
      </c>
      <c r="CI55" s="7">
        <f>'AS400'!CG55</f>
        <v>0</v>
      </c>
      <c r="CJ55" s="7">
        <f>'AS400'!CH55</f>
        <v>0</v>
      </c>
      <c r="CK55" s="7">
        <f>'AS400'!CI55</f>
        <v>0</v>
      </c>
      <c r="CL55" s="7">
        <f>'AS400'!CJ55</f>
        <v>0</v>
      </c>
      <c r="CM55" s="8">
        <f>'AS400'!CK55</f>
        <v>1</v>
      </c>
      <c r="CN55" s="7">
        <f>'AS400'!CL55</f>
        <v>3</v>
      </c>
      <c r="CO55" s="7" t="str">
        <f>'AS400'!CM55</f>
        <v>PUDT</v>
      </c>
      <c r="CP55" s="7">
        <f>'AS400'!CN55</f>
        <v>100</v>
      </c>
      <c r="CQ55" s="7">
        <f>'AS400'!CO55</f>
        <v>20180301</v>
      </c>
      <c r="CR55" s="7">
        <f>'AS400'!CP55</f>
        <v>20180301</v>
      </c>
      <c r="CS55" s="7" t="str">
        <f>'AS400'!CQ55</f>
        <v>S</v>
      </c>
      <c r="CT55" s="7" t="str">
        <f>'AS400'!CR55</f>
        <v>MT</v>
      </c>
      <c r="CU55" s="7">
        <f>'AS400'!CS55</f>
        <v>20180301</v>
      </c>
      <c r="CV55" s="7">
        <f>'AS400'!CT55</f>
        <v>0</v>
      </c>
      <c r="CW55" s="7">
        <f>'AS400'!CU55</f>
        <v>0</v>
      </c>
      <c r="CX55" s="7">
        <f>'AS400'!CV55</f>
        <v>0</v>
      </c>
      <c r="CY55" s="7">
        <f>'AS400'!CW55</f>
        <v>0</v>
      </c>
      <c r="CZ55" s="7" t="str">
        <f>'AS400'!CX55</f>
        <v>STLV</v>
      </c>
      <c r="DA55" s="7">
        <f>'AS400'!CY55</f>
        <v>818</v>
      </c>
      <c r="DB55" s="7">
        <f>'AS400'!CZ55</f>
        <v>0</v>
      </c>
      <c r="DC55" s="7">
        <f>'AS400'!DA55</f>
        <v>12</v>
      </c>
      <c r="DD55" s="7">
        <f>'AS400'!DB55</f>
        <v>20180201</v>
      </c>
      <c r="DE55" s="7">
        <f>'AS400'!DC55</f>
        <v>0</v>
      </c>
      <c r="DF55" s="7">
        <f>'AS400'!DD55</f>
        <v>0</v>
      </c>
      <c r="DG55" s="7">
        <f>'AS400'!DE55</f>
        <v>52</v>
      </c>
      <c r="DI55" s="7">
        <f>'AS400'!DF55</f>
        <v>36</v>
      </c>
      <c r="DJ55" s="7">
        <f>'AS400'!DG55</f>
        <v>0</v>
      </c>
      <c r="DK55" s="7">
        <f>'AS400'!DH55</f>
        <v>0</v>
      </c>
      <c r="DL55" s="7">
        <f>'AS400'!DI55</f>
        <v>0</v>
      </c>
      <c r="DM55" s="7">
        <f>'AS400'!DJ55</f>
        <v>0</v>
      </c>
      <c r="DN55" s="7">
        <f>'AS400'!DK55</f>
        <v>0</v>
      </c>
      <c r="DO55" s="7">
        <f>'AS400'!DL55</f>
        <v>0</v>
      </c>
      <c r="DP55" s="7">
        <f>'AS400'!DM55</f>
        <v>0</v>
      </c>
      <c r="DQ55" s="7">
        <f>'AS400'!DN55</f>
        <v>0</v>
      </c>
      <c r="DR55" s="7">
        <f>'AS400'!DO55</f>
        <v>0</v>
      </c>
      <c r="DS55" s="7">
        <f>'AS400'!DP55</f>
        <v>0</v>
      </c>
      <c r="DT55" s="7">
        <f>'AS400'!DQ55</f>
        <v>0</v>
      </c>
      <c r="DU55" s="7">
        <f>'AS400'!DR55</f>
        <v>0</v>
      </c>
      <c r="DV55" s="7">
        <f>'AS400'!DS55</f>
        <v>0</v>
      </c>
      <c r="DW55" s="7">
        <f>'AS400'!DT55</f>
        <v>0</v>
      </c>
      <c r="DX55" s="7">
        <f>'AS400'!DU55</f>
        <v>0</v>
      </c>
      <c r="DY55" s="7">
        <f>'AS400'!DV55</f>
        <v>0</v>
      </c>
      <c r="DZ55" s="8">
        <f>'AS400'!DW55</f>
        <v>1</v>
      </c>
      <c r="EA55" s="7">
        <f>'AS400'!DX55</f>
        <v>4</v>
      </c>
      <c r="EB55" s="7" t="str">
        <f>'AS400'!DY55</f>
        <v>PUDS</v>
      </c>
      <c r="EC55" s="7">
        <f>'AS400'!DZ55</f>
        <v>100</v>
      </c>
      <c r="ED55" s="7">
        <f>'AS400'!EA55</f>
        <v>20180301</v>
      </c>
      <c r="EE55" s="7">
        <f>'AS400'!EB55</f>
        <v>20180301</v>
      </c>
      <c r="EF55" s="7" t="str">
        <f>'AS400'!EC55</f>
        <v>S</v>
      </c>
      <c r="EG55" s="7" t="str">
        <f>'AS400'!ED55</f>
        <v>MS</v>
      </c>
      <c r="EH55" s="7">
        <f>'AS400'!EE55</f>
        <v>20180301</v>
      </c>
      <c r="EI55" s="7">
        <f>'AS400'!EF55</f>
        <v>0</v>
      </c>
      <c r="EJ55" s="7">
        <f>'AS400'!EG55</f>
        <v>0</v>
      </c>
      <c r="EK55" s="7">
        <f>'AS400'!EH55</f>
        <v>0</v>
      </c>
      <c r="EL55" s="7">
        <f>'AS400'!EI55</f>
        <v>0</v>
      </c>
      <c r="EM55" s="7" t="str">
        <f>'AS400'!EJ55</f>
        <v>STLV</v>
      </c>
      <c r="EN55" s="7">
        <f>'AS400'!EK55</f>
        <v>818</v>
      </c>
      <c r="EO55" s="7">
        <f>'AS400'!EL55</f>
        <v>0</v>
      </c>
      <c r="EP55" s="7">
        <f>'AS400'!EM55</f>
        <v>12</v>
      </c>
      <c r="EQ55" s="7">
        <f>'AS400'!EN55</f>
        <v>20180201</v>
      </c>
      <c r="ER55" s="7">
        <f>'AS400'!EO55</f>
        <v>0</v>
      </c>
      <c r="ES55" s="7">
        <f>'AS400'!EP55</f>
        <v>0</v>
      </c>
      <c r="ET55" s="7">
        <f>'AS400'!EQ55</f>
        <v>19</v>
      </c>
      <c r="EV55" s="7">
        <f>'AS400'!ER55</f>
        <v>36</v>
      </c>
      <c r="EW55" s="7">
        <f>'AS400'!ES55</f>
        <v>0</v>
      </c>
      <c r="EX55" s="7">
        <f>'AS400'!ET55</f>
        <v>0</v>
      </c>
      <c r="EY55" s="7">
        <f>'AS400'!EU55</f>
        <v>0</v>
      </c>
      <c r="EZ55" s="7">
        <f>'AS400'!EV55</f>
        <v>0</v>
      </c>
      <c r="FA55" s="7">
        <f>'AS400'!EW55</f>
        <v>0</v>
      </c>
      <c r="FB55" s="7">
        <f>'AS400'!EX55</f>
        <v>0</v>
      </c>
      <c r="FC55" s="7">
        <f>'AS400'!EY55</f>
        <v>0</v>
      </c>
      <c r="FD55" s="7">
        <f>'AS400'!EZ55</f>
        <v>0</v>
      </c>
      <c r="FE55" s="7">
        <f>'AS400'!FA55</f>
        <v>0</v>
      </c>
      <c r="FF55" s="7">
        <f>'AS400'!FB55</f>
        <v>0</v>
      </c>
      <c r="FG55" s="7">
        <f>'AS400'!FC55</f>
        <v>0</v>
      </c>
      <c r="FH55" s="7">
        <f>'AS400'!FD55</f>
        <v>0</v>
      </c>
      <c r="FI55" s="7">
        <f>'AS400'!FE55</f>
        <v>0</v>
      </c>
      <c r="FJ55" s="7">
        <f>'AS400'!FF55</f>
        <v>0</v>
      </c>
      <c r="FK55" s="7">
        <f>'AS400'!FG55</f>
        <v>0</v>
      </c>
      <c r="FL55" s="7">
        <f>'AS400'!FH55</f>
        <v>0</v>
      </c>
      <c r="FM55" s="7">
        <f>'AS400'!FI55</f>
        <v>1</v>
      </c>
      <c r="FN55" s="7">
        <f>'AS400'!FJ55</f>
        <v>1</v>
      </c>
      <c r="FO55" s="7">
        <f>'AS400'!FO55</f>
        <v>0</v>
      </c>
      <c r="FP55" s="7">
        <f>'AS400'!FP55</f>
        <v>4</v>
      </c>
      <c r="FQ55" s="7">
        <f>'AS400'!FQ55</f>
        <v>1</v>
      </c>
      <c r="FR55" s="7">
        <f>'AS400'!FR55</f>
        <v>1</v>
      </c>
      <c r="FS55" s="13">
        <f>'AS400'!FO55</f>
        <v>0</v>
      </c>
    </row>
    <row r="56" spans="1:175">
      <c r="A56" s="7">
        <f>'AS400'!A56</f>
        <v>50</v>
      </c>
      <c r="B56" s="7">
        <f>'AS400'!B56</f>
        <v>20190301</v>
      </c>
      <c r="C56" s="7">
        <f>'AS400'!C56</f>
        <v>0</v>
      </c>
      <c r="D56" s="7" t="str">
        <f>'AS400'!D56</f>
        <v>N</v>
      </c>
      <c r="E56" s="7" t="str">
        <f>'AS400'!E56</f>
        <v>N</v>
      </c>
      <c r="F56" s="7" t="str">
        <f>'AS400'!F56</f>
        <v>Y</v>
      </c>
      <c r="G56" s="7">
        <f>'AS400'!G56</f>
        <v>0</v>
      </c>
      <c r="H56" s="14"/>
      <c r="I56" s="7" t="str">
        <f>'AS400'!I56</f>
        <v>RSA</v>
      </c>
      <c r="J56" s="7" t="str">
        <f>'AS400'!J56</f>
        <v>METR</v>
      </c>
      <c r="K56" s="7" t="str">
        <f>'AS400'!K56</f>
        <v>N</v>
      </c>
      <c r="L56" s="7">
        <f>'AS400'!L56</f>
        <v>4</v>
      </c>
      <c r="M56" s="8">
        <f>'AS400'!M56</f>
        <v>1</v>
      </c>
      <c r="N56" s="7">
        <f>'AS400'!N56</f>
        <v>1</v>
      </c>
      <c r="O56" s="7" t="str">
        <f>'AS400'!O56</f>
        <v>MFEF</v>
      </c>
      <c r="P56" s="7">
        <f>'AS400'!P56</f>
        <v>100</v>
      </c>
      <c r="Q56" s="7">
        <f>'AS400'!Q56</f>
        <v>20180301</v>
      </c>
      <c r="R56" s="7">
        <f>'AS400'!R56</f>
        <v>20180301</v>
      </c>
      <c r="S56" s="7" t="str">
        <f>'AS400'!S56</f>
        <v>M</v>
      </c>
      <c r="T56" s="7" t="str">
        <f>'AS400'!T56</f>
        <v>MN</v>
      </c>
      <c r="U56" s="7">
        <f>'AS400'!U56</f>
        <v>20190301</v>
      </c>
      <c r="V56" s="7">
        <f>'AS400'!V56</f>
        <v>10</v>
      </c>
      <c r="W56" s="7">
        <f>'AS400'!W56</f>
        <v>10</v>
      </c>
      <c r="X56" s="7" t="str">
        <f>'AS400'!X56</f>
        <v>MFIX</v>
      </c>
      <c r="Y56" s="7">
        <f>'AS400'!Y56</f>
        <v>0</v>
      </c>
      <c r="Z56" s="7" t="str">
        <f>'AS400'!Z56</f>
        <v>STLV</v>
      </c>
      <c r="AA56" s="7">
        <f>'AS400'!AA56</f>
        <v>818</v>
      </c>
      <c r="AB56" s="7">
        <f>'AS400'!AB56</f>
        <v>0</v>
      </c>
      <c r="AC56" s="7">
        <f>'AS400'!AC56</f>
        <v>12</v>
      </c>
      <c r="AD56" s="7">
        <f>'AS400'!AD56</f>
        <v>20180201</v>
      </c>
      <c r="AE56" s="7">
        <f>'AS400'!AE56</f>
        <v>0</v>
      </c>
      <c r="AF56" s="7">
        <f>'AS400'!AF56</f>
        <v>30000</v>
      </c>
      <c r="AG56" s="7">
        <f>'AS400'!AG56</f>
        <v>118</v>
      </c>
      <c r="AI56" s="7">
        <f>'AS400'!AH56</f>
        <v>35</v>
      </c>
      <c r="AJ56" s="7">
        <f>'AS400'!AI56</f>
        <v>0</v>
      </c>
      <c r="AK56" s="7">
        <f>'AS400'!AJ56</f>
        <v>0</v>
      </c>
      <c r="AL56" s="7">
        <f>'AS400'!AK56</f>
        <v>0</v>
      </c>
      <c r="AM56" s="7">
        <f>'AS400'!AL56</f>
        <v>0</v>
      </c>
      <c r="AN56" s="7">
        <f>'AS400'!AM56</f>
        <v>0</v>
      </c>
      <c r="AO56" s="7">
        <f>'AS400'!AN56</f>
        <v>0</v>
      </c>
      <c r="AP56" s="7">
        <f>'AS400'!AO56</f>
        <v>0</v>
      </c>
      <c r="AQ56" s="7">
        <f>'AS400'!AP56</f>
        <v>0</v>
      </c>
      <c r="AR56" s="7">
        <f>'AS400'!AQ56</f>
        <v>0</v>
      </c>
      <c r="AS56" s="7">
        <f>'AS400'!AR56</f>
        <v>0</v>
      </c>
      <c r="AT56" s="7">
        <f>'AS400'!AS56</f>
        <v>0</v>
      </c>
      <c r="AU56" s="7">
        <f>'AS400'!AT56</f>
        <v>0</v>
      </c>
      <c r="AV56" s="7">
        <f>'AS400'!AU56</f>
        <v>0</v>
      </c>
      <c r="AW56" s="7">
        <f>'AS400'!AV56</f>
        <v>0</v>
      </c>
      <c r="AX56" s="7">
        <f>'AS400'!AW56</f>
        <v>0</v>
      </c>
      <c r="AY56" s="7">
        <f>'AS400'!AX56</f>
        <v>0</v>
      </c>
      <c r="AZ56" s="8">
        <f>'AS400'!AY56</f>
        <v>1</v>
      </c>
      <c r="BA56" s="7">
        <f>'AS400'!AZ56</f>
        <v>2</v>
      </c>
      <c r="BB56" s="7" t="str">
        <f>'AS400'!BA56</f>
        <v>PURO</v>
      </c>
      <c r="BC56" s="7">
        <f>'AS400'!BB56</f>
        <v>100</v>
      </c>
      <c r="BD56" s="7">
        <f>'AS400'!BC56</f>
        <v>20180301</v>
      </c>
      <c r="BE56" s="7">
        <f>'AS400'!BD56</f>
        <v>20180301</v>
      </c>
      <c r="BF56" s="7" t="str">
        <f>'AS400'!BE56</f>
        <v>S</v>
      </c>
      <c r="BG56" s="7" t="str">
        <f>'AS400'!BF56</f>
        <v>ME</v>
      </c>
      <c r="BH56" s="7">
        <f>'AS400'!BG56</f>
        <v>20180301</v>
      </c>
      <c r="BI56" s="7">
        <f>'AS400'!BH56</f>
        <v>0</v>
      </c>
      <c r="BJ56" s="7">
        <f>'AS400'!BI56</f>
        <v>0</v>
      </c>
      <c r="BK56" s="7">
        <f>'AS400'!BJ56</f>
        <v>0</v>
      </c>
      <c r="BL56" s="7">
        <f>'AS400'!BK56</f>
        <v>0</v>
      </c>
      <c r="BM56" s="7" t="str">
        <f>'AS400'!BL56</f>
        <v>STLV</v>
      </c>
      <c r="BN56" s="7">
        <f>'AS400'!BM56</f>
        <v>818</v>
      </c>
      <c r="BO56" s="7">
        <f>'AS400'!BN56</f>
        <v>0</v>
      </c>
      <c r="BP56" s="7">
        <f>'AS400'!BO56</f>
        <v>12</v>
      </c>
      <c r="BQ56" s="7">
        <f>'AS400'!BP56</f>
        <v>20180201</v>
      </c>
      <c r="BR56" s="7">
        <f>'AS400'!BQ56</f>
        <v>0</v>
      </c>
      <c r="BS56" s="7">
        <f>'AS400'!BR56</f>
        <v>0</v>
      </c>
      <c r="BT56" s="7">
        <f>'AS400'!BS56</f>
        <v>29</v>
      </c>
      <c r="BV56" s="7">
        <f>'AS400'!BT56</f>
        <v>35</v>
      </c>
      <c r="BW56" s="7">
        <f>'AS400'!BU56</f>
        <v>0</v>
      </c>
      <c r="BX56" s="7">
        <f>'AS400'!BV56</f>
        <v>0</v>
      </c>
      <c r="BY56" s="7">
        <f>'AS400'!BW56</f>
        <v>0</v>
      </c>
      <c r="BZ56" s="7">
        <f>'AS400'!BX56</f>
        <v>0</v>
      </c>
      <c r="CA56" s="7">
        <f>'AS400'!BY56</f>
        <v>0</v>
      </c>
      <c r="CB56" s="7">
        <f>'AS400'!BZ56</f>
        <v>0</v>
      </c>
      <c r="CC56" s="7">
        <f>'AS400'!CA56</f>
        <v>0</v>
      </c>
      <c r="CD56" s="7">
        <f>'AS400'!CB56</f>
        <v>0</v>
      </c>
      <c r="CE56" s="7">
        <f>'AS400'!CC56</f>
        <v>0</v>
      </c>
      <c r="CF56" s="7">
        <f>'AS400'!CD56</f>
        <v>0</v>
      </c>
      <c r="CG56" s="7">
        <f>'AS400'!CE56</f>
        <v>0</v>
      </c>
      <c r="CH56" s="7">
        <f>'AS400'!CF56</f>
        <v>0</v>
      </c>
      <c r="CI56" s="7">
        <f>'AS400'!CG56</f>
        <v>0</v>
      </c>
      <c r="CJ56" s="7">
        <f>'AS400'!CH56</f>
        <v>0</v>
      </c>
      <c r="CK56" s="7">
        <f>'AS400'!CI56</f>
        <v>0</v>
      </c>
      <c r="CL56" s="7">
        <f>'AS400'!CJ56</f>
        <v>0</v>
      </c>
      <c r="CM56" s="8">
        <f>'AS400'!CK56</f>
        <v>1</v>
      </c>
      <c r="CN56" s="7">
        <f>'AS400'!CL56</f>
        <v>3</v>
      </c>
      <c r="CO56" s="7" t="str">
        <f>'AS400'!CM56</f>
        <v>PUDT</v>
      </c>
      <c r="CP56" s="7">
        <f>'AS400'!CN56</f>
        <v>100</v>
      </c>
      <c r="CQ56" s="7">
        <f>'AS400'!CO56</f>
        <v>20180301</v>
      </c>
      <c r="CR56" s="7">
        <f>'AS400'!CP56</f>
        <v>20180301</v>
      </c>
      <c r="CS56" s="7" t="str">
        <f>'AS400'!CQ56</f>
        <v>S</v>
      </c>
      <c r="CT56" s="7" t="str">
        <f>'AS400'!CR56</f>
        <v>MT</v>
      </c>
      <c r="CU56" s="7">
        <f>'AS400'!CS56</f>
        <v>20180301</v>
      </c>
      <c r="CV56" s="7">
        <f>'AS400'!CT56</f>
        <v>0</v>
      </c>
      <c r="CW56" s="7">
        <f>'AS400'!CU56</f>
        <v>0</v>
      </c>
      <c r="CX56" s="7">
        <f>'AS400'!CV56</f>
        <v>0</v>
      </c>
      <c r="CY56" s="7">
        <f>'AS400'!CW56</f>
        <v>0</v>
      </c>
      <c r="CZ56" s="7" t="str">
        <f>'AS400'!CX56</f>
        <v>STLV</v>
      </c>
      <c r="DA56" s="7">
        <f>'AS400'!CY56</f>
        <v>818</v>
      </c>
      <c r="DB56" s="7">
        <f>'AS400'!CZ56</f>
        <v>0</v>
      </c>
      <c r="DC56" s="7">
        <f>'AS400'!DA56</f>
        <v>12</v>
      </c>
      <c r="DD56" s="7">
        <f>'AS400'!DB56</f>
        <v>20180201</v>
      </c>
      <c r="DE56" s="7">
        <f>'AS400'!DC56</f>
        <v>0</v>
      </c>
      <c r="DF56" s="7">
        <f>'AS400'!DD56</f>
        <v>0</v>
      </c>
      <c r="DG56" s="7">
        <f>'AS400'!DE56</f>
        <v>33</v>
      </c>
      <c r="DI56" s="7">
        <f>'AS400'!DF56</f>
        <v>35</v>
      </c>
      <c r="DJ56" s="7">
        <f>'AS400'!DG56</f>
        <v>0</v>
      </c>
      <c r="DK56" s="7">
        <f>'AS400'!DH56</f>
        <v>0</v>
      </c>
      <c r="DL56" s="7">
        <f>'AS400'!DI56</f>
        <v>0</v>
      </c>
      <c r="DM56" s="7">
        <f>'AS400'!DJ56</f>
        <v>0</v>
      </c>
      <c r="DN56" s="7">
        <f>'AS400'!DK56</f>
        <v>0</v>
      </c>
      <c r="DO56" s="7">
        <f>'AS400'!DL56</f>
        <v>0</v>
      </c>
      <c r="DP56" s="7">
        <f>'AS400'!DM56</f>
        <v>0</v>
      </c>
      <c r="DQ56" s="7">
        <f>'AS400'!DN56</f>
        <v>0</v>
      </c>
      <c r="DR56" s="7">
        <f>'AS400'!DO56</f>
        <v>0</v>
      </c>
      <c r="DS56" s="7">
        <f>'AS400'!DP56</f>
        <v>0</v>
      </c>
      <c r="DT56" s="7">
        <f>'AS400'!DQ56</f>
        <v>0</v>
      </c>
      <c r="DU56" s="7">
        <f>'AS400'!DR56</f>
        <v>0</v>
      </c>
      <c r="DV56" s="7">
        <f>'AS400'!DS56</f>
        <v>0</v>
      </c>
      <c r="DW56" s="7">
        <f>'AS400'!DT56</f>
        <v>0</v>
      </c>
      <c r="DX56" s="7">
        <f>'AS400'!DU56</f>
        <v>0</v>
      </c>
      <c r="DY56" s="7">
        <f>'AS400'!DV56</f>
        <v>0</v>
      </c>
      <c r="DZ56" s="8">
        <f>'AS400'!DW56</f>
        <v>1</v>
      </c>
      <c r="EA56" s="7">
        <f>'AS400'!DX56</f>
        <v>4</v>
      </c>
      <c r="EB56" s="7" t="str">
        <f>'AS400'!DY56</f>
        <v>PUDS</v>
      </c>
      <c r="EC56" s="7">
        <f>'AS400'!DZ56</f>
        <v>100</v>
      </c>
      <c r="ED56" s="7">
        <f>'AS400'!EA56</f>
        <v>20180301</v>
      </c>
      <c r="EE56" s="7">
        <f>'AS400'!EB56</f>
        <v>20180301</v>
      </c>
      <c r="EF56" s="7" t="str">
        <f>'AS400'!EC56</f>
        <v>S</v>
      </c>
      <c r="EG56" s="7" t="str">
        <f>'AS400'!ED56</f>
        <v>MS</v>
      </c>
      <c r="EH56" s="7">
        <f>'AS400'!EE56</f>
        <v>20180301</v>
      </c>
      <c r="EI56" s="7">
        <f>'AS400'!EF56</f>
        <v>0</v>
      </c>
      <c r="EJ56" s="7">
        <f>'AS400'!EG56</f>
        <v>0</v>
      </c>
      <c r="EK56" s="7">
        <f>'AS400'!EH56</f>
        <v>0</v>
      </c>
      <c r="EL56" s="7">
        <f>'AS400'!EI56</f>
        <v>0</v>
      </c>
      <c r="EM56" s="7" t="str">
        <f>'AS400'!EJ56</f>
        <v>STLV</v>
      </c>
      <c r="EN56" s="7">
        <f>'AS400'!EK56</f>
        <v>818</v>
      </c>
      <c r="EO56" s="7">
        <f>'AS400'!EL56</f>
        <v>0</v>
      </c>
      <c r="EP56" s="7">
        <f>'AS400'!EM56</f>
        <v>12</v>
      </c>
      <c r="EQ56" s="7">
        <f>'AS400'!EN56</f>
        <v>20180201</v>
      </c>
      <c r="ER56" s="7">
        <f>'AS400'!EO56</f>
        <v>0</v>
      </c>
      <c r="ES56" s="7">
        <f>'AS400'!EP56</f>
        <v>0</v>
      </c>
      <c r="ET56" s="7">
        <f>'AS400'!EQ56</f>
        <v>14</v>
      </c>
      <c r="EV56" s="7">
        <f>'AS400'!ER56</f>
        <v>35</v>
      </c>
      <c r="EW56" s="7">
        <f>'AS400'!ES56</f>
        <v>0</v>
      </c>
      <c r="EX56" s="7">
        <f>'AS400'!ET56</f>
        <v>0</v>
      </c>
      <c r="EY56" s="7">
        <f>'AS400'!EU56</f>
        <v>0</v>
      </c>
      <c r="EZ56" s="7">
        <f>'AS400'!EV56</f>
        <v>0</v>
      </c>
      <c r="FA56" s="7">
        <f>'AS400'!EW56</f>
        <v>0</v>
      </c>
      <c r="FB56" s="7">
        <f>'AS400'!EX56</f>
        <v>0</v>
      </c>
      <c r="FC56" s="7">
        <f>'AS400'!EY56</f>
        <v>0</v>
      </c>
      <c r="FD56" s="7">
        <f>'AS400'!EZ56</f>
        <v>0</v>
      </c>
      <c r="FE56" s="7">
        <f>'AS400'!FA56</f>
        <v>0</v>
      </c>
      <c r="FF56" s="7">
        <f>'AS400'!FB56</f>
        <v>0</v>
      </c>
      <c r="FG56" s="7">
        <f>'AS400'!FC56</f>
        <v>0</v>
      </c>
      <c r="FH56" s="7">
        <f>'AS400'!FD56</f>
        <v>0</v>
      </c>
      <c r="FI56" s="7">
        <f>'AS400'!FE56</f>
        <v>0</v>
      </c>
      <c r="FJ56" s="7">
        <f>'AS400'!FF56</f>
        <v>0</v>
      </c>
      <c r="FK56" s="7">
        <f>'AS400'!FG56</f>
        <v>0</v>
      </c>
      <c r="FL56" s="7">
        <f>'AS400'!FH56</f>
        <v>0</v>
      </c>
      <c r="FM56" s="7">
        <f>'AS400'!FI56</f>
        <v>1</v>
      </c>
      <c r="FN56" s="7">
        <f>'AS400'!FJ56</f>
        <v>1</v>
      </c>
      <c r="FO56" s="7">
        <f>'AS400'!FO56</f>
        <v>0</v>
      </c>
      <c r="FP56" s="7">
        <f>'AS400'!FP56</f>
        <v>4</v>
      </c>
      <c r="FQ56" s="7">
        <f>'AS400'!FQ56</f>
        <v>1</v>
      </c>
      <c r="FR56" s="7">
        <f>'AS400'!FR56</f>
        <v>1</v>
      </c>
      <c r="FS56" s="13">
        <f>'AS400'!FO56</f>
        <v>0</v>
      </c>
    </row>
    <row r="57" spans="1:175">
      <c r="A57" s="7">
        <f>'AS400'!A57</f>
        <v>51</v>
      </c>
      <c r="B57" s="7">
        <f>'AS400'!B57</f>
        <v>20190301</v>
      </c>
      <c r="C57" s="7">
        <f>'AS400'!C57</f>
        <v>0</v>
      </c>
      <c r="D57" s="7" t="str">
        <f>'AS400'!D57</f>
        <v>N</v>
      </c>
      <c r="E57" s="7" t="str">
        <f>'AS400'!E57</f>
        <v>N</v>
      </c>
      <c r="F57" s="7" t="str">
        <f>'AS400'!F57</f>
        <v>Y</v>
      </c>
      <c r="G57" s="7">
        <f>'AS400'!G57</f>
        <v>0</v>
      </c>
      <c r="H57" s="14"/>
      <c r="I57" s="7" t="str">
        <f>'AS400'!I57</f>
        <v>RSA</v>
      </c>
      <c r="J57" s="7" t="str">
        <f>'AS400'!J57</f>
        <v>METR</v>
      </c>
      <c r="K57" s="7" t="str">
        <f>'AS400'!K57</f>
        <v>N</v>
      </c>
      <c r="L57" s="7">
        <f>'AS400'!L57</f>
        <v>4</v>
      </c>
      <c r="M57" s="8">
        <f>'AS400'!M57</f>
        <v>1</v>
      </c>
      <c r="N57" s="7">
        <f>'AS400'!N57</f>
        <v>1</v>
      </c>
      <c r="O57" s="7" t="str">
        <f>'AS400'!O57</f>
        <v>MFEF</v>
      </c>
      <c r="P57" s="7">
        <f>'AS400'!P57</f>
        <v>100</v>
      </c>
      <c r="Q57" s="7">
        <f>'AS400'!Q57</f>
        <v>20180301</v>
      </c>
      <c r="R57" s="7">
        <f>'AS400'!R57</f>
        <v>20180301</v>
      </c>
      <c r="S57" s="7" t="str">
        <f>'AS400'!S57</f>
        <v>M</v>
      </c>
      <c r="T57" s="7" t="str">
        <f>'AS400'!T57</f>
        <v>MK</v>
      </c>
      <c r="U57" s="7">
        <f>'AS400'!U57</f>
        <v>20190301</v>
      </c>
      <c r="V57" s="7">
        <f>'AS400'!V57</f>
        <v>10</v>
      </c>
      <c r="W57" s="7">
        <f>'AS400'!W57</f>
        <v>10</v>
      </c>
      <c r="X57" s="7" t="str">
        <f>'AS400'!X57</f>
        <v>MFIX</v>
      </c>
      <c r="Y57" s="7">
        <f>'AS400'!Y57</f>
        <v>0</v>
      </c>
      <c r="Z57" s="7" t="str">
        <f>'AS400'!Z57</f>
        <v>STLV</v>
      </c>
      <c r="AA57" s="7">
        <f>'AS400'!AA57</f>
        <v>818</v>
      </c>
      <c r="AB57" s="7">
        <f>'AS400'!AB57</f>
        <v>0</v>
      </c>
      <c r="AC57" s="7">
        <f>'AS400'!AC57</f>
        <v>12</v>
      </c>
      <c r="AD57" s="7">
        <f>'AS400'!AD57</f>
        <v>20180201</v>
      </c>
      <c r="AE57" s="7">
        <f>'AS400'!AE57</f>
        <v>0</v>
      </c>
      <c r="AF57" s="7">
        <f>'AS400'!AF57</f>
        <v>25000</v>
      </c>
      <c r="AG57" s="7">
        <f>'AS400'!AG57</f>
        <v>107</v>
      </c>
      <c r="AI57" s="7">
        <f>'AS400'!AH57</f>
        <v>34</v>
      </c>
      <c r="AJ57" s="7">
        <f>'AS400'!AI57</f>
        <v>0</v>
      </c>
      <c r="AK57" s="7">
        <f>'AS400'!AJ57</f>
        <v>0</v>
      </c>
      <c r="AL57" s="7">
        <f>'AS400'!AK57</f>
        <v>0</v>
      </c>
      <c r="AM57" s="7">
        <f>'AS400'!AL57</f>
        <v>0</v>
      </c>
      <c r="AN57" s="7">
        <f>'AS400'!AM57</f>
        <v>0</v>
      </c>
      <c r="AO57" s="7">
        <f>'AS400'!AN57</f>
        <v>0</v>
      </c>
      <c r="AP57" s="7">
        <f>'AS400'!AO57</f>
        <v>0</v>
      </c>
      <c r="AQ57" s="7">
        <f>'AS400'!AP57</f>
        <v>0</v>
      </c>
      <c r="AR57" s="7">
        <f>'AS400'!AQ57</f>
        <v>0</v>
      </c>
      <c r="AS57" s="7">
        <f>'AS400'!AR57</f>
        <v>0</v>
      </c>
      <c r="AT57" s="7">
        <f>'AS400'!AS57</f>
        <v>0</v>
      </c>
      <c r="AU57" s="7">
        <f>'AS400'!AT57</f>
        <v>0</v>
      </c>
      <c r="AV57" s="7">
        <f>'AS400'!AU57</f>
        <v>0</v>
      </c>
      <c r="AW57" s="7">
        <f>'AS400'!AV57</f>
        <v>0</v>
      </c>
      <c r="AX57" s="7">
        <f>'AS400'!AW57</f>
        <v>0</v>
      </c>
      <c r="AY57" s="7">
        <f>'AS400'!AX57</f>
        <v>0</v>
      </c>
      <c r="AZ57" s="8">
        <f>'AS400'!AY57</f>
        <v>1</v>
      </c>
      <c r="BA57" s="7">
        <f>'AS400'!AZ57</f>
        <v>2</v>
      </c>
      <c r="BB57" s="7" t="str">
        <f>'AS400'!BA57</f>
        <v>PURO</v>
      </c>
      <c r="BC57" s="7">
        <f>'AS400'!BB57</f>
        <v>100</v>
      </c>
      <c r="BD57" s="7">
        <f>'AS400'!BC57</f>
        <v>20180301</v>
      </c>
      <c r="BE57" s="7">
        <f>'AS400'!BD57</f>
        <v>20180301</v>
      </c>
      <c r="BF57" s="7" t="str">
        <f>'AS400'!BE57</f>
        <v>S</v>
      </c>
      <c r="BG57" s="7" t="str">
        <f>'AS400'!BF57</f>
        <v>ME</v>
      </c>
      <c r="BH57" s="7">
        <f>'AS400'!BG57</f>
        <v>20180301</v>
      </c>
      <c r="BI57" s="7">
        <f>'AS400'!BH57</f>
        <v>0</v>
      </c>
      <c r="BJ57" s="7">
        <f>'AS400'!BI57</f>
        <v>0</v>
      </c>
      <c r="BK57" s="7">
        <f>'AS400'!BJ57</f>
        <v>0</v>
      </c>
      <c r="BL57" s="7">
        <f>'AS400'!BK57</f>
        <v>0</v>
      </c>
      <c r="BM57" s="7" t="str">
        <f>'AS400'!BL57</f>
        <v>STLV</v>
      </c>
      <c r="BN57" s="7">
        <f>'AS400'!BM57</f>
        <v>818</v>
      </c>
      <c r="BO57" s="7">
        <f>'AS400'!BN57</f>
        <v>0</v>
      </c>
      <c r="BP57" s="7">
        <f>'AS400'!BO57</f>
        <v>12</v>
      </c>
      <c r="BQ57" s="7">
        <f>'AS400'!BP57</f>
        <v>20180201</v>
      </c>
      <c r="BR57" s="7">
        <f>'AS400'!BQ57</f>
        <v>0</v>
      </c>
      <c r="BS57" s="7">
        <f>'AS400'!BR57</f>
        <v>0</v>
      </c>
      <c r="BT57" s="7">
        <f>'AS400'!BS57</f>
        <v>27</v>
      </c>
      <c r="BV57" s="7">
        <f>'AS400'!BT57</f>
        <v>34</v>
      </c>
      <c r="BW57" s="7">
        <f>'AS400'!BU57</f>
        <v>0</v>
      </c>
      <c r="BX57" s="7">
        <f>'AS400'!BV57</f>
        <v>0</v>
      </c>
      <c r="BY57" s="7">
        <f>'AS400'!BW57</f>
        <v>0</v>
      </c>
      <c r="BZ57" s="7">
        <f>'AS400'!BX57</f>
        <v>0</v>
      </c>
      <c r="CA57" s="7">
        <f>'AS400'!BY57</f>
        <v>0</v>
      </c>
      <c r="CB57" s="7">
        <f>'AS400'!BZ57</f>
        <v>0</v>
      </c>
      <c r="CC57" s="7">
        <f>'AS400'!CA57</f>
        <v>0</v>
      </c>
      <c r="CD57" s="7">
        <f>'AS400'!CB57</f>
        <v>0</v>
      </c>
      <c r="CE57" s="7">
        <f>'AS400'!CC57</f>
        <v>0</v>
      </c>
      <c r="CF57" s="7">
        <f>'AS400'!CD57</f>
        <v>0</v>
      </c>
      <c r="CG57" s="7">
        <f>'AS400'!CE57</f>
        <v>0</v>
      </c>
      <c r="CH57" s="7">
        <f>'AS400'!CF57</f>
        <v>0</v>
      </c>
      <c r="CI57" s="7">
        <f>'AS400'!CG57</f>
        <v>0</v>
      </c>
      <c r="CJ57" s="7">
        <f>'AS400'!CH57</f>
        <v>0</v>
      </c>
      <c r="CK57" s="7">
        <f>'AS400'!CI57</f>
        <v>0</v>
      </c>
      <c r="CL57" s="7">
        <f>'AS400'!CJ57</f>
        <v>0</v>
      </c>
      <c r="CM57" s="8">
        <f>'AS400'!CK57</f>
        <v>1</v>
      </c>
      <c r="CN57" s="7">
        <f>'AS400'!CL57</f>
        <v>3</v>
      </c>
      <c r="CO57" s="7" t="str">
        <f>'AS400'!CM57</f>
        <v>PUDT</v>
      </c>
      <c r="CP57" s="7">
        <f>'AS400'!CN57</f>
        <v>100</v>
      </c>
      <c r="CQ57" s="7">
        <f>'AS400'!CO57</f>
        <v>20180301</v>
      </c>
      <c r="CR57" s="7">
        <f>'AS400'!CP57</f>
        <v>20180301</v>
      </c>
      <c r="CS57" s="7" t="str">
        <f>'AS400'!CQ57</f>
        <v>S</v>
      </c>
      <c r="CT57" s="7" t="str">
        <f>'AS400'!CR57</f>
        <v>MT</v>
      </c>
      <c r="CU57" s="7">
        <f>'AS400'!CS57</f>
        <v>20180301</v>
      </c>
      <c r="CV57" s="7">
        <f>'AS400'!CT57</f>
        <v>0</v>
      </c>
      <c r="CW57" s="7">
        <f>'AS400'!CU57</f>
        <v>0</v>
      </c>
      <c r="CX57" s="7">
        <f>'AS400'!CV57</f>
        <v>0</v>
      </c>
      <c r="CY57" s="7">
        <f>'AS400'!CW57</f>
        <v>0</v>
      </c>
      <c r="CZ57" s="7" t="str">
        <f>'AS400'!CX57</f>
        <v>STLV</v>
      </c>
      <c r="DA57" s="7">
        <f>'AS400'!CY57</f>
        <v>818</v>
      </c>
      <c r="DB57" s="7">
        <f>'AS400'!CZ57</f>
        <v>0</v>
      </c>
      <c r="DC57" s="7">
        <f>'AS400'!DA57</f>
        <v>12</v>
      </c>
      <c r="DD57" s="7">
        <f>'AS400'!DB57</f>
        <v>20180201</v>
      </c>
      <c r="DE57" s="7">
        <f>'AS400'!DC57</f>
        <v>0</v>
      </c>
      <c r="DF57" s="7">
        <f>'AS400'!DD57</f>
        <v>0</v>
      </c>
      <c r="DG57" s="7">
        <f>'AS400'!DE57</f>
        <v>31</v>
      </c>
      <c r="DI57" s="7">
        <f>'AS400'!DF57</f>
        <v>34</v>
      </c>
      <c r="DJ57" s="7">
        <f>'AS400'!DG57</f>
        <v>0</v>
      </c>
      <c r="DK57" s="7">
        <f>'AS400'!DH57</f>
        <v>0</v>
      </c>
      <c r="DL57" s="7">
        <f>'AS400'!DI57</f>
        <v>0</v>
      </c>
      <c r="DM57" s="7">
        <f>'AS400'!DJ57</f>
        <v>0</v>
      </c>
      <c r="DN57" s="7">
        <f>'AS400'!DK57</f>
        <v>0</v>
      </c>
      <c r="DO57" s="7">
        <f>'AS400'!DL57</f>
        <v>0</v>
      </c>
      <c r="DP57" s="7">
        <f>'AS400'!DM57</f>
        <v>0</v>
      </c>
      <c r="DQ57" s="7">
        <f>'AS400'!DN57</f>
        <v>0</v>
      </c>
      <c r="DR57" s="7">
        <f>'AS400'!DO57</f>
        <v>0</v>
      </c>
      <c r="DS57" s="7">
        <f>'AS400'!DP57</f>
        <v>0</v>
      </c>
      <c r="DT57" s="7">
        <f>'AS400'!DQ57</f>
        <v>0</v>
      </c>
      <c r="DU57" s="7">
        <f>'AS400'!DR57</f>
        <v>0</v>
      </c>
      <c r="DV57" s="7">
        <f>'AS400'!DS57</f>
        <v>0</v>
      </c>
      <c r="DW57" s="7">
        <f>'AS400'!DT57</f>
        <v>0</v>
      </c>
      <c r="DX57" s="7">
        <f>'AS400'!DU57</f>
        <v>0</v>
      </c>
      <c r="DY57" s="7">
        <f>'AS400'!DV57</f>
        <v>0</v>
      </c>
      <c r="DZ57" s="8">
        <f>'AS400'!DW57</f>
        <v>1</v>
      </c>
      <c r="EA57" s="7">
        <f>'AS400'!DX57</f>
        <v>4</v>
      </c>
      <c r="EB57" s="7" t="str">
        <f>'AS400'!DY57</f>
        <v>PUDS</v>
      </c>
      <c r="EC57" s="7">
        <f>'AS400'!DZ57</f>
        <v>100</v>
      </c>
      <c r="ED57" s="7">
        <f>'AS400'!EA57</f>
        <v>20180301</v>
      </c>
      <c r="EE57" s="7">
        <f>'AS400'!EB57</f>
        <v>20180301</v>
      </c>
      <c r="EF57" s="7" t="str">
        <f>'AS400'!EC57</f>
        <v>S</v>
      </c>
      <c r="EG57" s="7" t="str">
        <f>'AS400'!ED57</f>
        <v>MS</v>
      </c>
      <c r="EH57" s="7">
        <f>'AS400'!EE57</f>
        <v>20180301</v>
      </c>
      <c r="EI57" s="7">
        <f>'AS400'!EF57</f>
        <v>0</v>
      </c>
      <c r="EJ57" s="7">
        <f>'AS400'!EG57</f>
        <v>0</v>
      </c>
      <c r="EK57" s="7">
        <f>'AS400'!EH57</f>
        <v>0</v>
      </c>
      <c r="EL57" s="7">
        <f>'AS400'!EI57</f>
        <v>0</v>
      </c>
      <c r="EM57" s="7" t="str">
        <f>'AS400'!EJ57</f>
        <v>STLV</v>
      </c>
      <c r="EN57" s="7">
        <f>'AS400'!EK57</f>
        <v>818</v>
      </c>
      <c r="EO57" s="7">
        <f>'AS400'!EL57</f>
        <v>0</v>
      </c>
      <c r="EP57" s="7">
        <f>'AS400'!EM57</f>
        <v>12</v>
      </c>
      <c r="EQ57" s="7">
        <f>'AS400'!EN57</f>
        <v>20180201</v>
      </c>
      <c r="ER57" s="7">
        <f>'AS400'!EO57</f>
        <v>0</v>
      </c>
      <c r="ES57" s="7">
        <f>'AS400'!EP57</f>
        <v>0</v>
      </c>
      <c r="ET57" s="7">
        <f>'AS400'!EQ57</f>
        <v>13</v>
      </c>
      <c r="EV57" s="7">
        <f>'AS400'!ER57</f>
        <v>34</v>
      </c>
      <c r="EW57" s="7">
        <f>'AS400'!ES57</f>
        <v>0</v>
      </c>
      <c r="EX57" s="7">
        <f>'AS400'!ET57</f>
        <v>0</v>
      </c>
      <c r="EY57" s="7">
        <f>'AS400'!EU57</f>
        <v>0</v>
      </c>
      <c r="EZ57" s="7">
        <f>'AS400'!EV57</f>
        <v>0</v>
      </c>
      <c r="FA57" s="7">
        <f>'AS400'!EW57</f>
        <v>0</v>
      </c>
      <c r="FB57" s="7">
        <f>'AS400'!EX57</f>
        <v>0</v>
      </c>
      <c r="FC57" s="7">
        <f>'AS400'!EY57</f>
        <v>0</v>
      </c>
      <c r="FD57" s="7">
        <f>'AS400'!EZ57</f>
        <v>0</v>
      </c>
      <c r="FE57" s="7">
        <f>'AS400'!FA57</f>
        <v>0</v>
      </c>
      <c r="FF57" s="7">
        <f>'AS400'!FB57</f>
        <v>0</v>
      </c>
      <c r="FG57" s="7">
        <f>'AS400'!FC57</f>
        <v>0</v>
      </c>
      <c r="FH57" s="7">
        <f>'AS400'!FD57</f>
        <v>0</v>
      </c>
      <c r="FI57" s="7">
        <f>'AS400'!FE57</f>
        <v>0</v>
      </c>
      <c r="FJ57" s="7">
        <f>'AS400'!FF57</f>
        <v>0</v>
      </c>
      <c r="FK57" s="7">
        <f>'AS400'!FG57</f>
        <v>0</v>
      </c>
      <c r="FL57" s="7">
        <f>'AS400'!FH57</f>
        <v>0</v>
      </c>
      <c r="FM57" s="7">
        <f>'AS400'!FI57</f>
        <v>1</v>
      </c>
      <c r="FN57" s="7">
        <f>'AS400'!FJ57</f>
        <v>1</v>
      </c>
      <c r="FO57" s="7">
        <f>'AS400'!FO57</f>
        <v>0</v>
      </c>
      <c r="FP57" s="7">
        <f>'AS400'!FP57</f>
        <v>4</v>
      </c>
      <c r="FQ57" s="7">
        <f>'AS400'!FQ57</f>
        <v>1</v>
      </c>
      <c r="FR57" s="7">
        <f>'AS400'!FR57</f>
        <v>1</v>
      </c>
      <c r="FS57" s="13">
        <f>'AS400'!FO57</f>
        <v>0</v>
      </c>
    </row>
    <row r="58" spans="1:175">
      <c r="A58" s="7">
        <f>'AS400'!A58</f>
        <v>52</v>
      </c>
      <c r="B58" s="7">
        <f>'AS400'!B58</f>
        <v>20190301</v>
      </c>
      <c r="C58" s="7">
        <f>'AS400'!C58</f>
        <v>0</v>
      </c>
      <c r="D58" s="7" t="str">
        <f>'AS400'!D58</f>
        <v>N</v>
      </c>
      <c r="E58" s="7" t="str">
        <f>'AS400'!E58</f>
        <v>N</v>
      </c>
      <c r="F58" s="7" t="str">
        <f>'AS400'!F58</f>
        <v>Y</v>
      </c>
      <c r="G58" s="7">
        <f>'AS400'!G58</f>
        <v>0</v>
      </c>
      <c r="H58" s="14"/>
      <c r="I58" s="7" t="str">
        <f>'AS400'!I58</f>
        <v>RSA</v>
      </c>
      <c r="J58" s="7" t="str">
        <f>'AS400'!J58</f>
        <v>METR</v>
      </c>
      <c r="K58" s="7" t="str">
        <f>'AS400'!K58</f>
        <v>N</v>
      </c>
      <c r="L58" s="7">
        <f>'AS400'!L58</f>
        <v>4</v>
      </c>
      <c r="M58" s="8">
        <f>'AS400'!M58</f>
        <v>1</v>
      </c>
      <c r="N58" s="7">
        <f>'AS400'!N58</f>
        <v>1</v>
      </c>
      <c r="O58" s="7" t="str">
        <f>'AS400'!O58</f>
        <v>MFEF</v>
      </c>
      <c r="P58" s="7">
        <f>'AS400'!P58</f>
        <v>100</v>
      </c>
      <c r="Q58" s="7">
        <f>'AS400'!Q58</f>
        <v>20180301</v>
      </c>
      <c r="R58" s="7">
        <f>'AS400'!R58</f>
        <v>20180301</v>
      </c>
      <c r="S58" s="7" t="str">
        <f>'AS400'!S58</f>
        <v>M</v>
      </c>
      <c r="T58" s="7" t="str">
        <f>'AS400'!T58</f>
        <v>MK</v>
      </c>
      <c r="U58" s="7">
        <f>'AS400'!U58</f>
        <v>20190301</v>
      </c>
      <c r="V58" s="7">
        <f>'AS400'!V58</f>
        <v>10</v>
      </c>
      <c r="W58" s="7">
        <f>'AS400'!W58</f>
        <v>10</v>
      </c>
      <c r="X58" s="7" t="str">
        <f>'AS400'!X58</f>
        <v>MFIX</v>
      </c>
      <c r="Y58" s="7">
        <f>'AS400'!Y58</f>
        <v>0</v>
      </c>
      <c r="Z58" s="7" t="str">
        <f>'AS400'!Z58</f>
        <v>STLV</v>
      </c>
      <c r="AA58" s="7">
        <f>'AS400'!AA58</f>
        <v>818</v>
      </c>
      <c r="AB58" s="7">
        <f>'AS400'!AB58</f>
        <v>0</v>
      </c>
      <c r="AC58" s="7">
        <f>'AS400'!AC58</f>
        <v>12</v>
      </c>
      <c r="AD58" s="7">
        <f>'AS400'!AD58</f>
        <v>20180201</v>
      </c>
      <c r="AE58" s="7">
        <f>'AS400'!AE58</f>
        <v>0</v>
      </c>
      <c r="AF58" s="7">
        <f>'AS400'!AF58</f>
        <v>35000</v>
      </c>
      <c r="AG58" s="7">
        <f>'AS400'!AG58</f>
        <v>130</v>
      </c>
      <c r="AI58" s="7">
        <f>'AS400'!AH58</f>
        <v>33</v>
      </c>
      <c r="AJ58" s="7">
        <f>'AS400'!AI58</f>
        <v>0</v>
      </c>
      <c r="AK58" s="7">
        <f>'AS400'!AJ58</f>
        <v>0</v>
      </c>
      <c r="AL58" s="7">
        <f>'AS400'!AK58</f>
        <v>0</v>
      </c>
      <c r="AM58" s="7">
        <f>'AS400'!AL58</f>
        <v>0</v>
      </c>
      <c r="AN58" s="7">
        <f>'AS400'!AM58</f>
        <v>0</v>
      </c>
      <c r="AO58" s="7">
        <f>'AS400'!AN58</f>
        <v>0</v>
      </c>
      <c r="AP58" s="7">
        <f>'AS400'!AO58</f>
        <v>0</v>
      </c>
      <c r="AQ58" s="7">
        <f>'AS400'!AP58</f>
        <v>0</v>
      </c>
      <c r="AR58" s="7">
        <f>'AS400'!AQ58</f>
        <v>0</v>
      </c>
      <c r="AS58" s="7">
        <f>'AS400'!AR58</f>
        <v>0</v>
      </c>
      <c r="AT58" s="7">
        <f>'AS400'!AS58</f>
        <v>0</v>
      </c>
      <c r="AU58" s="7">
        <f>'AS400'!AT58</f>
        <v>0</v>
      </c>
      <c r="AV58" s="7">
        <f>'AS400'!AU58</f>
        <v>0</v>
      </c>
      <c r="AW58" s="7">
        <f>'AS400'!AV58</f>
        <v>0</v>
      </c>
      <c r="AX58" s="7">
        <f>'AS400'!AW58</f>
        <v>0</v>
      </c>
      <c r="AY58" s="7">
        <f>'AS400'!AX58</f>
        <v>0</v>
      </c>
      <c r="AZ58" s="8">
        <f>'AS400'!AY58</f>
        <v>1</v>
      </c>
      <c r="BA58" s="7">
        <f>'AS400'!AZ58</f>
        <v>2</v>
      </c>
      <c r="BB58" s="7" t="str">
        <f>'AS400'!BA58</f>
        <v>PURO</v>
      </c>
      <c r="BC58" s="7">
        <f>'AS400'!BB58</f>
        <v>100</v>
      </c>
      <c r="BD58" s="7">
        <f>'AS400'!BC58</f>
        <v>20180301</v>
      </c>
      <c r="BE58" s="7">
        <f>'AS400'!BD58</f>
        <v>20180301</v>
      </c>
      <c r="BF58" s="7" t="str">
        <f>'AS400'!BE58</f>
        <v>S</v>
      </c>
      <c r="BG58" s="7" t="str">
        <f>'AS400'!BF58</f>
        <v>ME</v>
      </c>
      <c r="BH58" s="7">
        <f>'AS400'!BG58</f>
        <v>20180301</v>
      </c>
      <c r="BI58" s="7">
        <f>'AS400'!BH58</f>
        <v>0</v>
      </c>
      <c r="BJ58" s="7">
        <f>'AS400'!BI58</f>
        <v>0</v>
      </c>
      <c r="BK58" s="7">
        <f>'AS400'!BJ58</f>
        <v>0</v>
      </c>
      <c r="BL58" s="7">
        <f>'AS400'!BK58</f>
        <v>0</v>
      </c>
      <c r="BM58" s="7" t="str">
        <f>'AS400'!BL58</f>
        <v>STLV</v>
      </c>
      <c r="BN58" s="7">
        <f>'AS400'!BM58</f>
        <v>818</v>
      </c>
      <c r="BO58" s="7">
        <f>'AS400'!BN58</f>
        <v>0</v>
      </c>
      <c r="BP58" s="7">
        <f>'AS400'!BO58</f>
        <v>12</v>
      </c>
      <c r="BQ58" s="7">
        <f>'AS400'!BP58</f>
        <v>20180201</v>
      </c>
      <c r="BR58" s="7">
        <f>'AS400'!BQ58</f>
        <v>0</v>
      </c>
      <c r="BS58" s="7">
        <f>'AS400'!BR58</f>
        <v>0</v>
      </c>
      <c r="BT58" s="7">
        <f>'AS400'!BS58</f>
        <v>32</v>
      </c>
      <c r="BV58" s="7">
        <f>'AS400'!BT58</f>
        <v>33</v>
      </c>
      <c r="BW58" s="7">
        <f>'AS400'!BU58</f>
        <v>0</v>
      </c>
      <c r="BX58" s="7">
        <f>'AS400'!BV58</f>
        <v>0</v>
      </c>
      <c r="BY58" s="7">
        <f>'AS400'!BW58</f>
        <v>0</v>
      </c>
      <c r="BZ58" s="7">
        <f>'AS400'!BX58</f>
        <v>0</v>
      </c>
      <c r="CA58" s="7">
        <f>'AS400'!BY58</f>
        <v>0</v>
      </c>
      <c r="CB58" s="7">
        <f>'AS400'!BZ58</f>
        <v>0</v>
      </c>
      <c r="CC58" s="7">
        <f>'AS400'!CA58</f>
        <v>0</v>
      </c>
      <c r="CD58" s="7">
        <f>'AS400'!CB58</f>
        <v>0</v>
      </c>
      <c r="CE58" s="7">
        <f>'AS400'!CC58</f>
        <v>0</v>
      </c>
      <c r="CF58" s="7">
        <f>'AS400'!CD58</f>
        <v>0</v>
      </c>
      <c r="CG58" s="7">
        <f>'AS400'!CE58</f>
        <v>0</v>
      </c>
      <c r="CH58" s="7">
        <f>'AS400'!CF58</f>
        <v>0</v>
      </c>
      <c r="CI58" s="7">
        <f>'AS400'!CG58</f>
        <v>0</v>
      </c>
      <c r="CJ58" s="7">
        <f>'AS400'!CH58</f>
        <v>0</v>
      </c>
      <c r="CK58" s="7">
        <f>'AS400'!CI58</f>
        <v>0</v>
      </c>
      <c r="CL58" s="7">
        <f>'AS400'!CJ58</f>
        <v>0</v>
      </c>
      <c r="CM58" s="8">
        <f>'AS400'!CK58</f>
        <v>1</v>
      </c>
      <c r="CN58" s="7">
        <f>'AS400'!CL58</f>
        <v>3</v>
      </c>
      <c r="CO58" s="7" t="str">
        <f>'AS400'!CM58</f>
        <v>PUDT</v>
      </c>
      <c r="CP58" s="7">
        <f>'AS400'!CN58</f>
        <v>100</v>
      </c>
      <c r="CQ58" s="7">
        <f>'AS400'!CO58</f>
        <v>20180301</v>
      </c>
      <c r="CR58" s="7">
        <f>'AS400'!CP58</f>
        <v>20180301</v>
      </c>
      <c r="CS58" s="7" t="str">
        <f>'AS400'!CQ58</f>
        <v>S</v>
      </c>
      <c r="CT58" s="7" t="str">
        <f>'AS400'!CR58</f>
        <v>MT</v>
      </c>
      <c r="CU58" s="7">
        <f>'AS400'!CS58</f>
        <v>20180301</v>
      </c>
      <c r="CV58" s="7">
        <f>'AS400'!CT58</f>
        <v>0</v>
      </c>
      <c r="CW58" s="7">
        <f>'AS400'!CU58</f>
        <v>0</v>
      </c>
      <c r="CX58" s="7">
        <f>'AS400'!CV58</f>
        <v>0</v>
      </c>
      <c r="CY58" s="7">
        <f>'AS400'!CW58</f>
        <v>0</v>
      </c>
      <c r="CZ58" s="7" t="str">
        <f>'AS400'!CX58</f>
        <v>STLV</v>
      </c>
      <c r="DA58" s="7">
        <f>'AS400'!CY58</f>
        <v>818</v>
      </c>
      <c r="DB58" s="7">
        <f>'AS400'!CZ58</f>
        <v>0</v>
      </c>
      <c r="DC58" s="7">
        <f>'AS400'!DA58</f>
        <v>12</v>
      </c>
      <c r="DD58" s="7">
        <f>'AS400'!DB58</f>
        <v>20180201</v>
      </c>
      <c r="DE58" s="7">
        <f>'AS400'!DC58</f>
        <v>0</v>
      </c>
      <c r="DF58" s="7">
        <f>'AS400'!DD58</f>
        <v>0</v>
      </c>
      <c r="DG58" s="7">
        <f>'AS400'!DE58</f>
        <v>36</v>
      </c>
      <c r="DI58" s="7">
        <f>'AS400'!DF58</f>
        <v>33</v>
      </c>
      <c r="DJ58" s="7">
        <f>'AS400'!DG58</f>
        <v>0</v>
      </c>
      <c r="DK58" s="7">
        <f>'AS400'!DH58</f>
        <v>0</v>
      </c>
      <c r="DL58" s="7">
        <f>'AS400'!DI58</f>
        <v>0</v>
      </c>
      <c r="DM58" s="7">
        <f>'AS400'!DJ58</f>
        <v>0</v>
      </c>
      <c r="DN58" s="7">
        <f>'AS400'!DK58</f>
        <v>0</v>
      </c>
      <c r="DO58" s="7">
        <f>'AS400'!DL58</f>
        <v>0</v>
      </c>
      <c r="DP58" s="7">
        <f>'AS400'!DM58</f>
        <v>0</v>
      </c>
      <c r="DQ58" s="7">
        <f>'AS400'!DN58</f>
        <v>0</v>
      </c>
      <c r="DR58" s="7">
        <f>'AS400'!DO58</f>
        <v>0</v>
      </c>
      <c r="DS58" s="7">
        <f>'AS400'!DP58</f>
        <v>0</v>
      </c>
      <c r="DT58" s="7">
        <f>'AS400'!DQ58</f>
        <v>0</v>
      </c>
      <c r="DU58" s="7">
        <f>'AS400'!DR58</f>
        <v>0</v>
      </c>
      <c r="DV58" s="7">
        <f>'AS400'!DS58</f>
        <v>0</v>
      </c>
      <c r="DW58" s="7">
        <f>'AS400'!DT58</f>
        <v>0</v>
      </c>
      <c r="DX58" s="7">
        <f>'AS400'!DU58</f>
        <v>0</v>
      </c>
      <c r="DY58" s="7">
        <f>'AS400'!DV58</f>
        <v>0</v>
      </c>
      <c r="DZ58" s="8">
        <f>'AS400'!DW58</f>
        <v>1</v>
      </c>
      <c r="EA58" s="7">
        <f>'AS400'!DX58</f>
        <v>4</v>
      </c>
      <c r="EB58" s="7" t="str">
        <f>'AS400'!DY58</f>
        <v>PUDS</v>
      </c>
      <c r="EC58" s="7">
        <f>'AS400'!DZ58</f>
        <v>100</v>
      </c>
      <c r="ED58" s="7">
        <f>'AS400'!EA58</f>
        <v>20180301</v>
      </c>
      <c r="EE58" s="7">
        <f>'AS400'!EB58</f>
        <v>20180301</v>
      </c>
      <c r="EF58" s="7" t="str">
        <f>'AS400'!EC58</f>
        <v>S</v>
      </c>
      <c r="EG58" s="7" t="str">
        <f>'AS400'!ED58</f>
        <v>MS</v>
      </c>
      <c r="EH58" s="7">
        <f>'AS400'!EE58</f>
        <v>20180301</v>
      </c>
      <c r="EI58" s="7">
        <f>'AS400'!EF58</f>
        <v>0</v>
      </c>
      <c r="EJ58" s="7">
        <f>'AS400'!EG58</f>
        <v>0</v>
      </c>
      <c r="EK58" s="7">
        <f>'AS400'!EH58</f>
        <v>0</v>
      </c>
      <c r="EL58" s="7">
        <f>'AS400'!EI58</f>
        <v>0</v>
      </c>
      <c r="EM58" s="7" t="str">
        <f>'AS400'!EJ58</f>
        <v>STLV</v>
      </c>
      <c r="EN58" s="7">
        <f>'AS400'!EK58</f>
        <v>818</v>
      </c>
      <c r="EO58" s="7">
        <f>'AS400'!EL58</f>
        <v>0</v>
      </c>
      <c r="EP58" s="7">
        <f>'AS400'!EM58</f>
        <v>12</v>
      </c>
      <c r="EQ58" s="7">
        <f>'AS400'!EN58</f>
        <v>20180201</v>
      </c>
      <c r="ER58" s="7">
        <f>'AS400'!EO58</f>
        <v>0</v>
      </c>
      <c r="ES58" s="7">
        <f>'AS400'!EP58</f>
        <v>0</v>
      </c>
      <c r="ET58" s="7">
        <f>'AS400'!EQ58</f>
        <v>14</v>
      </c>
      <c r="EV58" s="7">
        <f>'AS400'!ER58</f>
        <v>33</v>
      </c>
      <c r="EW58" s="7">
        <f>'AS400'!ES58</f>
        <v>0</v>
      </c>
      <c r="EX58" s="7">
        <f>'AS400'!ET58</f>
        <v>0</v>
      </c>
      <c r="EY58" s="7">
        <f>'AS400'!EU58</f>
        <v>0</v>
      </c>
      <c r="EZ58" s="7">
        <f>'AS400'!EV58</f>
        <v>0</v>
      </c>
      <c r="FA58" s="7">
        <f>'AS400'!EW58</f>
        <v>0</v>
      </c>
      <c r="FB58" s="7">
        <f>'AS400'!EX58</f>
        <v>0</v>
      </c>
      <c r="FC58" s="7">
        <f>'AS400'!EY58</f>
        <v>0</v>
      </c>
      <c r="FD58" s="7">
        <f>'AS400'!EZ58</f>
        <v>0</v>
      </c>
      <c r="FE58" s="7">
        <f>'AS400'!FA58</f>
        <v>0</v>
      </c>
      <c r="FF58" s="7">
        <f>'AS400'!FB58</f>
        <v>0</v>
      </c>
      <c r="FG58" s="7">
        <f>'AS400'!FC58</f>
        <v>0</v>
      </c>
      <c r="FH58" s="7">
        <f>'AS400'!FD58</f>
        <v>0</v>
      </c>
      <c r="FI58" s="7">
        <f>'AS400'!FE58</f>
        <v>0</v>
      </c>
      <c r="FJ58" s="7">
        <f>'AS400'!FF58</f>
        <v>0</v>
      </c>
      <c r="FK58" s="7">
        <f>'AS400'!FG58</f>
        <v>0</v>
      </c>
      <c r="FL58" s="7">
        <f>'AS400'!FH58</f>
        <v>0</v>
      </c>
      <c r="FM58" s="7">
        <f>'AS400'!FI58</f>
        <v>1</v>
      </c>
      <c r="FN58" s="7">
        <f>'AS400'!FJ58</f>
        <v>1</v>
      </c>
      <c r="FO58" s="7">
        <f>'AS400'!FO58</f>
        <v>0</v>
      </c>
      <c r="FP58" s="7">
        <f>'AS400'!FP58</f>
        <v>4</v>
      </c>
      <c r="FQ58" s="7">
        <f>'AS400'!FQ58</f>
        <v>1</v>
      </c>
      <c r="FR58" s="7">
        <f>'AS400'!FR58</f>
        <v>1</v>
      </c>
      <c r="FS58" s="13">
        <f>'AS400'!FO58</f>
        <v>0</v>
      </c>
    </row>
    <row r="59" spans="1:175">
      <c r="A59" s="7">
        <f>'AS400'!A59</f>
        <v>53</v>
      </c>
      <c r="B59" s="7">
        <f>'AS400'!B59</f>
        <v>20190301</v>
      </c>
      <c r="C59" s="7">
        <f>'AS400'!C59</f>
        <v>0</v>
      </c>
      <c r="D59" s="7" t="str">
        <f>'AS400'!D59</f>
        <v>N</v>
      </c>
      <c r="E59" s="7" t="str">
        <f>'AS400'!E59</f>
        <v>N</v>
      </c>
      <c r="F59" s="7" t="str">
        <f>'AS400'!F59</f>
        <v>Y</v>
      </c>
      <c r="G59" s="7">
        <f>'AS400'!G59</f>
        <v>0</v>
      </c>
      <c r="H59" s="14"/>
      <c r="I59" s="7" t="str">
        <f>'AS400'!I59</f>
        <v>RSA</v>
      </c>
      <c r="J59" s="7" t="str">
        <f>'AS400'!J59</f>
        <v>METR</v>
      </c>
      <c r="K59" s="7" t="str">
        <f>'AS400'!K59</f>
        <v>N</v>
      </c>
      <c r="L59" s="7">
        <f>'AS400'!L59</f>
        <v>4</v>
      </c>
      <c r="M59" s="8">
        <f>'AS400'!M59</f>
        <v>1</v>
      </c>
      <c r="N59" s="7">
        <f>'AS400'!N59</f>
        <v>1</v>
      </c>
      <c r="O59" s="7" t="str">
        <f>'AS400'!O59</f>
        <v>MFEF</v>
      </c>
      <c r="P59" s="7">
        <f>'AS400'!P59</f>
        <v>100</v>
      </c>
      <c r="Q59" s="7">
        <f>'AS400'!Q59</f>
        <v>20180301</v>
      </c>
      <c r="R59" s="7">
        <f>'AS400'!R59</f>
        <v>20180301</v>
      </c>
      <c r="S59" s="7" t="str">
        <f>'AS400'!S59</f>
        <v>M</v>
      </c>
      <c r="T59" s="7" t="str">
        <f>'AS400'!T59</f>
        <v>MK</v>
      </c>
      <c r="U59" s="7">
        <f>'AS400'!U59</f>
        <v>20190301</v>
      </c>
      <c r="V59" s="7">
        <f>'AS400'!V59</f>
        <v>10</v>
      </c>
      <c r="W59" s="7">
        <f>'AS400'!W59</f>
        <v>10</v>
      </c>
      <c r="X59" s="7" t="str">
        <f>'AS400'!X59</f>
        <v>MFIX</v>
      </c>
      <c r="Y59" s="7">
        <f>'AS400'!Y59</f>
        <v>0</v>
      </c>
      <c r="Z59" s="7" t="str">
        <f>'AS400'!Z59</f>
        <v>STLV</v>
      </c>
      <c r="AA59" s="7">
        <f>'AS400'!AA59</f>
        <v>818</v>
      </c>
      <c r="AB59" s="7">
        <f>'AS400'!AB59</f>
        <v>0</v>
      </c>
      <c r="AC59" s="7">
        <f>'AS400'!AC59</f>
        <v>12</v>
      </c>
      <c r="AD59" s="7">
        <f>'AS400'!AD59</f>
        <v>20180201</v>
      </c>
      <c r="AE59" s="7">
        <f>'AS400'!AE59</f>
        <v>0</v>
      </c>
      <c r="AF59" s="7">
        <f>'AS400'!AF59</f>
        <v>50000</v>
      </c>
      <c r="AG59" s="7">
        <f>'AS400'!AG59</f>
        <v>165</v>
      </c>
      <c r="AI59" s="7">
        <f>'AS400'!AH59</f>
        <v>32</v>
      </c>
      <c r="AJ59" s="7">
        <f>'AS400'!AI59</f>
        <v>0</v>
      </c>
      <c r="AK59" s="7">
        <f>'AS400'!AJ59</f>
        <v>0</v>
      </c>
      <c r="AL59" s="7">
        <f>'AS400'!AK59</f>
        <v>0</v>
      </c>
      <c r="AM59" s="7">
        <f>'AS400'!AL59</f>
        <v>0</v>
      </c>
      <c r="AN59" s="7">
        <f>'AS400'!AM59</f>
        <v>0</v>
      </c>
      <c r="AO59" s="7">
        <f>'AS400'!AN59</f>
        <v>0</v>
      </c>
      <c r="AP59" s="7">
        <f>'AS400'!AO59</f>
        <v>0</v>
      </c>
      <c r="AQ59" s="7">
        <f>'AS400'!AP59</f>
        <v>0</v>
      </c>
      <c r="AR59" s="7">
        <f>'AS400'!AQ59</f>
        <v>0</v>
      </c>
      <c r="AS59" s="7">
        <f>'AS400'!AR59</f>
        <v>0</v>
      </c>
      <c r="AT59" s="7">
        <f>'AS400'!AS59</f>
        <v>0</v>
      </c>
      <c r="AU59" s="7">
        <f>'AS400'!AT59</f>
        <v>0</v>
      </c>
      <c r="AV59" s="7">
        <f>'AS400'!AU59</f>
        <v>0</v>
      </c>
      <c r="AW59" s="7">
        <f>'AS400'!AV59</f>
        <v>0</v>
      </c>
      <c r="AX59" s="7">
        <f>'AS400'!AW59</f>
        <v>0</v>
      </c>
      <c r="AY59" s="7">
        <f>'AS400'!AX59</f>
        <v>0</v>
      </c>
      <c r="AZ59" s="8">
        <f>'AS400'!AY59</f>
        <v>1</v>
      </c>
      <c r="BA59" s="7">
        <f>'AS400'!AZ59</f>
        <v>2</v>
      </c>
      <c r="BB59" s="7" t="str">
        <f>'AS400'!BA59</f>
        <v>PURO</v>
      </c>
      <c r="BC59" s="7">
        <f>'AS400'!BB59</f>
        <v>100</v>
      </c>
      <c r="BD59" s="7">
        <f>'AS400'!BC59</f>
        <v>20180301</v>
      </c>
      <c r="BE59" s="7">
        <f>'AS400'!BD59</f>
        <v>20180301</v>
      </c>
      <c r="BF59" s="7" t="str">
        <f>'AS400'!BE59</f>
        <v>S</v>
      </c>
      <c r="BG59" s="7" t="str">
        <f>'AS400'!BF59</f>
        <v>ME</v>
      </c>
      <c r="BH59" s="7">
        <f>'AS400'!BG59</f>
        <v>20180301</v>
      </c>
      <c r="BI59" s="7">
        <f>'AS400'!BH59</f>
        <v>0</v>
      </c>
      <c r="BJ59" s="7">
        <f>'AS400'!BI59</f>
        <v>0</v>
      </c>
      <c r="BK59" s="7">
        <f>'AS400'!BJ59</f>
        <v>0</v>
      </c>
      <c r="BL59" s="7">
        <f>'AS400'!BK59</f>
        <v>0</v>
      </c>
      <c r="BM59" s="7" t="str">
        <f>'AS400'!BL59</f>
        <v>STLV</v>
      </c>
      <c r="BN59" s="7">
        <f>'AS400'!BM59</f>
        <v>818</v>
      </c>
      <c r="BO59" s="7">
        <f>'AS400'!BN59</f>
        <v>0</v>
      </c>
      <c r="BP59" s="7">
        <f>'AS400'!BO59</f>
        <v>12</v>
      </c>
      <c r="BQ59" s="7">
        <f>'AS400'!BP59</f>
        <v>20180201</v>
      </c>
      <c r="BR59" s="7">
        <f>'AS400'!BQ59</f>
        <v>0</v>
      </c>
      <c r="BS59" s="7">
        <f>'AS400'!BR59</f>
        <v>0</v>
      </c>
      <c r="BT59" s="7">
        <f>'AS400'!BS59</f>
        <v>38</v>
      </c>
      <c r="BV59" s="7">
        <f>'AS400'!BT59</f>
        <v>32</v>
      </c>
      <c r="BW59" s="7">
        <f>'AS400'!BU59</f>
        <v>0</v>
      </c>
      <c r="BX59" s="7">
        <f>'AS400'!BV59</f>
        <v>0</v>
      </c>
      <c r="BY59" s="7">
        <f>'AS400'!BW59</f>
        <v>0</v>
      </c>
      <c r="BZ59" s="7">
        <f>'AS400'!BX59</f>
        <v>0</v>
      </c>
      <c r="CA59" s="7">
        <f>'AS400'!BY59</f>
        <v>0</v>
      </c>
      <c r="CB59" s="7">
        <f>'AS400'!BZ59</f>
        <v>0</v>
      </c>
      <c r="CC59" s="7">
        <f>'AS400'!CA59</f>
        <v>0</v>
      </c>
      <c r="CD59" s="7">
        <f>'AS400'!CB59</f>
        <v>0</v>
      </c>
      <c r="CE59" s="7">
        <f>'AS400'!CC59</f>
        <v>0</v>
      </c>
      <c r="CF59" s="7">
        <f>'AS400'!CD59</f>
        <v>0</v>
      </c>
      <c r="CG59" s="7">
        <f>'AS400'!CE59</f>
        <v>0</v>
      </c>
      <c r="CH59" s="7">
        <f>'AS400'!CF59</f>
        <v>0</v>
      </c>
      <c r="CI59" s="7">
        <f>'AS400'!CG59</f>
        <v>0</v>
      </c>
      <c r="CJ59" s="7">
        <f>'AS400'!CH59</f>
        <v>0</v>
      </c>
      <c r="CK59" s="7">
        <f>'AS400'!CI59</f>
        <v>0</v>
      </c>
      <c r="CL59" s="7">
        <f>'AS400'!CJ59</f>
        <v>0</v>
      </c>
      <c r="CM59" s="8">
        <f>'AS400'!CK59</f>
        <v>1</v>
      </c>
      <c r="CN59" s="7">
        <f>'AS400'!CL59</f>
        <v>3</v>
      </c>
      <c r="CO59" s="7" t="str">
        <f>'AS400'!CM59</f>
        <v>PUDT</v>
      </c>
      <c r="CP59" s="7">
        <f>'AS400'!CN59</f>
        <v>100</v>
      </c>
      <c r="CQ59" s="7">
        <f>'AS400'!CO59</f>
        <v>20180301</v>
      </c>
      <c r="CR59" s="7">
        <f>'AS400'!CP59</f>
        <v>20180301</v>
      </c>
      <c r="CS59" s="7" t="str">
        <f>'AS400'!CQ59</f>
        <v>S</v>
      </c>
      <c r="CT59" s="7" t="str">
        <f>'AS400'!CR59</f>
        <v>MT</v>
      </c>
      <c r="CU59" s="7">
        <f>'AS400'!CS59</f>
        <v>20180301</v>
      </c>
      <c r="CV59" s="7">
        <f>'AS400'!CT59</f>
        <v>0</v>
      </c>
      <c r="CW59" s="7">
        <f>'AS400'!CU59</f>
        <v>0</v>
      </c>
      <c r="CX59" s="7">
        <f>'AS400'!CV59</f>
        <v>0</v>
      </c>
      <c r="CY59" s="7">
        <f>'AS400'!CW59</f>
        <v>0</v>
      </c>
      <c r="CZ59" s="7" t="str">
        <f>'AS400'!CX59</f>
        <v>STLV</v>
      </c>
      <c r="DA59" s="7">
        <f>'AS400'!CY59</f>
        <v>818</v>
      </c>
      <c r="DB59" s="7">
        <f>'AS400'!CZ59</f>
        <v>0</v>
      </c>
      <c r="DC59" s="7">
        <f>'AS400'!DA59</f>
        <v>12</v>
      </c>
      <c r="DD59" s="7">
        <f>'AS400'!DB59</f>
        <v>20180201</v>
      </c>
      <c r="DE59" s="7">
        <f>'AS400'!DC59</f>
        <v>0</v>
      </c>
      <c r="DF59" s="7">
        <f>'AS400'!DD59</f>
        <v>0</v>
      </c>
      <c r="DG59" s="7">
        <f>'AS400'!DE59</f>
        <v>44</v>
      </c>
      <c r="DI59" s="7">
        <f>'AS400'!DF59</f>
        <v>32</v>
      </c>
      <c r="DJ59" s="7">
        <f>'AS400'!DG59</f>
        <v>0</v>
      </c>
      <c r="DK59" s="7">
        <f>'AS400'!DH59</f>
        <v>0</v>
      </c>
      <c r="DL59" s="7">
        <f>'AS400'!DI59</f>
        <v>0</v>
      </c>
      <c r="DM59" s="7">
        <f>'AS400'!DJ59</f>
        <v>0</v>
      </c>
      <c r="DN59" s="7">
        <f>'AS400'!DK59</f>
        <v>0</v>
      </c>
      <c r="DO59" s="7">
        <f>'AS400'!DL59</f>
        <v>0</v>
      </c>
      <c r="DP59" s="7">
        <f>'AS400'!DM59</f>
        <v>0</v>
      </c>
      <c r="DQ59" s="7">
        <f>'AS400'!DN59</f>
        <v>0</v>
      </c>
      <c r="DR59" s="7">
        <f>'AS400'!DO59</f>
        <v>0</v>
      </c>
      <c r="DS59" s="7">
        <f>'AS400'!DP59</f>
        <v>0</v>
      </c>
      <c r="DT59" s="7">
        <f>'AS400'!DQ59</f>
        <v>0</v>
      </c>
      <c r="DU59" s="7">
        <f>'AS400'!DR59</f>
        <v>0</v>
      </c>
      <c r="DV59" s="7">
        <f>'AS400'!DS59</f>
        <v>0</v>
      </c>
      <c r="DW59" s="7">
        <f>'AS400'!DT59</f>
        <v>0</v>
      </c>
      <c r="DX59" s="7">
        <f>'AS400'!DU59</f>
        <v>0</v>
      </c>
      <c r="DY59" s="7">
        <f>'AS400'!DV59</f>
        <v>0</v>
      </c>
      <c r="DZ59" s="8">
        <f>'AS400'!DW59</f>
        <v>1</v>
      </c>
      <c r="EA59" s="7">
        <f>'AS400'!DX59</f>
        <v>4</v>
      </c>
      <c r="EB59" s="7" t="str">
        <f>'AS400'!DY59</f>
        <v>PUDS</v>
      </c>
      <c r="EC59" s="7">
        <f>'AS400'!DZ59</f>
        <v>100</v>
      </c>
      <c r="ED59" s="7">
        <f>'AS400'!EA59</f>
        <v>20180301</v>
      </c>
      <c r="EE59" s="7">
        <f>'AS400'!EB59</f>
        <v>20180301</v>
      </c>
      <c r="EF59" s="7" t="str">
        <f>'AS400'!EC59</f>
        <v>S</v>
      </c>
      <c r="EG59" s="7" t="str">
        <f>'AS400'!ED59</f>
        <v>MS</v>
      </c>
      <c r="EH59" s="7">
        <f>'AS400'!EE59</f>
        <v>20180301</v>
      </c>
      <c r="EI59" s="7">
        <f>'AS400'!EF59</f>
        <v>0</v>
      </c>
      <c r="EJ59" s="7">
        <f>'AS400'!EG59</f>
        <v>0</v>
      </c>
      <c r="EK59" s="7">
        <f>'AS400'!EH59</f>
        <v>0</v>
      </c>
      <c r="EL59" s="7">
        <f>'AS400'!EI59</f>
        <v>0</v>
      </c>
      <c r="EM59" s="7" t="str">
        <f>'AS400'!EJ59</f>
        <v>STLV</v>
      </c>
      <c r="EN59" s="7">
        <f>'AS400'!EK59</f>
        <v>818</v>
      </c>
      <c r="EO59" s="7">
        <f>'AS400'!EL59</f>
        <v>0</v>
      </c>
      <c r="EP59" s="7">
        <f>'AS400'!EM59</f>
        <v>12</v>
      </c>
      <c r="EQ59" s="7">
        <f>'AS400'!EN59</f>
        <v>20180201</v>
      </c>
      <c r="ER59" s="7">
        <f>'AS400'!EO59</f>
        <v>0</v>
      </c>
      <c r="ES59" s="7">
        <f>'AS400'!EP59</f>
        <v>0</v>
      </c>
      <c r="ET59" s="7">
        <f>'AS400'!EQ59</f>
        <v>17</v>
      </c>
      <c r="EV59" s="7">
        <f>'AS400'!ER59</f>
        <v>32</v>
      </c>
      <c r="EW59" s="7">
        <f>'AS400'!ES59</f>
        <v>0</v>
      </c>
      <c r="EX59" s="7">
        <f>'AS400'!ET59</f>
        <v>0</v>
      </c>
      <c r="EY59" s="7">
        <f>'AS400'!EU59</f>
        <v>0</v>
      </c>
      <c r="EZ59" s="7">
        <f>'AS400'!EV59</f>
        <v>0</v>
      </c>
      <c r="FA59" s="7">
        <f>'AS400'!EW59</f>
        <v>0</v>
      </c>
      <c r="FB59" s="7">
        <f>'AS400'!EX59</f>
        <v>0</v>
      </c>
      <c r="FC59" s="7">
        <f>'AS400'!EY59</f>
        <v>0</v>
      </c>
      <c r="FD59" s="7">
        <f>'AS400'!EZ59</f>
        <v>0</v>
      </c>
      <c r="FE59" s="7">
        <f>'AS400'!FA59</f>
        <v>0</v>
      </c>
      <c r="FF59" s="7">
        <f>'AS400'!FB59</f>
        <v>0</v>
      </c>
      <c r="FG59" s="7">
        <f>'AS400'!FC59</f>
        <v>0</v>
      </c>
      <c r="FH59" s="7">
        <f>'AS400'!FD59</f>
        <v>0</v>
      </c>
      <c r="FI59" s="7">
        <f>'AS400'!FE59</f>
        <v>0</v>
      </c>
      <c r="FJ59" s="7">
        <f>'AS400'!FF59</f>
        <v>0</v>
      </c>
      <c r="FK59" s="7">
        <f>'AS400'!FG59</f>
        <v>0</v>
      </c>
      <c r="FL59" s="7">
        <f>'AS400'!FH59</f>
        <v>0</v>
      </c>
      <c r="FM59" s="7">
        <f>'AS400'!FI59</f>
        <v>1</v>
      </c>
      <c r="FN59" s="7">
        <f>'AS400'!FJ59</f>
        <v>1</v>
      </c>
      <c r="FO59" s="7">
        <f>'AS400'!FO59</f>
        <v>0</v>
      </c>
      <c r="FP59" s="7">
        <f>'AS400'!FP59</f>
        <v>4</v>
      </c>
      <c r="FQ59" s="7">
        <f>'AS400'!FQ59</f>
        <v>1</v>
      </c>
      <c r="FR59" s="7">
        <f>'AS400'!FR59</f>
        <v>1</v>
      </c>
      <c r="FS59" s="13">
        <f>'AS400'!FO59</f>
        <v>0</v>
      </c>
    </row>
    <row r="60" spans="1:175">
      <c r="A60" s="7">
        <f>'AS400'!A60</f>
        <v>54</v>
      </c>
      <c r="B60" s="7">
        <f>'AS400'!B60</f>
        <v>20190301</v>
      </c>
      <c r="C60" s="7">
        <f>'AS400'!C60</f>
        <v>0</v>
      </c>
      <c r="D60" s="7" t="str">
        <f>'AS400'!D60</f>
        <v>N</v>
      </c>
      <c r="E60" s="7" t="str">
        <f>'AS400'!E60</f>
        <v>N</v>
      </c>
      <c r="F60" s="7" t="str">
        <f>'AS400'!F60</f>
        <v>Y</v>
      </c>
      <c r="G60" s="7">
        <f>'AS400'!G60</f>
        <v>0</v>
      </c>
      <c r="H60" s="14"/>
      <c r="I60" s="7" t="str">
        <f>'AS400'!I60</f>
        <v>RSA</v>
      </c>
      <c r="J60" s="7" t="str">
        <f>'AS400'!J60</f>
        <v>METR</v>
      </c>
      <c r="K60" s="7" t="str">
        <f>'AS400'!K60</f>
        <v>N</v>
      </c>
      <c r="L60" s="7">
        <f>'AS400'!L60</f>
        <v>4</v>
      </c>
      <c r="M60" s="8">
        <f>'AS400'!M60</f>
        <v>1</v>
      </c>
      <c r="N60" s="7">
        <f>'AS400'!N60</f>
        <v>1</v>
      </c>
      <c r="O60" s="7" t="str">
        <f>'AS400'!O60</f>
        <v>MFEF</v>
      </c>
      <c r="P60" s="7">
        <f>'AS400'!P60</f>
        <v>100</v>
      </c>
      <c r="Q60" s="7">
        <f>'AS400'!Q60</f>
        <v>20180301</v>
      </c>
      <c r="R60" s="7">
        <f>'AS400'!R60</f>
        <v>20180301</v>
      </c>
      <c r="S60" s="7" t="str">
        <f>'AS400'!S60</f>
        <v>M</v>
      </c>
      <c r="T60" s="7" t="str">
        <f>'AS400'!T60</f>
        <v>MK</v>
      </c>
      <c r="U60" s="7">
        <f>'AS400'!U60</f>
        <v>20190301</v>
      </c>
      <c r="V60" s="7">
        <f>'AS400'!V60</f>
        <v>6</v>
      </c>
      <c r="W60" s="7">
        <f>'AS400'!W60</f>
        <v>6</v>
      </c>
      <c r="X60" s="7" t="str">
        <f>'AS400'!X60</f>
        <v>MFIX</v>
      </c>
      <c r="Y60" s="7">
        <f>'AS400'!Y60</f>
        <v>0</v>
      </c>
      <c r="Z60" s="7" t="str">
        <f>'AS400'!Z60</f>
        <v>STLV</v>
      </c>
      <c r="AA60" s="7">
        <f>'AS400'!AA60</f>
        <v>818</v>
      </c>
      <c r="AB60" s="7">
        <f>'AS400'!AB60</f>
        <v>0</v>
      </c>
      <c r="AC60" s="7">
        <f>'AS400'!AC60</f>
        <v>12</v>
      </c>
      <c r="AD60" s="7">
        <f>'AS400'!AD60</f>
        <v>20180201</v>
      </c>
      <c r="AE60" s="7">
        <f>'AS400'!AE60</f>
        <v>0</v>
      </c>
      <c r="AF60" s="7">
        <f>'AS400'!AF60</f>
        <v>45000</v>
      </c>
      <c r="AG60" s="7">
        <f>'AS400'!AG60</f>
        <v>154</v>
      </c>
      <c r="AI60" s="7">
        <f>'AS400'!AH60</f>
        <v>31</v>
      </c>
      <c r="AJ60" s="7">
        <f>'AS400'!AI60</f>
        <v>0</v>
      </c>
      <c r="AK60" s="7">
        <f>'AS400'!AJ60</f>
        <v>0</v>
      </c>
      <c r="AL60" s="7">
        <f>'AS400'!AK60</f>
        <v>0</v>
      </c>
      <c r="AM60" s="7">
        <f>'AS400'!AL60</f>
        <v>0</v>
      </c>
      <c r="AN60" s="7">
        <f>'AS400'!AM60</f>
        <v>0</v>
      </c>
      <c r="AO60" s="7">
        <f>'AS400'!AN60</f>
        <v>0</v>
      </c>
      <c r="AP60" s="7">
        <f>'AS400'!AO60</f>
        <v>0</v>
      </c>
      <c r="AQ60" s="7">
        <f>'AS400'!AP60</f>
        <v>0</v>
      </c>
      <c r="AR60" s="7">
        <f>'AS400'!AQ60</f>
        <v>0</v>
      </c>
      <c r="AS60" s="7">
        <f>'AS400'!AR60</f>
        <v>0</v>
      </c>
      <c r="AT60" s="7">
        <f>'AS400'!AS60</f>
        <v>0</v>
      </c>
      <c r="AU60" s="7">
        <f>'AS400'!AT60</f>
        <v>0</v>
      </c>
      <c r="AV60" s="7">
        <f>'AS400'!AU60</f>
        <v>0</v>
      </c>
      <c r="AW60" s="7">
        <f>'AS400'!AV60</f>
        <v>0</v>
      </c>
      <c r="AX60" s="7">
        <f>'AS400'!AW60</f>
        <v>0</v>
      </c>
      <c r="AY60" s="7">
        <f>'AS400'!AX60</f>
        <v>0</v>
      </c>
      <c r="AZ60" s="8">
        <f>'AS400'!AY60</f>
        <v>1</v>
      </c>
      <c r="BA60" s="7">
        <f>'AS400'!AZ60</f>
        <v>2</v>
      </c>
      <c r="BB60" s="7" t="str">
        <f>'AS400'!BA60</f>
        <v>PURO</v>
      </c>
      <c r="BC60" s="7">
        <f>'AS400'!BB60</f>
        <v>100</v>
      </c>
      <c r="BD60" s="7">
        <f>'AS400'!BC60</f>
        <v>20180301</v>
      </c>
      <c r="BE60" s="7">
        <f>'AS400'!BD60</f>
        <v>20180301</v>
      </c>
      <c r="BF60" s="7" t="str">
        <f>'AS400'!BE60</f>
        <v>S</v>
      </c>
      <c r="BG60" s="7" t="str">
        <f>'AS400'!BF60</f>
        <v>ME</v>
      </c>
      <c r="BH60" s="7">
        <f>'AS400'!BG60</f>
        <v>20180301</v>
      </c>
      <c r="BI60" s="7">
        <f>'AS400'!BH60</f>
        <v>0</v>
      </c>
      <c r="BJ60" s="7">
        <f>'AS400'!BI60</f>
        <v>0</v>
      </c>
      <c r="BK60" s="7">
        <f>'AS400'!BJ60</f>
        <v>0</v>
      </c>
      <c r="BL60" s="7">
        <f>'AS400'!BK60</f>
        <v>0</v>
      </c>
      <c r="BM60" s="7" t="str">
        <f>'AS400'!BL60</f>
        <v>STLV</v>
      </c>
      <c r="BN60" s="7">
        <f>'AS400'!BM60</f>
        <v>818</v>
      </c>
      <c r="BO60" s="7">
        <f>'AS400'!BN60</f>
        <v>0</v>
      </c>
      <c r="BP60" s="7">
        <f>'AS400'!BO60</f>
        <v>12</v>
      </c>
      <c r="BQ60" s="7">
        <f>'AS400'!BP60</f>
        <v>20180201</v>
      </c>
      <c r="BR60" s="7">
        <f>'AS400'!BQ60</f>
        <v>0</v>
      </c>
      <c r="BS60" s="7">
        <f>'AS400'!BR60</f>
        <v>0</v>
      </c>
      <c r="BT60" s="7">
        <f>'AS400'!BS60</f>
        <v>36</v>
      </c>
      <c r="BV60" s="7">
        <f>'AS400'!BT60</f>
        <v>31</v>
      </c>
      <c r="BW60" s="7">
        <f>'AS400'!BU60</f>
        <v>0</v>
      </c>
      <c r="BX60" s="7">
        <f>'AS400'!BV60</f>
        <v>0</v>
      </c>
      <c r="BY60" s="7">
        <f>'AS400'!BW60</f>
        <v>0</v>
      </c>
      <c r="BZ60" s="7">
        <f>'AS400'!BX60</f>
        <v>0</v>
      </c>
      <c r="CA60" s="7">
        <f>'AS400'!BY60</f>
        <v>0</v>
      </c>
      <c r="CB60" s="7">
        <f>'AS400'!BZ60</f>
        <v>0</v>
      </c>
      <c r="CC60" s="7">
        <f>'AS400'!CA60</f>
        <v>0</v>
      </c>
      <c r="CD60" s="7">
        <f>'AS400'!CB60</f>
        <v>0</v>
      </c>
      <c r="CE60" s="7">
        <f>'AS400'!CC60</f>
        <v>0</v>
      </c>
      <c r="CF60" s="7">
        <f>'AS400'!CD60</f>
        <v>0</v>
      </c>
      <c r="CG60" s="7">
        <f>'AS400'!CE60</f>
        <v>0</v>
      </c>
      <c r="CH60" s="7">
        <f>'AS400'!CF60</f>
        <v>0</v>
      </c>
      <c r="CI60" s="7">
        <f>'AS400'!CG60</f>
        <v>0</v>
      </c>
      <c r="CJ60" s="7">
        <f>'AS400'!CH60</f>
        <v>0</v>
      </c>
      <c r="CK60" s="7">
        <f>'AS400'!CI60</f>
        <v>0</v>
      </c>
      <c r="CL60" s="7">
        <f>'AS400'!CJ60</f>
        <v>0</v>
      </c>
      <c r="CM60" s="8">
        <f>'AS400'!CK60</f>
        <v>1</v>
      </c>
      <c r="CN60" s="7">
        <f>'AS400'!CL60</f>
        <v>3</v>
      </c>
      <c r="CO60" s="7" t="str">
        <f>'AS400'!CM60</f>
        <v>PUDT</v>
      </c>
      <c r="CP60" s="7">
        <f>'AS400'!CN60</f>
        <v>100</v>
      </c>
      <c r="CQ60" s="7">
        <f>'AS400'!CO60</f>
        <v>20180301</v>
      </c>
      <c r="CR60" s="7">
        <f>'AS400'!CP60</f>
        <v>20180301</v>
      </c>
      <c r="CS60" s="7" t="str">
        <f>'AS400'!CQ60</f>
        <v>S</v>
      </c>
      <c r="CT60" s="7" t="str">
        <f>'AS400'!CR60</f>
        <v>MT</v>
      </c>
      <c r="CU60" s="7">
        <f>'AS400'!CS60</f>
        <v>20180301</v>
      </c>
      <c r="CV60" s="7">
        <f>'AS400'!CT60</f>
        <v>0</v>
      </c>
      <c r="CW60" s="7">
        <f>'AS400'!CU60</f>
        <v>0</v>
      </c>
      <c r="CX60" s="7">
        <f>'AS400'!CV60</f>
        <v>0</v>
      </c>
      <c r="CY60" s="7">
        <f>'AS400'!CW60</f>
        <v>0</v>
      </c>
      <c r="CZ60" s="7" t="str">
        <f>'AS400'!CX60</f>
        <v>STLV</v>
      </c>
      <c r="DA60" s="7">
        <f>'AS400'!CY60</f>
        <v>818</v>
      </c>
      <c r="DB60" s="7">
        <f>'AS400'!CZ60</f>
        <v>0</v>
      </c>
      <c r="DC60" s="7">
        <f>'AS400'!DA60</f>
        <v>12</v>
      </c>
      <c r="DD60" s="7">
        <f>'AS400'!DB60</f>
        <v>20180201</v>
      </c>
      <c r="DE60" s="7">
        <f>'AS400'!DC60</f>
        <v>0</v>
      </c>
      <c r="DF60" s="7">
        <f>'AS400'!DD60</f>
        <v>0</v>
      </c>
      <c r="DG60" s="7">
        <f>'AS400'!DE60</f>
        <v>42</v>
      </c>
      <c r="DI60" s="7">
        <f>'AS400'!DF60</f>
        <v>31</v>
      </c>
      <c r="DJ60" s="7">
        <f>'AS400'!DG60</f>
        <v>0</v>
      </c>
      <c r="DK60" s="7">
        <f>'AS400'!DH60</f>
        <v>0</v>
      </c>
      <c r="DL60" s="7">
        <f>'AS400'!DI60</f>
        <v>0</v>
      </c>
      <c r="DM60" s="7">
        <f>'AS400'!DJ60</f>
        <v>0</v>
      </c>
      <c r="DN60" s="7">
        <f>'AS400'!DK60</f>
        <v>0</v>
      </c>
      <c r="DO60" s="7">
        <f>'AS400'!DL60</f>
        <v>0</v>
      </c>
      <c r="DP60" s="7">
        <f>'AS400'!DM60</f>
        <v>0</v>
      </c>
      <c r="DQ60" s="7">
        <f>'AS400'!DN60</f>
        <v>0</v>
      </c>
      <c r="DR60" s="7">
        <f>'AS400'!DO60</f>
        <v>0</v>
      </c>
      <c r="DS60" s="7">
        <f>'AS400'!DP60</f>
        <v>0</v>
      </c>
      <c r="DT60" s="7">
        <f>'AS400'!DQ60</f>
        <v>0</v>
      </c>
      <c r="DU60" s="7">
        <f>'AS400'!DR60</f>
        <v>0</v>
      </c>
      <c r="DV60" s="7">
        <f>'AS400'!DS60</f>
        <v>0</v>
      </c>
      <c r="DW60" s="7">
        <f>'AS400'!DT60</f>
        <v>0</v>
      </c>
      <c r="DX60" s="7">
        <f>'AS400'!DU60</f>
        <v>0</v>
      </c>
      <c r="DY60" s="7">
        <f>'AS400'!DV60</f>
        <v>0</v>
      </c>
      <c r="DZ60" s="8">
        <f>'AS400'!DW60</f>
        <v>1</v>
      </c>
      <c r="EA60" s="7">
        <f>'AS400'!DX60</f>
        <v>4</v>
      </c>
      <c r="EB60" s="7" t="str">
        <f>'AS400'!DY60</f>
        <v>PUDS</v>
      </c>
      <c r="EC60" s="7">
        <f>'AS400'!DZ60</f>
        <v>100</v>
      </c>
      <c r="ED60" s="7">
        <f>'AS400'!EA60</f>
        <v>20180301</v>
      </c>
      <c r="EE60" s="7">
        <f>'AS400'!EB60</f>
        <v>20180301</v>
      </c>
      <c r="EF60" s="7" t="str">
        <f>'AS400'!EC60</f>
        <v>S</v>
      </c>
      <c r="EG60" s="7" t="str">
        <f>'AS400'!ED60</f>
        <v>MS</v>
      </c>
      <c r="EH60" s="7">
        <f>'AS400'!EE60</f>
        <v>20180301</v>
      </c>
      <c r="EI60" s="7">
        <f>'AS400'!EF60</f>
        <v>0</v>
      </c>
      <c r="EJ60" s="7">
        <f>'AS400'!EG60</f>
        <v>0</v>
      </c>
      <c r="EK60" s="7">
        <f>'AS400'!EH60</f>
        <v>0</v>
      </c>
      <c r="EL60" s="7">
        <f>'AS400'!EI60</f>
        <v>0</v>
      </c>
      <c r="EM60" s="7" t="str">
        <f>'AS400'!EJ60</f>
        <v>STLV</v>
      </c>
      <c r="EN60" s="7">
        <f>'AS400'!EK60</f>
        <v>818</v>
      </c>
      <c r="EO60" s="7">
        <f>'AS400'!EL60</f>
        <v>0</v>
      </c>
      <c r="EP60" s="7">
        <f>'AS400'!EM60</f>
        <v>12</v>
      </c>
      <c r="EQ60" s="7">
        <f>'AS400'!EN60</f>
        <v>20180201</v>
      </c>
      <c r="ER60" s="7">
        <f>'AS400'!EO60</f>
        <v>0</v>
      </c>
      <c r="ES60" s="7">
        <f>'AS400'!EP60</f>
        <v>0</v>
      </c>
      <c r="ET60" s="7">
        <f>'AS400'!EQ60</f>
        <v>16</v>
      </c>
      <c r="EV60" s="7">
        <f>'AS400'!ER60</f>
        <v>31</v>
      </c>
      <c r="EW60" s="7">
        <f>'AS400'!ES60</f>
        <v>0</v>
      </c>
      <c r="EX60" s="7">
        <f>'AS400'!ET60</f>
        <v>0</v>
      </c>
      <c r="EY60" s="7">
        <f>'AS400'!EU60</f>
        <v>0</v>
      </c>
      <c r="EZ60" s="7">
        <f>'AS400'!EV60</f>
        <v>0</v>
      </c>
      <c r="FA60" s="7">
        <f>'AS400'!EW60</f>
        <v>0</v>
      </c>
      <c r="FB60" s="7">
        <f>'AS400'!EX60</f>
        <v>0</v>
      </c>
      <c r="FC60" s="7">
        <f>'AS400'!EY60</f>
        <v>0</v>
      </c>
      <c r="FD60" s="7">
        <f>'AS400'!EZ60</f>
        <v>0</v>
      </c>
      <c r="FE60" s="7">
        <f>'AS400'!FA60</f>
        <v>0</v>
      </c>
      <c r="FF60" s="7">
        <f>'AS400'!FB60</f>
        <v>0</v>
      </c>
      <c r="FG60" s="7">
        <f>'AS400'!FC60</f>
        <v>0</v>
      </c>
      <c r="FH60" s="7">
        <f>'AS400'!FD60</f>
        <v>0</v>
      </c>
      <c r="FI60" s="7">
        <f>'AS400'!FE60</f>
        <v>0</v>
      </c>
      <c r="FJ60" s="7">
        <f>'AS400'!FF60</f>
        <v>0</v>
      </c>
      <c r="FK60" s="7">
        <f>'AS400'!FG60</f>
        <v>0</v>
      </c>
      <c r="FL60" s="7">
        <f>'AS400'!FH60</f>
        <v>0</v>
      </c>
      <c r="FM60" s="7">
        <f>'AS400'!FI60</f>
        <v>1</v>
      </c>
      <c r="FN60" s="7">
        <f>'AS400'!FJ60</f>
        <v>1</v>
      </c>
      <c r="FO60" s="7">
        <f>'AS400'!FO60</f>
        <v>0</v>
      </c>
      <c r="FP60" s="7">
        <f>'AS400'!FP60</f>
        <v>4</v>
      </c>
      <c r="FQ60" s="7">
        <f>'AS400'!FQ60</f>
        <v>1</v>
      </c>
      <c r="FR60" s="7">
        <f>'AS400'!FR60</f>
        <v>1</v>
      </c>
      <c r="FS60" s="13">
        <f>'AS400'!FO60</f>
        <v>0</v>
      </c>
    </row>
    <row r="61" spans="1:175">
      <c r="A61" s="7">
        <f>'AS400'!A61</f>
        <v>55</v>
      </c>
      <c r="B61" s="7">
        <f>'AS400'!B61</f>
        <v>20190301</v>
      </c>
      <c r="C61" s="7">
        <f>'AS400'!C61</f>
        <v>0</v>
      </c>
      <c r="D61" s="7" t="str">
        <f>'AS400'!D61</f>
        <v>N</v>
      </c>
      <c r="E61" s="7" t="str">
        <f>'AS400'!E61</f>
        <v>N</v>
      </c>
      <c r="F61" s="7" t="str">
        <f>'AS400'!F61</f>
        <v>Y</v>
      </c>
      <c r="G61" s="7">
        <f>'AS400'!G61</f>
        <v>0</v>
      </c>
      <c r="H61" s="14"/>
      <c r="I61" s="7" t="str">
        <f>'AS400'!I61</f>
        <v>RSA</v>
      </c>
      <c r="J61" s="7" t="str">
        <f>'AS400'!J61</f>
        <v>METR</v>
      </c>
      <c r="K61" s="7" t="str">
        <f>'AS400'!K61</f>
        <v>N</v>
      </c>
      <c r="L61" s="7">
        <f>'AS400'!L61</f>
        <v>4</v>
      </c>
      <c r="M61" s="8">
        <f>'AS400'!M61</f>
        <v>1</v>
      </c>
      <c r="N61" s="7">
        <f>'AS400'!N61</f>
        <v>1</v>
      </c>
      <c r="O61" s="7" t="str">
        <f>'AS400'!O61</f>
        <v>MFEF</v>
      </c>
      <c r="P61" s="7">
        <f>'AS400'!P61</f>
        <v>100</v>
      </c>
      <c r="Q61" s="7">
        <f>'AS400'!Q61</f>
        <v>20180301</v>
      </c>
      <c r="R61" s="7">
        <f>'AS400'!R61</f>
        <v>20180301</v>
      </c>
      <c r="S61" s="7" t="str">
        <f>'AS400'!S61</f>
        <v>M</v>
      </c>
      <c r="T61" s="7" t="str">
        <f>'AS400'!T61</f>
        <v>MK</v>
      </c>
      <c r="U61" s="7">
        <f>'AS400'!U61</f>
        <v>20190301</v>
      </c>
      <c r="V61" s="7">
        <f>'AS400'!V61</f>
        <v>6</v>
      </c>
      <c r="W61" s="7">
        <f>'AS400'!W61</f>
        <v>6</v>
      </c>
      <c r="X61" s="7" t="str">
        <f>'AS400'!X61</f>
        <v>MFIX</v>
      </c>
      <c r="Y61" s="7">
        <f>'AS400'!Y61</f>
        <v>0</v>
      </c>
      <c r="Z61" s="7" t="str">
        <f>'AS400'!Z61</f>
        <v>STLV</v>
      </c>
      <c r="AA61" s="7">
        <f>'AS400'!AA61</f>
        <v>818</v>
      </c>
      <c r="AB61" s="7">
        <f>'AS400'!AB61</f>
        <v>0</v>
      </c>
      <c r="AC61" s="7">
        <f>'AS400'!AC61</f>
        <v>12</v>
      </c>
      <c r="AD61" s="7">
        <f>'AS400'!AD61</f>
        <v>20180201</v>
      </c>
      <c r="AE61" s="7">
        <f>'AS400'!AE61</f>
        <v>0</v>
      </c>
      <c r="AF61" s="7">
        <f>'AS400'!AF61</f>
        <v>40000</v>
      </c>
      <c r="AG61" s="7">
        <f>'AS400'!AG61</f>
        <v>142</v>
      </c>
      <c r="AI61" s="7">
        <f>'AS400'!AH61</f>
        <v>30</v>
      </c>
      <c r="AJ61" s="7">
        <f>'AS400'!AI61</f>
        <v>0</v>
      </c>
      <c r="AK61" s="7">
        <f>'AS400'!AJ61</f>
        <v>0</v>
      </c>
      <c r="AL61" s="7">
        <f>'AS400'!AK61</f>
        <v>0</v>
      </c>
      <c r="AM61" s="7">
        <f>'AS400'!AL61</f>
        <v>0</v>
      </c>
      <c r="AN61" s="7">
        <f>'AS400'!AM61</f>
        <v>0</v>
      </c>
      <c r="AO61" s="7">
        <f>'AS400'!AN61</f>
        <v>0</v>
      </c>
      <c r="AP61" s="7">
        <f>'AS400'!AO61</f>
        <v>0</v>
      </c>
      <c r="AQ61" s="7">
        <f>'AS400'!AP61</f>
        <v>0</v>
      </c>
      <c r="AR61" s="7">
        <f>'AS400'!AQ61</f>
        <v>0</v>
      </c>
      <c r="AS61" s="7">
        <f>'AS400'!AR61</f>
        <v>0</v>
      </c>
      <c r="AT61" s="7">
        <f>'AS400'!AS61</f>
        <v>0</v>
      </c>
      <c r="AU61" s="7">
        <f>'AS400'!AT61</f>
        <v>0</v>
      </c>
      <c r="AV61" s="7">
        <f>'AS400'!AU61</f>
        <v>0</v>
      </c>
      <c r="AW61" s="7">
        <f>'AS400'!AV61</f>
        <v>0</v>
      </c>
      <c r="AX61" s="7">
        <f>'AS400'!AW61</f>
        <v>0</v>
      </c>
      <c r="AY61" s="7">
        <f>'AS400'!AX61</f>
        <v>0</v>
      </c>
      <c r="AZ61" s="8">
        <f>'AS400'!AY61</f>
        <v>1</v>
      </c>
      <c r="BA61" s="7">
        <f>'AS400'!AZ61</f>
        <v>2</v>
      </c>
      <c r="BB61" s="7" t="str">
        <f>'AS400'!BA61</f>
        <v>PURO</v>
      </c>
      <c r="BC61" s="7">
        <f>'AS400'!BB61</f>
        <v>100</v>
      </c>
      <c r="BD61" s="7">
        <f>'AS400'!BC61</f>
        <v>20180301</v>
      </c>
      <c r="BE61" s="7">
        <f>'AS400'!BD61</f>
        <v>20180301</v>
      </c>
      <c r="BF61" s="7" t="str">
        <f>'AS400'!BE61</f>
        <v>S</v>
      </c>
      <c r="BG61" s="7" t="str">
        <f>'AS400'!BF61</f>
        <v>ME</v>
      </c>
      <c r="BH61" s="7">
        <f>'AS400'!BG61</f>
        <v>20180301</v>
      </c>
      <c r="BI61" s="7">
        <f>'AS400'!BH61</f>
        <v>0</v>
      </c>
      <c r="BJ61" s="7">
        <f>'AS400'!BI61</f>
        <v>0</v>
      </c>
      <c r="BK61" s="7">
        <f>'AS400'!BJ61</f>
        <v>0</v>
      </c>
      <c r="BL61" s="7">
        <f>'AS400'!BK61</f>
        <v>0</v>
      </c>
      <c r="BM61" s="7" t="str">
        <f>'AS400'!BL61</f>
        <v>STLV</v>
      </c>
      <c r="BN61" s="7">
        <f>'AS400'!BM61</f>
        <v>818</v>
      </c>
      <c r="BO61" s="7">
        <f>'AS400'!BN61</f>
        <v>0</v>
      </c>
      <c r="BP61" s="7">
        <f>'AS400'!BO61</f>
        <v>12</v>
      </c>
      <c r="BQ61" s="7">
        <f>'AS400'!BP61</f>
        <v>20180201</v>
      </c>
      <c r="BR61" s="7">
        <f>'AS400'!BQ61</f>
        <v>0</v>
      </c>
      <c r="BS61" s="7">
        <f>'AS400'!BR61</f>
        <v>0</v>
      </c>
      <c r="BT61" s="7">
        <f>'AS400'!BS61</f>
        <v>34</v>
      </c>
      <c r="BV61" s="7">
        <f>'AS400'!BT61</f>
        <v>30</v>
      </c>
      <c r="BW61" s="7">
        <f>'AS400'!BU61</f>
        <v>0</v>
      </c>
      <c r="BX61" s="7">
        <f>'AS400'!BV61</f>
        <v>0</v>
      </c>
      <c r="BY61" s="7">
        <f>'AS400'!BW61</f>
        <v>0</v>
      </c>
      <c r="BZ61" s="7">
        <f>'AS400'!BX61</f>
        <v>0</v>
      </c>
      <c r="CA61" s="7">
        <f>'AS400'!BY61</f>
        <v>0</v>
      </c>
      <c r="CB61" s="7">
        <f>'AS400'!BZ61</f>
        <v>0</v>
      </c>
      <c r="CC61" s="7">
        <f>'AS400'!CA61</f>
        <v>0</v>
      </c>
      <c r="CD61" s="7">
        <f>'AS400'!CB61</f>
        <v>0</v>
      </c>
      <c r="CE61" s="7">
        <f>'AS400'!CC61</f>
        <v>0</v>
      </c>
      <c r="CF61" s="7">
        <f>'AS400'!CD61</f>
        <v>0</v>
      </c>
      <c r="CG61" s="7">
        <f>'AS400'!CE61</f>
        <v>0</v>
      </c>
      <c r="CH61" s="7">
        <f>'AS400'!CF61</f>
        <v>0</v>
      </c>
      <c r="CI61" s="7">
        <f>'AS400'!CG61</f>
        <v>0</v>
      </c>
      <c r="CJ61" s="7">
        <f>'AS400'!CH61</f>
        <v>0</v>
      </c>
      <c r="CK61" s="7">
        <f>'AS400'!CI61</f>
        <v>0</v>
      </c>
      <c r="CL61" s="7">
        <f>'AS400'!CJ61</f>
        <v>0</v>
      </c>
      <c r="CM61" s="8">
        <f>'AS400'!CK61</f>
        <v>1</v>
      </c>
      <c r="CN61" s="7">
        <f>'AS400'!CL61</f>
        <v>3</v>
      </c>
      <c r="CO61" s="7" t="str">
        <f>'AS400'!CM61</f>
        <v>PUDT</v>
      </c>
      <c r="CP61" s="7">
        <f>'AS400'!CN61</f>
        <v>100</v>
      </c>
      <c r="CQ61" s="7">
        <f>'AS400'!CO61</f>
        <v>20180301</v>
      </c>
      <c r="CR61" s="7">
        <f>'AS400'!CP61</f>
        <v>20180301</v>
      </c>
      <c r="CS61" s="7" t="str">
        <f>'AS400'!CQ61</f>
        <v>S</v>
      </c>
      <c r="CT61" s="7" t="str">
        <f>'AS400'!CR61</f>
        <v>MT</v>
      </c>
      <c r="CU61" s="7">
        <f>'AS400'!CS61</f>
        <v>20180301</v>
      </c>
      <c r="CV61" s="7">
        <f>'AS400'!CT61</f>
        <v>0</v>
      </c>
      <c r="CW61" s="7">
        <f>'AS400'!CU61</f>
        <v>0</v>
      </c>
      <c r="CX61" s="7">
        <f>'AS400'!CV61</f>
        <v>0</v>
      </c>
      <c r="CY61" s="7">
        <f>'AS400'!CW61</f>
        <v>0</v>
      </c>
      <c r="CZ61" s="7" t="str">
        <f>'AS400'!CX61</f>
        <v>STLV</v>
      </c>
      <c r="DA61" s="7">
        <f>'AS400'!CY61</f>
        <v>818</v>
      </c>
      <c r="DB61" s="7">
        <f>'AS400'!CZ61</f>
        <v>0</v>
      </c>
      <c r="DC61" s="7">
        <f>'AS400'!DA61</f>
        <v>12</v>
      </c>
      <c r="DD61" s="7">
        <f>'AS400'!DB61</f>
        <v>20180201</v>
      </c>
      <c r="DE61" s="7">
        <f>'AS400'!DC61</f>
        <v>0</v>
      </c>
      <c r="DF61" s="7">
        <f>'AS400'!DD61</f>
        <v>0</v>
      </c>
      <c r="DG61" s="7">
        <f>'AS400'!DE61</f>
        <v>39</v>
      </c>
      <c r="DI61" s="7">
        <f>'AS400'!DF61</f>
        <v>30</v>
      </c>
      <c r="DJ61" s="7">
        <f>'AS400'!DG61</f>
        <v>0</v>
      </c>
      <c r="DK61" s="7">
        <f>'AS400'!DH61</f>
        <v>0</v>
      </c>
      <c r="DL61" s="7">
        <f>'AS400'!DI61</f>
        <v>0</v>
      </c>
      <c r="DM61" s="7">
        <f>'AS400'!DJ61</f>
        <v>0</v>
      </c>
      <c r="DN61" s="7">
        <f>'AS400'!DK61</f>
        <v>0</v>
      </c>
      <c r="DO61" s="7">
        <f>'AS400'!DL61</f>
        <v>0</v>
      </c>
      <c r="DP61" s="7">
        <f>'AS400'!DM61</f>
        <v>0</v>
      </c>
      <c r="DQ61" s="7">
        <f>'AS400'!DN61</f>
        <v>0</v>
      </c>
      <c r="DR61" s="7">
        <f>'AS400'!DO61</f>
        <v>0</v>
      </c>
      <c r="DS61" s="7">
        <f>'AS400'!DP61</f>
        <v>0</v>
      </c>
      <c r="DT61" s="7">
        <f>'AS400'!DQ61</f>
        <v>0</v>
      </c>
      <c r="DU61" s="7">
        <f>'AS400'!DR61</f>
        <v>0</v>
      </c>
      <c r="DV61" s="7">
        <f>'AS400'!DS61</f>
        <v>0</v>
      </c>
      <c r="DW61" s="7">
        <f>'AS400'!DT61</f>
        <v>0</v>
      </c>
      <c r="DX61" s="7">
        <f>'AS400'!DU61</f>
        <v>0</v>
      </c>
      <c r="DY61" s="7">
        <f>'AS400'!DV61</f>
        <v>0</v>
      </c>
      <c r="DZ61" s="8">
        <f>'AS400'!DW61</f>
        <v>1</v>
      </c>
      <c r="EA61" s="7">
        <f>'AS400'!DX61</f>
        <v>4</v>
      </c>
      <c r="EB61" s="7" t="str">
        <f>'AS400'!DY61</f>
        <v>PUDS</v>
      </c>
      <c r="EC61" s="7">
        <f>'AS400'!DZ61</f>
        <v>100</v>
      </c>
      <c r="ED61" s="7">
        <f>'AS400'!EA61</f>
        <v>20180301</v>
      </c>
      <c r="EE61" s="7">
        <f>'AS400'!EB61</f>
        <v>20180301</v>
      </c>
      <c r="EF61" s="7" t="str">
        <f>'AS400'!EC61</f>
        <v>S</v>
      </c>
      <c r="EG61" s="7" t="str">
        <f>'AS400'!ED61</f>
        <v>MS</v>
      </c>
      <c r="EH61" s="7">
        <f>'AS400'!EE61</f>
        <v>20180301</v>
      </c>
      <c r="EI61" s="7">
        <f>'AS400'!EF61</f>
        <v>0</v>
      </c>
      <c r="EJ61" s="7">
        <f>'AS400'!EG61</f>
        <v>0</v>
      </c>
      <c r="EK61" s="7">
        <f>'AS400'!EH61</f>
        <v>0</v>
      </c>
      <c r="EL61" s="7">
        <f>'AS400'!EI61</f>
        <v>0</v>
      </c>
      <c r="EM61" s="7" t="str">
        <f>'AS400'!EJ61</f>
        <v>STLV</v>
      </c>
      <c r="EN61" s="7">
        <f>'AS400'!EK61</f>
        <v>818</v>
      </c>
      <c r="EO61" s="7">
        <f>'AS400'!EL61</f>
        <v>0</v>
      </c>
      <c r="EP61" s="7">
        <f>'AS400'!EM61</f>
        <v>12</v>
      </c>
      <c r="EQ61" s="7">
        <f>'AS400'!EN61</f>
        <v>20180201</v>
      </c>
      <c r="ER61" s="7">
        <f>'AS400'!EO61</f>
        <v>0</v>
      </c>
      <c r="ES61" s="7">
        <f>'AS400'!EP61</f>
        <v>0</v>
      </c>
      <c r="ET61" s="7">
        <f>'AS400'!EQ61</f>
        <v>15</v>
      </c>
      <c r="EV61" s="7">
        <f>'AS400'!ER61</f>
        <v>30</v>
      </c>
      <c r="EW61" s="7">
        <f>'AS400'!ES61</f>
        <v>0</v>
      </c>
      <c r="EX61" s="7">
        <f>'AS400'!ET61</f>
        <v>0</v>
      </c>
      <c r="EY61" s="7">
        <f>'AS400'!EU61</f>
        <v>0</v>
      </c>
      <c r="EZ61" s="7">
        <f>'AS400'!EV61</f>
        <v>0</v>
      </c>
      <c r="FA61" s="7">
        <f>'AS400'!EW61</f>
        <v>0</v>
      </c>
      <c r="FB61" s="7">
        <f>'AS400'!EX61</f>
        <v>0</v>
      </c>
      <c r="FC61" s="7">
        <f>'AS400'!EY61</f>
        <v>0</v>
      </c>
      <c r="FD61" s="7">
        <f>'AS400'!EZ61</f>
        <v>0</v>
      </c>
      <c r="FE61" s="7">
        <f>'AS400'!FA61</f>
        <v>0</v>
      </c>
      <c r="FF61" s="7">
        <f>'AS400'!FB61</f>
        <v>0</v>
      </c>
      <c r="FG61" s="7">
        <f>'AS400'!FC61</f>
        <v>0</v>
      </c>
      <c r="FH61" s="7">
        <f>'AS400'!FD61</f>
        <v>0</v>
      </c>
      <c r="FI61" s="7">
        <f>'AS400'!FE61</f>
        <v>0</v>
      </c>
      <c r="FJ61" s="7">
        <f>'AS400'!FF61</f>
        <v>0</v>
      </c>
      <c r="FK61" s="7">
        <f>'AS400'!FG61</f>
        <v>0</v>
      </c>
      <c r="FL61" s="7">
        <f>'AS400'!FH61</f>
        <v>0</v>
      </c>
      <c r="FM61" s="7">
        <f>'AS400'!FI61</f>
        <v>1</v>
      </c>
      <c r="FN61" s="7">
        <f>'AS400'!FJ61</f>
        <v>1</v>
      </c>
      <c r="FO61" s="7">
        <f>'AS400'!FO61</f>
        <v>0</v>
      </c>
      <c r="FP61" s="7">
        <f>'AS400'!FP61</f>
        <v>4</v>
      </c>
      <c r="FQ61" s="7">
        <f>'AS400'!FQ61</f>
        <v>1</v>
      </c>
      <c r="FR61" s="7">
        <f>'AS400'!FR61</f>
        <v>1</v>
      </c>
      <c r="FS61" s="13">
        <f>'AS400'!FO61</f>
        <v>0</v>
      </c>
    </row>
    <row r="62" spans="1:175">
      <c r="A62" s="7">
        <f>'AS400'!A62</f>
        <v>56</v>
      </c>
      <c r="B62" s="7">
        <f>'AS400'!B62</f>
        <v>20190301</v>
      </c>
      <c r="C62" s="7">
        <f>'AS400'!C62</f>
        <v>0</v>
      </c>
      <c r="D62" s="7" t="str">
        <f>'AS400'!D62</f>
        <v>N</v>
      </c>
      <c r="E62" s="7" t="str">
        <f>'AS400'!E62</f>
        <v>N</v>
      </c>
      <c r="F62" s="7" t="str">
        <f>'AS400'!F62</f>
        <v>Y</v>
      </c>
      <c r="G62" s="7">
        <f>'AS400'!G62</f>
        <v>0</v>
      </c>
      <c r="H62" s="14"/>
      <c r="I62" s="7" t="str">
        <f>'AS400'!I62</f>
        <v>RSA</v>
      </c>
      <c r="J62" s="7" t="str">
        <f>'AS400'!J62</f>
        <v>METR</v>
      </c>
      <c r="K62" s="7" t="str">
        <f>'AS400'!K62</f>
        <v>N</v>
      </c>
      <c r="L62" s="7">
        <f>'AS400'!L62</f>
        <v>4</v>
      </c>
      <c r="M62" s="8">
        <f>'AS400'!M62</f>
        <v>1</v>
      </c>
      <c r="N62" s="7">
        <f>'AS400'!N62</f>
        <v>1</v>
      </c>
      <c r="O62" s="7" t="str">
        <f>'AS400'!O62</f>
        <v>MFEF</v>
      </c>
      <c r="P62" s="7">
        <f>'AS400'!P62</f>
        <v>100</v>
      </c>
      <c r="Q62" s="7">
        <f>'AS400'!Q62</f>
        <v>20180301</v>
      </c>
      <c r="R62" s="7">
        <f>'AS400'!R62</f>
        <v>20180301</v>
      </c>
      <c r="S62" s="7" t="str">
        <f>'AS400'!S62</f>
        <v>M</v>
      </c>
      <c r="T62" s="7" t="str">
        <f>'AS400'!T62</f>
        <v>ML</v>
      </c>
      <c r="U62" s="7">
        <f>'AS400'!U62</f>
        <v>20190301</v>
      </c>
      <c r="V62" s="7">
        <f>'AS400'!V62</f>
        <v>6</v>
      </c>
      <c r="W62" s="7">
        <f>'AS400'!W62</f>
        <v>6</v>
      </c>
      <c r="X62" s="7" t="str">
        <f>'AS400'!X62</f>
        <v>MFIX</v>
      </c>
      <c r="Y62" s="7">
        <f>'AS400'!Y62</f>
        <v>0</v>
      </c>
      <c r="Z62" s="7" t="str">
        <f>'AS400'!Z62</f>
        <v>STLV</v>
      </c>
      <c r="AA62" s="7">
        <f>'AS400'!AA62</f>
        <v>818</v>
      </c>
      <c r="AB62" s="7">
        <f>'AS400'!AB62</f>
        <v>0</v>
      </c>
      <c r="AC62" s="7">
        <f>'AS400'!AC62</f>
        <v>12</v>
      </c>
      <c r="AD62" s="7">
        <f>'AS400'!AD62</f>
        <v>20180201</v>
      </c>
      <c r="AE62" s="7">
        <f>'AS400'!AE62</f>
        <v>0</v>
      </c>
      <c r="AF62" s="7">
        <f>'AS400'!AF62</f>
        <v>35000</v>
      </c>
      <c r="AG62" s="7">
        <f>'AS400'!AG62</f>
        <v>130</v>
      </c>
      <c r="AI62" s="7">
        <f>'AS400'!AH62</f>
        <v>29</v>
      </c>
      <c r="AJ62" s="7">
        <f>'AS400'!AI62</f>
        <v>0</v>
      </c>
      <c r="AK62" s="7">
        <f>'AS400'!AJ62</f>
        <v>0</v>
      </c>
      <c r="AL62" s="7">
        <f>'AS400'!AK62</f>
        <v>0</v>
      </c>
      <c r="AM62" s="7">
        <f>'AS400'!AL62</f>
        <v>0</v>
      </c>
      <c r="AN62" s="7">
        <f>'AS400'!AM62</f>
        <v>0</v>
      </c>
      <c r="AO62" s="7">
        <f>'AS400'!AN62</f>
        <v>0</v>
      </c>
      <c r="AP62" s="7">
        <f>'AS400'!AO62</f>
        <v>0</v>
      </c>
      <c r="AQ62" s="7">
        <f>'AS400'!AP62</f>
        <v>0</v>
      </c>
      <c r="AR62" s="7">
        <f>'AS400'!AQ62</f>
        <v>0</v>
      </c>
      <c r="AS62" s="7">
        <f>'AS400'!AR62</f>
        <v>0</v>
      </c>
      <c r="AT62" s="7">
        <f>'AS400'!AS62</f>
        <v>0</v>
      </c>
      <c r="AU62" s="7">
        <f>'AS400'!AT62</f>
        <v>0</v>
      </c>
      <c r="AV62" s="7">
        <f>'AS400'!AU62</f>
        <v>0</v>
      </c>
      <c r="AW62" s="7">
        <f>'AS400'!AV62</f>
        <v>0</v>
      </c>
      <c r="AX62" s="7">
        <f>'AS400'!AW62</f>
        <v>0</v>
      </c>
      <c r="AY62" s="7">
        <f>'AS400'!AX62</f>
        <v>0</v>
      </c>
      <c r="AZ62" s="8">
        <f>'AS400'!AY62</f>
        <v>1</v>
      </c>
      <c r="BA62" s="7">
        <f>'AS400'!AZ62</f>
        <v>2</v>
      </c>
      <c r="BB62" s="7" t="str">
        <f>'AS400'!BA62</f>
        <v>PURO</v>
      </c>
      <c r="BC62" s="7">
        <f>'AS400'!BB62</f>
        <v>100</v>
      </c>
      <c r="BD62" s="7">
        <f>'AS400'!BC62</f>
        <v>20180301</v>
      </c>
      <c r="BE62" s="7">
        <f>'AS400'!BD62</f>
        <v>20180301</v>
      </c>
      <c r="BF62" s="7" t="str">
        <f>'AS400'!BE62</f>
        <v>S</v>
      </c>
      <c r="BG62" s="7" t="str">
        <f>'AS400'!BF62</f>
        <v>ME</v>
      </c>
      <c r="BH62" s="7">
        <f>'AS400'!BG62</f>
        <v>20180301</v>
      </c>
      <c r="BI62" s="7">
        <f>'AS400'!BH62</f>
        <v>0</v>
      </c>
      <c r="BJ62" s="7">
        <f>'AS400'!BI62</f>
        <v>0</v>
      </c>
      <c r="BK62" s="7">
        <f>'AS400'!BJ62</f>
        <v>0</v>
      </c>
      <c r="BL62" s="7">
        <f>'AS400'!BK62</f>
        <v>0</v>
      </c>
      <c r="BM62" s="7" t="str">
        <f>'AS400'!BL62</f>
        <v>STLV</v>
      </c>
      <c r="BN62" s="7">
        <f>'AS400'!BM62</f>
        <v>818</v>
      </c>
      <c r="BO62" s="7">
        <f>'AS400'!BN62</f>
        <v>0</v>
      </c>
      <c r="BP62" s="7">
        <f>'AS400'!BO62</f>
        <v>12</v>
      </c>
      <c r="BQ62" s="7">
        <f>'AS400'!BP62</f>
        <v>20180201</v>
      </c>
      <c r="BR62" s="7">
        <f>'AS400'!BQ62</f>
        <v>0</v>
      </c>
      <c r="BS62" s="7">
        <f>'AS400'!BR62</f>
        <v>0</v>
      </c>
      <c r="BT62" s="7">
        <f>'AS400'!BS62</f>
        <v>32</v>
      </c>
      <c r="BV62" s="7">
        <f>'AS400'!BT62</f>
        <v>29</v>
      </c>
      <c r="BW62" s="7">
        <f>'AS400'!BU62</f>
        <v>0</v>
      </c>
      <c r="BX62" s="7">
        <f>'AS400'!BV62</f>
        <v>0</v>
      </c>
      <c r="BY62" s="7">
        <f>'AS400'!BW62</f>
        <v>0</v>
      </c>
      <c r="BZ62" s="7">
        <f>'AS400'!BX62</f>
        <v>0</v>
      </c>
      <c r="CA62" s="7">
        <f>'AS400'!BY62</f>
        <v>0</v>
      </c>
      <c r="CB62" s="7">
        <f>'AS400'!BZ62</f>
        <v>0</v>
      </c>
      <c r="CC62" s="7">
        <f>'AS400'!CA62</f>
        <v>0</v>
      </c>
      <c r="CD62" s="7">
        <f>'AS400'!CB62</f>
        <v>0</v>
      </c>
      <c r="CE62" s="7">
        <f>'AS400'!CC62</f>
        <v>0</v>
      </c>
      <c r="CF62" s="7">
        <f>'AS400'!CD62</f>
        <v>0</v>
      </c>
      <c r="CG62" s="7">
        <f>'AS400'!CE62</f>
        <v>0</v>
      </c>
      <c r="CH62" s="7">
        <f>'AS400'!CF62</f>
        <v>0</v>
      </c>
      <c r="CI62" s="7">
        <f>'AS400'!CG62</f>
        <v>0</v>
      </c>
      <c r="CJ62" s="7">
        <f>'AS400'!CH62</f>
        <v>0</v>
      </c>
      <c r="CK62" s="7">
        <f>'AS400'!CI62</f>
        <v>0</v>
      </c>
      <c r="CL62" s="7">
        <f>'AS400'!CJ62</f>
        <v>0</v>
      </c>
      <c r="CM62" s="8">
        <f>'AS400'!CK62</f>
        <v>1</v>
      </c>
      <c r="CN62" s="7">
        <f>'AS400'!CL62</f>
        <v>3</v>
      </c>
      <c r="CO62" s="7" t="str">
        <f>'AS400'!CM62</f>
        <v>PUDT</v>
      </c>
      <c r="CP62" s="7">
        <f>'AS400'!CN62</f>
        <v>100</v>
      </c>
      <c r="CQ62" s="7">
        <f>'AS400'!CO62</f>
        <v>20180301</v>
      </c>
      <c r="CR62" s="7">
        <f>'AS400'!CP62</f>
        <v>20180301</v>
      </c>
      <c r="CS62" s="7" t="str">
        <f>'AS400'!CQ62</f>
        <v>S</v>
      </c>
      <c r="CT62" s="7" t="str">
        <f>'AS400'!CR62</f>
        <v>MT</v>
      </c>
      <c r="CU62" s="7">
        <f>'AS400'!CS62</f>
        <v>20180301</v>
      </c>
      <c r="CV62" s="7">
        <f>'AS400'!CT62</f>
        <v>0</v>
      </c>
      <c r="CW62" s="7">
        <f>'AS400'!CU62</f>
        <v>0</v>
      </c>
      <c r="CX62" s="7">
        <f>'AS400'!CV62</f>
        <v>0</v>
      </c>
      <c r="CY62" s="7">
        <f>'AS400'!CW62</f>
        <v>0</v>
      </c>
      <c r="CZ62" s="7" t="str">
        <f>'AS400'!CX62</f>
        <v>STLV</v>
      </c>
      <c r="DA62" s="7">
        <f>'AS400'!CY62</f>
        <v>818</v>
      </c>
      <c r="DB62" s="7">
        <f>'AS400'!CZ62</f>
        <v>0</v>
      </c>
      <c r="DC62" s="7">
        <f>'AS400'!DA62</f>
        <v>12</v>
      </c>
      <c r="DD62" s="7">
        <f>'AS400'!DB62</f>
        <v>20180201</v>
      </c>
      <c r="DE62" s="7">
        <f>'AS400'!DC62</f>
        <v>0</v>
      </c>
      <c r="DF62" s="7">
        <f>'AS400'!DD62</f>
        <v>0</v>
      </c>
      <c r="DG62" s="7">
        <f>'AS400'!DE62</f>
        <v>36</v>
      </c>
      <c r="DI62" s="7">
        <f>'AS400'!DF62</f>
        <v>29</v>
      </c>
      <c r="DJ62" s="7">
        <f>'AS400'!DG62</f>
        <v>0</v>
      </c>
      <c r="DK62" s="7">
        <f>'AS400'!DH62</f>
        <v>0</v>
      </c>
      <c r="DL62" s="7">
        <f>'AS400'!DI62</f>
        <v>0</v>
      </c>
      <c r="DM62" s="7">
        <f>'AS400'!DJ62</f>
        <v>0</v>
      </c>
      <c r="DN62" s="7">
        <f>'AS400'!DK62</f>
        <v>0</v>
      </c>
      <c r="DO62" s="7">
        <f>'AS400'!DL62</f>
        <v>0</v>
      </c>
      <c r="DP62" s="7">
        <f>'AS400'!DM62</f>
        <v>0</v>
      </c>
      <c r="DQ62" s="7">
        <f>'AS400'!DN62</f>
        <v>0</v>
      </c>
      <c r="DR62" s="7">
        <f>'AS400'!DO62</f>
        <v>0</v>
      </c>
      <c r="DS62" s="7">
        <f>'AS400'!DP62</f>
        <v>0</v>
      </c>
      <c r="DT62" s="7">
        <f>'AS400'!DQ62</f>
        <v>0</v>
      </c>
      <c r="DU62" s="7">
        <f>'AS400'!DR62</f>
        <v>0</v>
      </c>
      <c r="DV62" s="7">
        <f>'AS400'!DS62</f>
        <v>0</v>
      </c>
      <c r="DW62" s="7">
        <f>'AS400'!DT62</f>
        <v>0</v>
      </c>
      <c r="DX62" s="7">
        <f>'AS400'!DU62</f>
        <v>0</v>
      </c>
      <c r="DY62" s="7">
        <f>'AS400'!DV62</f>
        <v>0</v>
      </c>
      <c r="DZ62" s="8">
        <f>'AS400'!DW62</f>
        <v>1</v>
      </c>
      <c r="EA62" s="7">
        <f>'AS400'!DX62</f>
        <v>4</v>
      </c>
      <c r="EB62" s="7" t="str">
        <f>'AS400'!DY62</f>
        <v>PUDS</v>
      </c>
      <c r="EC62" s="7">
        <f>'AS400'!DZ62</f>
        <v>100</v>
      </c>
      <c r="ED62" s="7">
        <f>'AS400'!EA62</f>
        <v>20180301</v>
      </c>
      <c r="EE62" s="7">
        <f>'AS400'!EB62</f>
        <v>20180301</v>
      </c>
      <c r="EF62" s="7" t="str">
        <f>'AS400'!EC62</f>
        <v>S</v>
      </c>
      <c r="EG62" s="7" t="str">
        <f>'AS400'!ED62</f>
        <v>MS</v>
      </c>
      <c r="EH62" s="7">
        <f>'AS400'!EE62</f>
        <v>20180301</v>
      </c>
      <c r="EI62" s="7">
        <f>'AS400'!EF62</f>
        <v>0</v>
      </c>
      <c r="EJ62" s="7">
        <f>'AS400'!EG62</f>
        <v>0</v>
      </c>
      <c r="EK62" s="7">
        <f>'AS400'!EH62</f>
        <v>0</v>
      </c>
      <c r="EL62" s="7">
        <f>'AS400'!EI62</f>
        <v>0</v>
      </c>
      <c r="EM62" s="7" t="str">
        <f>'AS400'!EJ62</f>
        <v>STLV</v>
      </c>
      <c r="EN62" s="7">
        <f>'AS400'!EK62</f>
        <v>818</v>
      </c>
      <c r="EO62" s="7">
        <f>'AS400'!EL62</f>
        <v>0</v>
      </c>
      <c r="EP62" s="7">
        <f>'AS400'!EM62</f>
        <v>12</v>
      </c>
      <c r="EQ62" s="7">
        <f>'AS400'!EN62</f>
        <v>20180201</v>
      </c>
      <c r="ER62" s="7">
        <f>'AS400'!EO62</f>
        <v>0</v>
      </c>
      <c r="ES62" s="7">
        <f>'AS400'!EP62</f>
        <v>0</v>
      </c>
      <c r="ET62" s="7">
        <f>'AS400'!EQ62</f>
        <v>14</v>
      </c>
      <c r="EV62" s="7">
        <f>'AS400'!ER62</f>
        <v>29</v>
      </c>
      <c r="EW62" s="7">
        <f>'AS400'!ES62</f>
        <v>0</v>
      </c>
      <c r="EX62" s="7">
        <f>'AS400'!ET62</f>
        <v>0</v>
      </c>
      <c r="EY62" s="7">
        <f>'AS400'!EU62</f>
        <v>0</v>
      </c>
      <c r="EZ62" s="7">
        <f>'AS400'!EV62</f>
        <v>0</v>
      </c>
      <c r="FA62" s="7">
        <f>'AS400'!EW62</f>
        <v>0</v>
      </c>
      <c r="FB62" s="7">
        <f>'AS400'!EX62</f>
        <v>0</v>
      </c>
      <c r="FC62" s="7">
        <f>'AS400'!EY62</f>
        <v>0</v>
      </c>
      <c r="FD62" s="7">
        <f>'AS400'!EZ62</f>
        <v>0</v>
      </c>
      <c r="FE62" s="7">
        <f>'AS400'!FA62</f>
        <v>0</v>
      </c>
      <c r="FF62" s="7">
        <f>'AS400'!FB62</f>
        <v>0</v>
      </c>
      <c r="FG62" s="7">
        <f>'AS400'!FC62</f>
        <v>0</v>
      </c>
      <c r="FH62" s="7">
        <f>'AS400'!FD62</f>
        <v>0</v>
      </c>
      <c r="FI62" s="7">
        <f>'AS400'!FE62</f>
        <v>0</v>
      </c>
      <c r="FJ62" s="7">
        <f>'AS400'!FF62</f>
        <v>0</v>
      </c>
      <c r="FK62" s="7">
        <f>'AS400'!FG62</f>
        <v>0</v>
      </c>
      <c r="FL62" s="7">
        <f>'AS400'!FH62</f>
        <v>0</v>
      </c>
      <c r="FM62" s="7">
        <f>'AS400'!FI62</f>
        <v>1</v>
      </c>
      <c r="FN62" s="7">
        <f>'AS400'!FJ62</f>
        <v>1</v>
      </c>
      <c r="FO62" s="7">
        <f>'AS400'!FO62</f>
        <v>0</v>
      </c>
      <c r="FP62" s="7">
        <f>'AS400'!FP62</f>
        <v>4</v>
      </c>
      <c r="FQ62" s="7">
        <f>'AS400'!FQ62</f>
        <v>1</v>
      </c>
      <c r="FR62" s="7">
        <f>'AS400'!FR62</f>
        <v>1</v>
      </c>
      <c r="FS62" s="13">
        <f>'AS400'!FO62</f>
        <v>0</v>
      </c>
    </row>
    <row r="63" spans="1:175">
      <c r="A63" s="7">
        <f>'AS400'!A63</f>
        <v>57</v>
      </c>
      <c r="B63" s="7">
        <f>'AS400'!B63</f>
        <v>20190301</v>
      </c>
      <c r="C63" s="7">
        <f>'AS400'!C63</f>
        <v>0</v>
      </c>
      <c r="D63" s="7" t="str">
        <f>'AS400'!D63</f>
        <v>N</v>
      </c>
      <c r="E63" s="7" t="str">
        <f>'AS400'!E63</f>
        <v>N</v>
      </c>
      <c r="F63" s="7" t="str">
        <f>'AS400'!F63</f>
        <v>Y</v>
      </c>
      <c r="G63" s="7">
        <f>'AS400'!G63</f>
        <v>0</v>
      </c>
      <c r="H63" s="14"/>
      <c r="I63" s="7" t="str">
        <f>'AS400'!I63</f>
        <v>RSA</v>
      </c>
      <c r="J63" s="7" t="str">
        <f>'AS400'!J63</f>
        <v>METR</v>
      </c>
      <c r="K63" s="7" t="str">
        <f>'AS400'!K63</f>
        <v>N</v>
      </c>
      <c r="L63" s="7">
        <f>'AS400'!L63</f>
        <v>4</v>
      </c>
      <c r="M63" s="8">
        <f>'AS400'!M63</f>
        <v>1</v>
      </c>
      <c r="N63" s="7">
        <f>'AS400'!N63</f>
        <v>1</v>
      </c>
      <c r="O63" s="7" t="str">
        <f>'AS400'!O63</f>
        <v>MFEF</v>
      </c>
      <c r="P63" s="7">
        <f>'AS400'!P63</f>
        <v>100</v>
      </c>
      <c r="Q63" s="7">
        <f>'AS400'!Q63</f>
        <v>20180301</v>
      </c>
      <c r="R63" s="7">
        <f>'AS400'!R63</f>
        <v>20180301</v>
      </c>
      <c r="S63" s="7" t="str">
        <f>'AS400'!S63</f>
        <v>M</v>
      </c>
      <c r="T63" s="7" t="str">
        <f>'AS400'!T63</f>
        <v>ML</v>
      </c>
      <c r="U63" s="7">
        <f>'AS400'!U63</f>
        <v>20190301</v>
      </c>
      <c r="V63" s="7">
        <f>'AS400'!V63</f>
        <v>6</v>
      </c>
      <c r="W63" s="7">
        <f>'AS400'!W63</f>
        <v>6</v>
      </c>
      <c r="X63" s="7" t="str">
        <f>'AS400'!X63</f>
        <v>MFIX</v>
      </c>
      <c r="Y63" s="7">
        <f>'AS400'!Y63</f>
        <v>0</v>
      </c>
      <c r="Z63" s="7" t="str">
        <f>'AS400'!Z63</f>
        <v>STLV</v>
      </c>
      <c r="AA63" s="7">
        <f>'AS400'!AA63</f>
        <v>818</v>
      </c>
      <c r="AB63" s="7">
        <f>'AS400'!AB63</f>
        <v>0</v>
      </c>
      <c r="AC63" s="7">
        <f>'AS400'!AC63</f>
        <v>12</v>
      </c>
      <c r="AD63" s="7">
        <f>'AS400'!AD63</f>
        <v>20180201</v>
      </c>
      <c r="AE63" s="7">
        <f>'AS400'!AE63</f>
        <v>0</v>
      </c>
      <c r="AF63" s="7">
        <f>'AS400'!AF63</f>
        <v>30000</v>
      </c>
      <c r="AG63" s="7">
        <f>'AS400'!AG63</f>
        <v>118</v>
      </c>
      <c r="AI63" s="7">
        <f>'AS400'!AH63</f>
        <v>28</v>
      </c>
      <c r="AJ63" s="7">
        <f>'AS400'!AI63</f>
        <v>0</v>
      </c>
      <c r="AK63" s="7">
        <f>'AS400'!AJ63</f>
        <v>0</v>
      </c>
      <c r="AL63" s="7">
        <f>'AS400'!AK63</f>
        <v>0</v>
      </c>
      <c r="AM63" s="7">
        <f>'AS400'!AL63</f>
        <v>0</v>
      </c>
      <c r="AN63" s="7">
        <f>'AS400'!AM63</f>
        <v>0</v>
      </c>
      <c r="AO63" s="7">
        <f>'AS400'!AN63</f>
        <v>0</v>
      </c>
      <c r="AP63" s="7">
        <f>'AS400'!AO63</f>
        <v>0</v>
      </c>
      <c r="AQ63" s="7">
        <f>'AS400'!AP63</f>
        <v>0</v>
      </c>
      <c r="AR63" s="7">
        <f>'AS400'!AQ63</f>
        <v>0</v>
      </c>
      <c r="AS63" s="7">
        <f>'AS400'!AR63</f>
        <v>0</v>
      </c>
      <c r="AT63" s="7">
        <f>'AS400'!AS63</f>
        <v>0</v>
      </c>
      <c r="AU63" s="7">
        <f>'AS400'!AT63</f>
        <v>0</v>
      </c>
      <c r="AV63" s="7">
        <f>'AS400'!AU63</f>
        <v>0</v>
      </c>
      <c r="AW63" s="7">
        <f>'AS400'!AV63</f>
        <v>0</v>
      </c>
      <c r="AX63" s="7">
        <f>'AS400'!AW63</f>
        <v>0</v>
      </c>
      <c r="AY63" s="7">
        <f>'AS400'!AX63</f>
        <v>0</v>
      </c>
      <c r="AZ63" s="8">
        <f>'AS400'!AY63</f>
        <v>1</v>
      </c>
      <c r="BA63" s="7">
        <f>'AS400'!AZ63</f>
        <v>2</v>
      </c>
      <c r="BB63" s="7" t="str">
        <f>'AS400'!BA63</f>
        <v>PURO</v>
      </c>
      <c r="BC63" s="7">
        <f>'AS400'!BB63</f>
        <v>100</v>
      </c>
      <c r="BD63" s="7">
        <f>'AS400'!BC63</f>
        <v>20180301</v>
      </c>
      <c r="BE63" s="7">
        <f>'AS400'!BD63</f>
        <v>20180301</v>
      </c>
      <c r="BF63" s="7" t="str">
        <f>'AS400'!BE63</f>
        <v>S</v>
      </c>
      <c r="BG63" s="7" t="str">
        <f>'AS400'!BF63</f>
        <v>ME</v>
      </c>
      <c r="BH63" s="7">
        <f>'AS400'!BG63</f>
        <v>20180301</v>
      </c>
      <c r="BI63" s="7">
        <f>'AS400'!BH63</f>
        <v>0</v>
      </c>
      <c r="BJ63" s="7">
        <f>'AS400'!BI63</f>
        <v>0</v>
      </c>
      <c r="BK63" s="7">
        <f>'AS400'!BJ63</f>
        <v>0</v>
      </c>
      <c r="BL63" s="7">
        <f>'AS400'!BK63</f>
        <v>0</v>
      </c>
      <c r="BM63" s="7" t="str">
        <f>'AS400'!BL63</f>
        <v>STLV</v>
      </c>
      <c r="BN63" s="7">
        <f>'AS400'!BM63</f>
        <v>818</v>
      </c>
      <c r="BO63" s="7">
        <f>'AS400'!BN63</f>
        <v>0</v>
      </c>
      <c r="BP63" s="7">
        <f>'AS400'!BO63</f>
        <v>12</v>
      </c>
      <c r="BQ63" s="7">
        <f>'AS400'!BP63</f>
        <v>20180201</v>
      </c>
      <c r="BR63" s="7">
        <f>'AS400'!BQ63</f>
        <v>0</v>
      </c>
      <c r="BS63" s="7">
        <f>'AS400'!BR63</f>
        <v>0</v>
      </c>
      <c r="BT63" s="7">
        <f>'AS400'!BS63</f>
        <v>29</v>
      </c>
      <c r="BV63" s="7">
        <f>'AS400'!BT63</f>
        <v>28</v>
      </c>
      <c r="BW63" s="7">
        <f>'AS400'!BU63</f>
        <v>0</v>
      </c>
      <c r="BX63" s="7">
        <f>'AS400'!BV63</f>
        <v>0</v>
      </c>
      <c r="BY63" s="7">
        <f>'AS400'!BW63</f>
        <v>0</v>
      </c>
      <c r="BZ63" s="7">
        <f>'AS400'!BX63</f>
        <v>0</v>
      </c>
      <c r="CA63" s="7">
        <f>'AS400'!BY63</f>
        <v>0</v>
      </c>
      <c r="CB63" s="7">
        <f>'AS400'!BZ63</f>
        <v>0</v>
      </c>
      <c r="CC63" s="7">
        <f>'AS400'!CA63</f>
        <v>0</v>
      </c>
      <c r="CD63" s="7">
        <f>'AS400'!CB63</f>
        <v>0</v>
      </c>
      <c r="CE63" s="7">
        <f>'AS400'!CC63</f>
        <v>0</v>
      </c>
      <c r="CF63" s="7">
        <f>'AS400'!CD63</f>
        <v>0</v>
      </c>
      <c r="CG63" s="7">
        <f>'AS400'!CE63</f>
        <v>0</v>
      </c>
      <c r="CH63" s="7">
        <f>'AS400'!CF63</f>
        <v>0</v>
      </c>
      <c r="CI63" s="7">
        <f>'AS400'!CG63</f>
        <v>0</v>
      </c>
      <c r="CJ63" s="7">
        <f>'AS400'!CH63</f>
        <v>0</v>
      </c>
      <c r="CK63" s="7">
        <f>'AS400'!CI63</f>
        <v>0</v>
      </c>
      <c r="CL63" s="7">
        <f>'AS400'!CJ63</f>
        <v>0</v>
      </c>
      <c r="CM63" s="8">
        <f>'AS400'!CK63</f>
        <v>1</v>
      </c>
      <c r="CN63" s="7">
        <f>'AS400'!CL63</f>
        <v>3</v>
      </c>
      <c r="CO63" s="7" t="str">
        <f>'AS400'!CM63</f>
        <v>PUDT</v>
      </c>
      <c r="CP63" s="7">
        <f>'AS400'!CN63</f>
        <v>100</v>
      </c>
      <c r="CQ63" s="7">
        <f>'AS400'!CO63</f>
        <v>20180301</v>
      </c>
      <c r="CR63" s="7">
        <f>'AS400'!CP63</f>
        <v>20180301</v>
      </c>
      <c r="CS63" s="7" t="str">
        <f>'AS400'!CQ63</f>
        <v>S</v>
      </c>
      <c r="CT63" s="7" t="str">
        <f>'AS400'!CR63</f>
        <v>MT</v>
      </c>
      <c r="CU63" s="7">
        <f>'AS400'!CS63</f>
        <v>20180301</v>
      </c>
      <c r="CV63" s="7">
        <f>'AS400'!CT63</f>
        <v>0</v>
      </c>
      <c r="CW63" s="7">
        <f>'AS400'!CU63</f>
        <v>0</v>
      </c>
      <c r="CX63" s="7">
        <f>'AS400'!CV63</f>
        <v>0</v>
      </c>
      <c r="CY63" s="7">
        <f>'AS400'!CW63</f>
        <v>0</v>
      </c>
      <c r="CZ63" s="7" t="str">
        <f>'AS400'!CX63</f>
        <v>STLV</v>
      </c>
      <c r="DA63" s="7">
        <f>'AS400'!CY63</f>
        <v>818</v>
      </c>
      <c r="DB63" s="7">
        <f>'AS400'!CZ63</f>
        <v>0</v>
      </c>
      <c r="DC63" s="7">
        <f>'AS400'!DA63</f>
        <v>12</v>
      </c>
      <c r="DD63" s="7">
        <f>'AS400'!DB63</f>
        <v>20180201</v>
      </c>
      <c r="DE63" s="7">
        <f>'AS400'!DC63</f>
        <v>0</v>
      </c>
      <c r="DF63" s="7">
        <f>'AS400'!DD63</f>
        <v>0</v>
      </c>
      <c r="DG63" s="7">
        <f>'AS400'!DE63</f>
        <v>33</v>
      </c>
      <c r="DI63" s="7">
        <f>'AS400'!DF63</f>
        <v>28</v>
      </c>
      <c r="DJ63" s="7">
        <f>'AS400'!DG63</f>
        <v>0</v>
      </c>
      <c r="DK63" s="7">
        <f>'AS400'!DH63</f>
        <v>0</v>
      </c>
      <c r="DL63" s="7">
        <f>'AS400'!DI63</f>
        <v>0</v>
      </c>
      <c r="DM63" s="7">
        <f>'AS400'!DJ63</f>
        <v>0</v>
      </c>
      <c r="DN63" s="7">
        <f>'AS400'!DK63</f>
        <v>0</v>
      </c>
      <c r="DO63" s="7">
        <f>'AS400'!DL63</f>
        <v>0</v>
      </c>
      <c r="DP63" s="7">
        <f>'AS400'!DM63</f>
        <v>0</v>
      </c>
      <c r="DQ63" s="7">
        <f>'AS400'!DN63</f>
        <v>0</v>
      </c>
      <c r="DR63" s="7">
        <f>'AS400'!DO63</f>
        <v>0</v>
      </c>
      <c r="DS63" s="7">
        <f>'AS400'!DP63</f>
        <v>0</v>
      </c>
      <c r="DT63" s="7">
        <f>'AS400'!DQ63</f>
        <v>0</v>
      </c>
      <c r="DU63" s="7">
        <f>'AS400'!DR63</f>
        <v>0</v>
      </c>
      <c r="DV63" s="7">
        <f>'AS400'!DS63</f>
        <v>0</v>
      </c>
      <c r="DW63" s="7">
        <f>'AS400'!DT63</f>
        <v>0</v>
      </c>
      <c r="DX63" s="7">
        <f>'AS400'!DU63</f>
        <v>0</v>
      </c>
      <c r="DY63" s="7">
        <f>'AS400'!DV63</f>
        <v>0</v>
      </c>
      <c r="DZ63" s="8">
        <f>'AS400'!DW63</f>
        <v>1</v>
      </c>
      <c r="EA63" s="7">
        <f>'AS400'!DX63</f>
        <v>4</v>
      </c>
      <c r="EB63" s="7" t="str">
        <f>'AS400'!DY63</f>
        <v>PUDS</v>
      </c>
      <c r="EC63" s="7">
        <f>'AS400'!DZ63</f>
        <v>100</v>
      </c>
      <c r="ED63" s="7">
        <f>'AS400'!EA63</f>
        <v>20180301</v>
      </c>
      <c r="EE63" s="7">
        <f>'AS400'!EB63</f>
        <v>20180301</v>
      </c>
      <c r="EF63" s="7" t="str">
        <f>'AS400'!EC63</f>
        <v>S</v>
      </c>
      <c r="EG63" s="7" t="str">
        <f>'AS400'!ED63</f>
        <v>MS</v>
      </c>
      <c r="EH63" s="7">
        <f>'AS400'!EE63</f>
        <v>20180301</v>
      </c>
      <c r="EI63" s="7">
        <f>'AS400'!EF63</f>
        <v>0</v>
      </c>
      <c r="EJ63" s="7">
        <f>'AS400'!EG63</f>
        <v>0</v>
      </c>
      <c r="EK63" s="7">
        <f>'AS400'!EH63</f>
        <v>0</v>
      </c>
      <c r="EL63" s="7">
        <f>'AS400'!EI63</f>
        <v>0</v>
      </c>
      <c r="EM63" s="7" t="str">
        <f>'AS400'!EJ63</f>
        <v>STLV</v>
      </c>
      <c r="EN63" s="7">
        <f>'AS400'!EK63</f>
        <v>818</v>
      </c>
      <c r="EO63" s="7">
        <f>'AS400'!EL63</f>
        <v>0</v>
      </c>
      <c r="EP63" s="7">
        <f>'AS400'!EM63</f>
        <v>12</v>
      </c>
      <c r="EQ63" s="7">
        <f>'AS400'!EN63</f>
        <v>20180201</v>
      </c>
      <c r="ER63" s="7">
        <f>'AS400'!EO63</f>
        <v>0</v>
      </c>
      <c r="ES63" s="7">
        <f>'AS400'!EP63</f>
        <v>0</v>
      </c>
      <c r="ET63" s="7">
        <f>'AS400'!EQ63</f>
        <v>14</v>
      </c>
      <c r="EV63" s="7">
        <f>'AS400'!ER63</f>
        <v>28</v>
      </c>
      <c r="EW63" s="7">
        <f>'AS400'!ES63</f>
        <v>0</v>
      </c>
      <c r="EX63" s="7">
        <f>'AS400'!ET63</f>
        <v>0</v>
      </c>
      <c r="EY63" s="7">
        <f>'AS400'!EU63</f>
        <v>0</v>
      </c>
      <c r="EZ63" s="7">
        <f>'AS400'!EV63</f>
        <v>0</v>
      </c>
      <c r="FA63" s="7">
        <f>'AS400'!EW63</f>
        <v>0</v>
      </c>
      <c r="FB63" s="7">
        <f>'AS400'!EX63</f>
        <v>0</v>
      </c>
      <c r="FC63" s="7">
        <f>'AS400'!EY63</f>
        <v>0</v>
      </c>
      <c r="FD63" s="7">
        <f>'AS400'!EZ63</f>
        <v>0</v>
      </c>
      <c r="FE63" s="7">
        <f>'AS400'!FA63</f>
        <v>0</v>
      </c>
      <c r="FF63" s="7">
        <f>'AS400'!FB63</f>
        <v>0</v>
      </c>
      <c r="FG63" s="7">
        <f>'AS400'!FC63</f>
        <v>0</v>
      </c>
      <c r="FH63" s="7">
        <f>'AS400'!FD63</f>
        <v>0</v>
      </c>
      <c r="FI63" s="7">
        <f>'AS400'!FE63</f>
        <v>0</v>
      </c>
      <c r="FJ63" s="7">
        <f>'AS400'!FF63</f>
        <v>0</v>
      </c>
      <c r="FK63" s="7">
        <f>'AS400'!FG63</f>
        <v>0</v>
      </c>
      <c r="FL63" s="7">
        <f>'AS400'!FH63</f>
        <v>0</v>
      </c>
      <c r="FM63" s="7">
        <f>'AS400'!FI63</f>
        <v>1</v>
      </c>
      <c r="FN63" s="7">
        <f>'AS400'!FJ63</f>
        <v>1</v>
      </c>
      <c r="FO63" s="7">
        <f>'AS400'!FO63</f>
        <v>0</v>
      </c>
      <c r="FP63" s="7">
        <f>'AS400'!FP63</f>
        <v>4</v>
      </c>
      <c r="FQ63" s="7">
        <f>'AS400'!FQ63</f>
        <v>1</v>
      </c>
      <c r="FR63" s="7">
        <f>'AS400'!FR63</f>
        <v>1</v>
      </c>
      <c r="FS63" s="13">
        <f>'AS400'!FO63</f>
        <v>0</v>
      </c>
    </row>
    <row r="64" spans="1:175">
      <c r="A64" s="7">
        <f>'AS400'!A64</f>
        <v>58</v>
      </c>
      <c r="B64" s="7">
        <f>'AS400'!B64</f>
        <v>20190301</v>
      </c>
      <c r="C64" s="7">
        <f>'AS400'!C64</f>
        <v>0</v>
      </c>
      <c r="D64" s="7" t="str">
        <f>'AS400'!D64</f>
        <v>N</v>
      </c>
      <c r="E64" s="7" t="str">
        <f>'AS400'!E64</f>
        <v>N</v>
      </c>
      <c r="F64" s="7" t="str">
        <f>'AS400'!F64</f>
        <v>Y</v>
      </c>
      <c r="G64" s="7">
        <f>'AS400'!G64</f>
        <v>0</v>
      </c>
      <c r="H64" s="14"/>
      <c r="I64" s="7" t="str">
        <f>'AS400'!I64</f>
        <v>RSA</v>
      </c>
      <c r="J64" s="7" t="str">
        <f>'AS400'!J64</f>
        <v>METR</v>
      </c>
      <c r="K64" s="7" t="str">
        <f>'AS400'!K64</f>
        <v>N</v>
      </c>
      <c r="L64" s="7">
        <f>'AS400'!L64</f>
        <v>4</v>
      </c>
      <c r="M64" s="8">
        <f>'AS400'!M64</f>
        <v>1</v>
      </c>
      <c r="N64" s="7">
        <f>'AS400'!N64</f>
        <v>1</v>
      </c>
      <c r="O64" s="7" t="str">
        <f>'AS400'!O64</f>
        <v>MFEF</v>
      </c>
      <c r="P64" s="7">
        <f>'AS400'!P64</f>
        <v>100</v>
      </c>
      <c r="Q64" s="7">
        <f>'AS400'!Q64</f>
        <v>20180301</v>
      </c>
      <c r="R64" s="7">
        <f>'AS400'!R64</f>
        <v>20180301</v>
      </c>
      <c r="S64" s="7" t="str">
        <f>'AS400'!S64</f>
        <v>M</v>
      </c>
      <c r="T64" s="7" t="str">
        <f>'AS400'!T64</f>
        <v>ML</v>
      </c>
      <c r="U64" s="7">
        <f>'AS400'!U64</f>
        <v>20190301</v>
      </c>
      <c r="V64" s="7">
        <f>'AS400'!V64</f>
        <v>6</v>
      </c>
      <c r="W64" s="7">
        <f>'AS400'!W64</f>
        <v>6</v>
      </c>
      <c r="X64" s="7" t="str">
        <f>'AS400'!X64</f>
        <v>MFIX</v>
      </c>
      <c r="Y64" s="7">
        <f>'AS400'!Y64</f>
        <v>0</v>
      </c>
      <c r="Z64" s="7" t="str">
        <f>'AS400'!Z64</f>
        <v>STLV</v>
      </c>
      <c r="AA64" s="7">
        <f>'AS400'!AA64</f>
        <v>818</v>
      </c>
      <c r="AB64" s="7">
        <f>'AS400'!AB64</f>
        <v>0</v>
      </c>
      <c r="AC64" s="7">
        <f>'AS400'!AC64</f>
        <v>12</v>
      </c>
      <c r="AD64" s="7">
        <f>'AS400'!AD64</f>
        <v>20180201</v>
      </c>
      <c r="AE64" s="7">
        <f>'AS400'!AE64</f>
        <v>0</v>
      </c>
      <c r="AF64" s="7">
        <f>'AS400'!AF64</f>
        <v>25000</v>
      </c>
      <c r="AG64" s="7">
        <f>'AS400'!AG64</f>
        <v>107</v>
      </c>
      <c r="AI64" s="7">
        <f>'AS400'!AH64</f>
        <v>27</v>
      </c>
      <c r="AJ64" s="7">
        <f>'AS400'!AI64</f>
        <v>0</v>
      </c>
      <c r="AK64" s="7">
        <f>'AS400'!AJ64</f>
        <v>0</v>
      </c>
      <c r="AL64" s="7">
        <f>'AS400'!AK64</f>
        <v>0</v>
      </c>
      <c r="AM64" s="7">
        <f>'AS400'!AL64</f>
        <v>0</v>
      </c>
      <c r="AN64" s="7">
        <f>'AS400'!AM64</f>
        <v>0</v>
      </c>
      <c r="AO64" s="7">
        <f>'AS400'!AN64</f>
        <v>0</v>
      </c>
      <c r="AP64" s="7">
        <f>'AS400'!AO64</f>
        <v>0</v>
      </c>
      <c r="AQ64" s="7">
        <f>'AS400'!AP64</f>
        <v>0</v>
      </c>
      <c r="AR64" s="7">
        <f>'AS400'!AQ64</f>
        <v>0</v>
      </c>
      <c r="AS64" s="7">
        <f>'AS400'!AR64</f>
        <v>0</v>
      </c>
      <c r="AT64" s="7">
        <f>'AS400'!AS64</f>
        <v>0</v>
      </c>
      <c r="AU64" s="7">
        <f>'AS400'!AT64</f>
        <v>0</v>
      </c>
      <c r="AV64" s="7">
        <f>'AS400'!AU64</f>
        <v>0</v>
      </c>
      <c r="AW64" s="7">
        <f>'AS400'!AV64</f>
        <v>0</v>
      </c>
      <c r="AX64" s="7">
        <f>'AS400'!AW64</f>
        <v>0</v>
      </c>
      <c r="AY64" s="7">
        <f>'AS400'!AX64</f>
        <v>0</v>
      </c>
      <c r="AZ64" s="8">
        <f>'AS400'!AY64</f>
        <v>1</v>
      </c>
      <c r="BA64" s="7">
        <f>'AS400'!AZ64</f>
        <v>2</v>
      </c>
      <c r="BB64" s="7" t="str">
        <f>'AS400'!BA64</f>
        <v>PURO</v>
      </c>
      <c r="BC64" s="7">
        <f>'AS400'!BB64</f>
        <v>100</v>
      </c>
      <c r="BD64" s="7">
        <f>'AS400'!BC64</f>
        <v>20180301</v>
      </c>
      <c r="BE64" s="7">
        <f>'AS400'!BD64</f>
        <v>20180301</v>
      </c>
      <c r="BF64" s="7" t="str">
        <f>'AS400'!BE64</f>
        <v>S</v>
      </c>
      <c r="BG64" s="7" t="str">
        <f>'AS400'!BF64</f>
        <v>ME</v>
      </c>
      <c r="BH64" s="7">
        <f>'AS400'!BG64</f>
        <v>20180301</v>
      </c>
      <c r="BI64" s="7">
        <f>'AS400'!BH64</f>
        <v>0</v>
      </c>
      <c r="BJ64" s="7">
        <f>'AS400'!BI64</f>
        <v>0</v>
      </c>
      <c r="BK64" s="7">
        <f>'AS400'!BJ64</f>
        <v>0</v>
      </c>
      <c r="BL64" s="7">
        <f>'AS400'!BK64</f>
        <v>0</v>
      </c>
      <c r="BM64" s="7" t="str">
        <f>'AS400'!BL64</f>
        <v>STLV</v>
      </c>
      <c r="BN64" s="7">
        <f>'AS400'!BM64</f>
        <v>818</v>
      </c>
      <c r="BO64" s="7">
        <f>'AS400'!BN64</f>
        <v>0</v>
      </c>
      <c r="BP64" s="7">
        <f>'AS400'!BO64</f>
        <v>12</v>
      </c>
      <c r="BQ64" s="7">
        <f>'AS400'!BP64</f>
        <v>20180201</v>
      </c>
      <c r="BR64" s="7">
        <f>'AS400'!BQ64</f>
        <v>0</v>
      </c>
      <c r="BS64" s="7">
        <f>'AS400'!BR64</f>
        <v>0</v>
      </c>
      <c r="BT64" s="7">
        <f>'AS400'!BS64</f>
        <v>27</v>
      </c>
      <c r="BV64" s="7">
        <f>'AS400'!BT64</f>
        <v>27</v>
      </c>
      <c r="BW64" s="7">
        <f>'AS400'!BU64</f>
        <v>0</v>
      </c>
      <c r="BX64" s="7">
        <f>'AS400'!BV64</f>
        <v>0</v>
      </c>
      <c r="BY64" s="7">
        <f>'AS400'!BW64</f>
        <v>0</v>
      </c>
      <c r="BZ64" s="7">
        <f>'AS400'!BX64</f>
        <v>0</v>
      </c>
      <c r="CA64" s="7">
        <f>'AS400'!BY64</f>
        <v>0</v>
      </c>
      <c r="CB64" s="7">
        <f>'AS400'!BZ64</f>
        <v>0</v>
      </c>
      <c r="CC64" s="7">
        <f>'AS400'!CA64</f>
        <v>0</v>
      </c>
      <c r="CD64" s="7">
        <f>'AS400'!CB64</f>
        <v>0</v>
      </c>
      <c r="CE64" s="7">
        <f>'AS400'!CC64</f>
        <v>0</v>
      </c>
      <c r="CF64" s="7">
        <f>'AS400'!CD64</f>
        <v>0</v>
      </c>
      <c r="CG64" s="7">
        <f>'AS400'!CE64</f>
        <v>0</v>
      </c>
      <c r="CH64" s="7">
        <f>'AS400'!CF64</f>
        <v>0</v>
      </c>
      <c r="CI64" s="7">
        <f>'AS400'!CG64</f>
        <v>0</v>
      </c>
      <c r="CJ64" s="7">
        <f>'AS400'!CH64</f>
        <v>0</v>
      </c>
      <c r="CK64" s="7">
        <f>'AS400'!CI64</f>
        <v>0</v>
      </c>
      <c r="CL64" s="7">
        <f>'AS400'!CJ64</f>
        <v>0</v>
      </c>
      <c r="CM64" s="8">
        <f>'AS400'!CK64</f>
        <v>1</v>
      </c>
      <c r="CN64" s="7">
        <f>'AS400'!CL64</f>
        <v>3</v>
      </c>
      <c r="CO64" s="7" t="str">
        <f>'AS400'!CM64</f>
        <v>PUDT</v>
      </c>
      <c r="CP64" s="7">
        <f>'AS400'!CN64</f>
        <v>100</v>
      </c>
      <c r="CQ64" s="7">
        <f>'AS400'!CO64</f>
        <v>20180301</v>
      </c>
      <c r="CR64" s="7">
        <f>'AS400'!CP64</f>
        <v>20180301</v>
      </c>
      <c r="CS64" s="7" t="str">
        <f>'AS400'!CQ64</f>
        <v>S</v>
      </c>
      <c r="CT64" s="7" t="str">
        <f>'AS400'!CR64</f>
        <v>MT</v>
      </c>
      <c r="CU64" s="7">
        <f>'AS400'!CS64</f>
        <v>20180301</v>
      </c>
      <c r="CV64" s="7">
        <f>'AS400'!CT64</f>
        <v>0</v>
      </c>
      <c r="CW64" s="7">
        <f>'AS400'!CU64</f>
        <v>0</v>
      </c>
      <c r="CX64" s="7">
        <f>'AS400'!CV64</f>
        <v>0</v>
      </c>
      <c r="CY64" s="7">
        <f>'AS400'!CW64</f>
        <v>0</v>
      </c>
      <c r="CZ64" s="7" t="str">
        <f>'AS400'!CX64</f>
        <v>STLV</v>
      </c>
      <c r="DA64" s="7">
        <f>'AS400'!CY64</f>
        <v>818</v>
      </c>
      <c r="DB64" s="7">
        <f>'AS400'!CZ64</f>
        <v>0</v>
      </c>
      <c r="DC64" s="7">
        <f>'AS400'!DA64</f>
        <v>12</v>
      </c>
      <c r="DD64" s="7">
        <f>'AS400'!DB64</f>
        <v>20180201</v>
      </c>
      <c r="DE64" s="7">
        <f>'AS400'!DC64</f>
        <v>0</v>
      </c>
      <c r="DF64" s="7">
        <f>'AS400'!DD64</f>
        <v>0</v>
      </c>
      <c r="DG64" s="7">
        <f>'AS400'!DE64</f>
        <v>31</v>
      </c>
      <c r="DI64" s="7">
        <f>'AS400'!DF64</f>
        <v>27</v>
      </c>
      <c r="DJ64" s="7">
        <f>'AS400'!DG64</f>
        <v>0</v>
      </c>
      <c r="DK64" s="7">
        <f>'AS400'!DH64</f>
        <v>0</v>
      </c>
      <c r="DL64" s="7">
        <f>'AS400'!DI64</f>
        <v>0</v>
      </c>
      <c r="DM64" s="7">
        <f>'AS400'!DJ64</f>
        <v>0</v>
      </c>
      <c r="DN64" s="7">
        <f>'AS400'!DK64</f>
        <v>0</v>
      </c>
      <c r="DO64" s="7">
        <f>'AS400'!DL64</f>
        <v>0</v>
      </c>
      <c r="DP64" s="7">
        <f>'AS400'!DM64</f>
        <v>0</v>
      </c>
      <c r="DQ64" s="7">
        <f>'AS400'!DN64</f>
        <v>0</v>
      </c>
      <c r="DR64" s="7">
        <f>'AS400'!DO64</f>
        <v>0</v>
      </c>
      <c r="DS64" s="7">
        <f>'AS400'!DP64</f>
        <v>0</v>
      </c>
      <c r="DT64" s="7">
        <f>'AS400'!DQ64</f>
        <v>0</v>
      </c>
      <c r="DU64" s="7">
        <f>'AS400'!DR64</f>
        <v>0</v>
      </c>
      <c r="DV64" s="7">
        <f>'AS400'!DS64</f>
        <v>0</v>
      </c>
      <c r="DW64" s="7">
        <f>'AS400'!DT64</f>
        <v>0</v>
      </c>
      <c r="DX64" s="7">
        <f>'AS400'!DU64</f>
        <v>0</v>
      </c>
      <c r="DY64" s="7">
        <f>'AS400'!DV64</f>
        <v>0</v>
      </c>
      <c r="DZ64" s="8">
        <f>'AS400'!DW64</f>
        <v>1</v>
      </c>
      <c r="EA64" s="7">
        <f>'AS400'!DX64</f>
        <v>4</v>
      </c>
      <c r="EB64" s="7" t="str">
        <f>'AS400'!DY64</f>
        <v>PUDS</v>
      </c>
      <c r="EC64" s="7">
        <f>'AS400'!DZ64</f>
        <v>100</v>
      </c>
      <c r="ED64" s="7">
        <f>'AS400'!EA64</f>
        <v>20180301</v>
      </c>
      <c r="EE64" s="7">
        <f>'AS400'!EB64</f>
        <v>20180301</v>
      </c>
      <c r="EF64" s="7" t="str">
        <f>'AS400'!EC64</f>
        <v>S</v>
      </c>
      <c r="EG64" s="7" t="str">
        <f>'AS400'!ED64</f>
        <v>MS</v>
      </c>
      <c r="EH64" s="7">
        <f>'AS400'!EE64</f>
        <v>20180301</v>
      </c>
      <c r="EI64" s="7">
        <f>'AS400'!EF64</f>
        <v>0</v>
      </c>
      <c r="EJ64" s="7">
        <f>'AS400'!EG64</f>
        <v>0</v>
      </c>
      <c r="EK64" s="7">
        <f>'AS400'!EH64</f>
        <v>0</v>
      </c>
      <c r="EL64" s="7">
        <f>'AS400'!EI64</f>
        <v>0</v>
      </c>
      <c r="EM64" s="7" t="str">
        <f>'AS400'!EJ64</f>
        <v>STLV</v>
      </c>
      <c r="EN64" s="7">
        <f>'AS400'!EK64</f>
        <v>818</v>
      </c>
      <c r="EO64" s="7">
        <f>'AS400'!EL64</f>
        <v>0</v>
      </c>
      <c r="EP64" s="7">
        <f>'AS400'!EM64</f>
        <v>12</v>
      </c>
      <c r="EQ64" s="7">
        <f>'AS400'!EN64</f>
        <v>20180201</v>
      </c>
      <c r="ER64" s="7">
        <f>'AS400'!EO64</f>
        <v>0</v>
      </c>
      <c r="ES64" s="7">
        <f>'AS400'!EP64</f>
        <v>0</v>
      </c>
      <c r="ET64" s="7">
        <f>'AS400'!EQ64</f>
        <v>13</v>
      </c>
      <c r="EV64" s="7">
        <f>'AS400'!ER64</f>
        <v>27</v>
      </c>
      <c r="EW64" s="7">
        <f>'AS400'!ES64</f>
        <v>0</v>
      </c>
      <c r="EX64" s="7">
        <f>'AS400'!ET64</f>
        <v>0</v>
      </c>
      <c r="EY64" s="7">
        <f>'AS400'!EU64</f>
        <v>0</v>
      </c>
      <c r="EZ64" s="7">
        <f>'AS400'!EV64</f>
        <v>0</v>
      </c>
      <c r="FA64" s="7">
        <f>'AS400'!EW64</f>
        <v>0</v>
      </c>
      <c r="FB64" s="7">
        <f>'AS400'!EX64</f>
        <v>0</v>
      </c>
      <c r="FC64" s="7">
        <f>'AS400'!EY64</f>
        <v>0</v>
      </c>
      <c r="FD64" s="7">
        <f>'AS400'!EZ64</f>
        <v>0</v>
      </c>
      <c r="FE64" s="7">
        <f>'AS400'!FA64</f>
        <v>0</v>
      </c>
      <c r="FF64" s="7">
        <f>'AS400'!FB64</f>
        <v>0</v>
      </c>
      <c r="FG64" s="7">
        <f>'AS400'!FC64</f>
        <v>0</v>
      </c>
      <c r="FH64" s="7">
        <f>'AS400'!FD64</f>
        <v>0</v>
      </c>
      <c r="FI64" s="7">
        <f>'AS400'!FE64</f>
        <v>0</v>
      </c>
      <c r="FJ64" s="7">
        <f>'AS400'!FF64</f>
        <v>0</v>
      </c>
      <c r="FK64" s="7">
        <f>'AS400'!FG64</f>
        <v>0</v>
      </c>
      <c r="FL64" s="7">
        <f>'AS400'!FH64</f>
        <v>0</v>
      </c>
      <c r="FM64" s="7">
        <f>'AS400'!FI64</f>
        <v>1</v>
      </c>
      <c r="FN64" s="7">
        <f>'AS400'!FJ64</f>
        <v>1</v>
      </c>
      <c r="FO64" s="7">
        <f>'AS400'!FO64</f>
        <v>0</v>
      </c>
      <c r="FP64" s="7">
        <f>'AS400'!FP64</f>
        <v>4</v>
      </c>
      <c r="FQ64" s="7">
        <f>'AS400'!FQ64</f>
        <v>1</v>
      </c>
      <c r="FR64" s="7">
        <f>'AS400'!FR64</f>
        <v>1</v>
      </c>
      <c r="FS64" s="13">
        <f>'AS400'!FO64</f>
        <v>0</v>
      </c>
    </row>
    <row r="65" spans="1:175">
      <c r="A65" s="7">
        <f>'AS400'!A65</f>
        <v>59</v>
      </c>
      <c r="B65" s="7">
        <f>'AS400'!B65</f>
        <v>20190301</v>
      </c>
      <c r="C65" s="7">
        <f>'AS400'!C65</f>
        <v>0</v>
      </c>
      <c r="D65" s="7" t="str">
        <f>'AS400'!D65</f>
        <v>N</v>
      </c>
      <c r="E65" s="7" t="str">
        <f>'AS400'!E65</f>
        <v>N</v>
      </c>
      <c r="F65" s="7" t="str">
        <f>'AS400'!F65</f>
        <v>Y</v>
      </c>
      <c r="G65" s="7">
        <f>'AS400'!G65</f>
        <v>0</v>
      </c>
      <c r="H65" s="14"/>
      <c r="I65" s="7" t="str">
        <f>'AS400'!I65</f>
        <v>RSA</v>
      </c>
      <c r="J65" s="7" t="str">
        <f>'AS400'!J65</f>
        <v>METR</v>
      </c>
      <c r="K65" s="7" t="str">
        <f>'AS400'!K65</f>
        <v>N</v>
      </c>
      <c r="L65" s="7">
        <f>'AS400'!L65</f>
        <v>4</v>
      </c>
      <c r="M65" s="8">
        <f>'AS400'!M65</f>
        <v>1</v>
      </c>
      <c r="N65" s="7">
        <f>'AS400'!N65</f>
        <v>1</v>
      </c>
      <c r="O65" s="7" t="str">
        <f>'AS400'!O65</f>
        <v>MFEF</v>
      </c>
      <c r="P65" s="7">
        <f>'AS400'!P65</f>
        <v>100</v>
      </c>
      <c r="Q65" s="7">
        <f>'AS400'!Q65</f>
        <v>20180301</v>
      </c>
      <c r="R65" s="7">
        <f>'AS400'!R65</f>
        <v>20180301</v>
      </c>
      <c r="S65" s="7" t="str">
        <f>'AS400'!S65</f>
        <v>M</v>
      </c>
      <c r="T65" s="7" t="str">
        <f>'AS400'!T65</f>
        <v>ML</v>
      </c>
      <c r="U65" s="7">
        <f>'AS400'!U65</f>
        <v>20190301</v>
      </c>
      <c r="V65" s="7">
        <f>'AS400'!V65</f>
        <v>6</v>
      </c>
      <c r="W65" s="7">
        <f>'AS400'!W65</f>
        <v>6</v>
      </c>
      <c r="X65" s="7" t="str">
        <f>'AS400'!X65</f>
        <v>MFIX</v>
      </c>
      <c r="Y65" s="7">
        <f>'AS400'!Y65</f>
        <v>0</v>
      </c>
      <c r="Z65" s="7" t="str">
        <f>'AS400'!Z65</f>
        <v>STLV</v>
      </c>
      <c r="AA65" s="7">
        <f>'AS400'!AA65</f>
        <v>818</v>
      </c>
      <c r="AB65" s="7">
        <f>'AS400'!AB65</f>
        <v>0</v>
      </c>
      <c r="AC65" s="7">
        <f>'AS400'!AC65</f>
        <v>12</v>
      </c>
      <c r="AD65" s="7">
        <f>'AS400'!AD65</f>
        <v>20180201</v>
      </c>
      <c r="AE65" s="7">
        <f>'AS400'!AE65</f>
        <v>0</v>
      </c>
      <c r="AF65" s="7">
        <f>'AS400'!AF65</f>
        <v>20000</v>
      </c>
      <c r="AG65" s="7">
        <f>'AS400'!AG65</f>
        <v>95</v>
      </c>
      <c r="AI65" s="7">
        <f>'AS400'!AH65</f>
        <v>26</v>
      </c>
      <c r="AJ65" s="7">
        <f>'AS400'!AI65</f>
        <v>0</v>
      </c>
      <c r="AK65" s="7">
        <f>'AS400'!AJ65</f>
        <v>0</v>
      </c>
      <c r="AL65" s="7">
        <f>'AS400'!AK65</f>
        <v>0</v>
      </c>
      <c r="AM65" s="7">
        <f>'AS400'!AL65</f>
        <v>0</v>
      </c>
      <c r="AN65" s="7">
        <f>'AS400'!AM65</f>
        <v>0</v>
      </c>
      <c r="AO65" s="7">
        <f>'AS400'!AN65</f>
        <v>0</v>
      </c>
      <c r="AP65" s="7">
        <f>'AS400'!AO65</f>
        <v>0</v>
      </c>
      <c r="AQ65" s="7">
        <f>'AS400'!AP65</f>
        <v>0</v>
      </c>
      <c r="AR65" s="7">
        <f>'AS400'!AQ65</f>
        <v>0</v>
      </c>
      <c r="AS65" s="7">
        <f>'AS400'!AR65</f>
        <v>0</v>
      </c>
      <c r="AT65" s="7">
        <f>'AS400'!AS65</f>
        <v>0</v>
      </c>
      <c r="AU65" s="7">
        <f>'AS400'!AT65</f>
        <v>0</v>
      </c>
      <c r="AV65" s="7">
        <f>'AS400'!AU65</f>
        <v>0</v>
      </c>
      <c r="AW65" s="7">
        <f>'AS400'!AV65</f>
        <v>0</v>
      </c>
      <c r="AX65" s="7">
        <f>'AS400'!AW65</f>
        <v>0</v>
      </c>
      <c r="AY65" s="7">
        <f>'AS400'!AX65</f>
        <v>0</v>
      </c>
      <c r="AZ65" s="8">
        <f>'AS400'!AY65</f>
        <v>1</v>
      </c>
      <c r="BA65" s="7">
        <f>'AS400'!AZ65</f>
        <v>2</v>
      </c>
      <c r="BB65" s="7" t="str">
        <f>'AS400'!BA65</f>
        <v>PURO</v>
      </c>
      <c r="BC65" s="7">
        <f>'AS400'!BB65</f>
        <v>100</v>
      </c>
      <c r="BD65" s="7">
        <f>'AS400'!BC65</f>
        <v>20180301</v>
      </c>
      <c r="BE65" s="7">
        <f>'AS400'!BD65</f>
        <v>20180301</v>
      </c>
      <c r="BF65" s="7" t="str">
        <f>'AS400'!BE65</f>
        <v>S</v>
      </c>
      <c r="BG65" s="7" t="str">
        <f>'AS400'!BF65</f>
        <v>ME</v>
      </c>
      <c r="BH65" s="7">
        <f>'AS400'!BG65</f>
        <v>20180301</v>
      </c>
      <c r="BI65" s="7">
        <f>'AS400'!BH65</f>
        <v>0</v>
      </c>
      <c r="BJ65" s="7">
        <f>'AS400'!BI65</f>
        <v>0</v>
      </c>
      <c r="BK65" s="7">
        <f>'AS400'!BJ65</f>
        <v>0</v>
      </c>
      <c r="BL65" s="7">
        <f>'AS400'!BK65</f>
        <v>0</v>
      </c>
      <c r="BM65" s="7" t="str">
        <f>'AS400'!BL65</f>
        <v>STLV</v>
      </c>
      <c r="BN65" s="7">
        <f>'AS400'!BM65</f>
        <v>818</v>
      </c>
      <c r="BO65" s="7">
        <f>'AS400'!BN65</f>
        <v>0</v>
      </c>
      <c r="BP65" s="7">
        <f>'AS400'!BO65</f>
        <v>12</v>
      </c>
      <c r="BQ65" s="7">
        <f>'AS400'!BP65</f>
        <v>20180201</v>
      </c>
      <c r="BR65" s="7">
        <f>'AS400'!BQ65</f>
        <v>0</v>
      </c>
      <c r="BS65" s="7">
        <f>'AS400'!BR65</f>
        <v>0</v>
      </c>
      <c r="BT65" s="7">
        <f>'AS400'!BS65</f>
        <v>25</v>
      </c>
      <c r="BV65" s="7">
        <f>'AS400'!BT65</f>
        <v>26</v>
      </c>
      <c r="BW65" s="7">
        <f>'AS400'!BU65</f>
        <v>0</v>
      </c>
      <c r="BX65" s="7">
        <f>'AS400'!BV65</f>
        <v>0</v>
      </c>
      <c r="BY65" s="7">
        <f>'AS400'!BW65</f>
        <v>0</v>
      </c>
      <c r="BZ65" s="7">
        <f>'AS400'!BX65</f>
        <v>0</v>
      </c>
      <c r="CA65" s="7">
        <f>'AS400'!BY65</f>
        <v>0</v>
      </c>
      <c r="CB65" s="7">
        <f>'AS400'!BZ65</f>
        <v>0</v>
      </c>
      <c r="CC65" s="7">
        <f>'AS400'!CA65</f>
        <v>0</v>
      </c>
      <c r="CD65" s="7">
        <f>'AS400'!CB65</f>
        <v>0</v>
      </c>
      <c r="CE65" s="7">
        <f>'AS400'!CC65</f>
        <v>0</v>
      </c>
      <c r="CF65" s="7">
        <f>'AS400'!CD65</f>
        <v>0</v>
      </c>
      <c r="CG65" s="7">
        <f>'AS400'!CE65</f>
        <v>0</v>
      </c>
      <c r="CH65" s="7">
        <f>'AS400'!CF65</f>
        <v>0</v>
      </c>
      <c r="CI65" s="7">
        <f>'AS400'!CG65</f>
        <v>0</v>
      </c>
      <c r="CJ65" s="7">
        <f>'AS400'!CH65</f>
        <v>0</v>
      </c>
      <c r="CK65" s="7">
        <f>'AS400'!CI65</f>
        <v>0</v>
      </c>
      <c r="CL65" s="7">
        <f>'AS400'!CJ65</f>
        <v>0</v>
      </c>
      <c r="CM65" s="8">
        <f>'AS400'!CK65</f>
        <v>1</v>
      </c>
      <c r="CN65" s="7">
        <f>'AS400'!CL65</f>
        <v>3</v>
      </c>
      <c r="CO65" s="7" t="str">
        <f>'AS400'!CM65</f>
        <v>PUDT</v>
      </c>
      <c r="CP65" s="7">
        <f>'AS400'!CN65</f>
        <v>100</v>
      </c>
      <c r="CQ65" s="7">
        <f>'AS400'!CO65</f>
        <v>20180301</v>
      </c>
      <c r="CR65" s="7">
        <f>'AS400'!CP65</f>
        <v>20180301</v>
      </c>
      <c r="CS65" s="7" t="str">
        <f>'AS400'!CQ65</f>
        <v>S</v>
      </c>
      <c r="CT65" s="7" t="str">
        <f>'AS400'!CR65</f>
        <v>MT</v>
      </c>
      <c r="CU65" s="7">
        <f>'AS400'!CS65</f>
        <v>20180301</v>
      </c>
      <c r="CV65" s="7">
        <f>'AS400'!CT65</f>
        <v>0</v>
      </c>
      <c r="CW65" s="7">
        <f>'AS400'!CU65</f>
        <v>0</v>
      </c>
      <c r="CX65" s="7">
        <f>'AS400'!CV65</f>
        <v>0</v>
      </c>
      <c r="CY65" s="7">
        <f>'AS400'!CW65</f>
        <v>0</v>
      </c>
      <c r="CZ65" s="7" t="str">
        <f>'AS400'!CX65</f>
        <v>STLV</v>
      </c>
      <c r="DA65" s="7">
        <f>'AS400'!CY65</f>
        <v>818</v>
      </c>
      <c r="DB65" s="7">
        <f>'AS400'!CZ65</f>
        <v>0</v>
      </c>
      <c r="DC65" s="7">
        <f>'AS400'!DA65</f>
        <v>12</v>
      </c>
      <c r="DD65" s="7">
        <f>'AS400'!DB65</f>
        <v>20180201</v>
      </c>
      <c r="DE65" s="7">
        <f>'AS400'!DC65</f>
        <v>0</v>
      </c>
      <c r="DF65" s="7">
        <f>'AS400'!DD65</f>
        <v>0</v>
      </c>
      <c r="DG65" s="7">
        <f>'AS400'!DE65</f>
        <v>28</v>
      </c>
      <c r="DI65" s="7">
        <f>'AS400'!DF65</f>
        <v>26</v>
      </c>
      <c r="DJ65" s="7">
        <f>'AS400'!DG65</f>
        <v>0</v>
      </c>
      <c r="DK65" s="7">
        <f>'AS400'!DH65</f>
        <v>0</v>
      </c>
      <c r="DL65" s="7">
        <f>'AS400'!DI65</f>
        <v>0</v>
      </c>
      <c r="DM65" s="7">
        <f>'AS400'!DJ65</f>
        <v>0</v>
      </c>
      <c r="DN65" s="7">
        <f>'AS400'!DK65</f>
        <v>0</v>
      </c>
      <c r="DO65" s="7">
        <f>'AS400'!DL65</f>
        <v>0</v>
      </c>
      <c r="DP65" s="7">
        <f>'AS400'!DM65</f>
        <v>0</v>
      </c>
      <c r="DQ65" s="7">
        <f>'AS400'!DN65</f>
        <v>0</v>
      </c>
      <c r="DR65" s="7">
        <f>'AS400'!DO65</f>
        <v>0</v>
      </c>
      <c r="DS65" s="7">
        <f>'AS400'!DP65</f>
        <v>0</v>
      </c>
      <c r="DT65" s="7">
        <f>'AS400'!DQ65</f>
        <v>0</v>
      </c>
      <c r="DU65" s="7">
        <f>'AS400'!DR65</f>
        <v>0</v>
      </c>
      <c r="DV65" s="7">
        <f>'AS400'!DS65</f>
        <v>0</v>
      </c>
      <c r="DW65" s="7">
        <f>'AS400'!DT65</f>
        <v>0</v>
      </c>
      <c r="DX65" s="7">
        <f>'AS400'!DU65</f>
        <v>0</v>
      </c>
      <c r="DY65" s="7">
        <f>'AS400'!DV65</f>
        <v>0</v>
      </c>
      <c r="DZ65" s="8">
        <f>'AS400'!DW65</f>
        <v>1</v>
      </c>
      <c r="EA65" s="7">
        <f>'AS400'!DX65</f>
        <v>4</v>
      </c>
      <c r="EB65" s="7" t="str">
        <f>'AS400'!DY65</f>
        <v>PUDS</v>
      </c>
      <c r="EC65" s="7">
        <f>'AS400'!DZ65</f>
        <v>100</v>
      </c>
      <c r="ED65" s="7">
        <f>'AS400'!EA65</f>
        <v>20180301</v>
      </c>
      <c r="EE65" s="7">
        <f>'AS400'!EB65</f>
        <v>20180301</v>
      </c>
      <c r="EF65" s="7" t="str">
        <f>'AS400'!EC65</f>
        <v>S</v>
      </c>
      <c r="EG65" s="7" t="str">
        <f>'AS400'!ED65</f>
        <v>MS</v>
      </c>
      <c r="EH65" s="7">
        <f>'AS400'!EE65</f>
        <v>20180301</v>
      </c>
      <c r="EI65" s="7">
        <f>'AS400'!EF65</f>
        <v>0</v>
      </c>
      <c r="EJ65" s="7">
        <f>'AS400'!EG65</f>
        <v>0</v>
      </c>
      <c r="EK65" s="7">
        <f>'AS400'!EH65</f>
        <v>0</v>
      </c>
      <c r="EL65" s="7">
        <f>'AS400'!EI65</f>
        <v>0</v>
      </c>
      <c r="EM65" s="7" t="str">
        <f>'AS400'!EJ65</f>
        <v>STLV</v>
      </c>
      <c r="EN65" s="7">
        <f>'AS400'!EK65</f>
        <v>818</v>
      </c>
      <c r="EO65" s="7">
        <f>'AS400'!EL65</f>
        <v>0</v>
      </c>
      <c r="EP65" s="7">
        <f>'AS400'!EM65</f>
        <v>12</v>
      </c>
      <c r="EQ65" s="7">
        <f>'AS400'!EN65</f>
        <v>20180201</v>
      </c>
      <c r="ER65" s="7">
        <f>'AS400'!EO65</f>
        <v>0</v>
      </c>
      <c r="ES65" s="7">
        <f>'AS400'!EP65</f>
        <v>0</v>
      </c>
      <c r="ET65" s="7">
        <f>'AS400'!EQ65</f>
        <v>12</v>
      </c>
      <c r="EV65" s="7">
        <f>'AS400'!ER65</f>
        <v>26</v>
      </c>
      <c r="EW65" s="7">
        <f>'AS400'!ES65</f>
        <v>0</v>
      </c>
      <c r="EX65" s="7">
        <f>'AS400'!ET65</f>
        <v>0</v>
      </c>
      <c r="EY65" s="7">
        <f>'AS400'!EU65</f>
        <v>0</v>
      </c>
      <c r="EZ65" s="7">
        <f>'AS400'!EV65</f>
        <v>0</v>
      </c>
      <c r="FA65" s="7">
        <f>'AS400'!EW65</f>
        <v>0</v>
      </c>
      <c r="FB65" s="7">
        <f>'AS400'!EX65</f>
        <v>0</v>
      </c>
      <c r="FC65" s="7">
        <f>'AS400'!EY65</f>
        <v>0</v>
      </c>
      <c r="FD65" s="7">
        <f>'AS400'!EZ65</f>
        <v>0</v>
      </c>
      <c r="FE65" s="7">
        <f>'AS400'!FA65</f>
        <v>0</v>
      </c>
      <c r="FF65" s="7">
        <f>'AS400'!FB65</f>
        <v>0</v>
      </c>
      <c r="FG65" s="7">
        <f>'AS400'!FC65</f>
        <v>0</v>
      </c>
      <c r="FH65" s="7">
        <f>'AS400'!FD65</f>
        <v>0</v>
      </c>
      <c r="FI65" s="7">
        <f>'AS400'!FE65</f>
        <v>0</v>
      </c>
      <c r="FJ65" s="7">
        <f>'AS400'!FF65</f>
        <v>0</v>
      </c>
      <c r="FK65" s="7">
        <f>'AS400'!FG65</f>
        <v>0</v>
      </c>
      <c r="FL65" s="7">
        <f>'AS400'!FH65</f>
        <v>0</v>
      </c>
      <c r="FM65" s="7">
        <f>'AS400'!FI65</f>
        <v>1</v>
      </c>
      <c r="FN65" s="7">
        <f>'AS400'!FJ65</f>
        <v>1</v>
      </c>
      <c r="FO65" s="7">
        <f>'AS400'!FO65</f>
        <v>0</v>
      </c>
      <c r="FP65" s="7">
        <f>'AS400'!FP65</f>
        <v>4</v>
      </c>
      <c r="FQ65" s="7">
        <f>'AS400'!FQ65</f>
        <v>1</v>
      </c>
      <c r="FR65" s="7">
        <f>'AS400'!FR65</f>
        <v>1</v>
      </c>
      <c r="FS65" s="13">
        <f>'AS400'!FO65</f>
        <v>0</v>
      </c>
    </row>
    <row r="66" spans="1:175">
      <c r="A66" s="7">
        <f>'AS400'!A66</f>
        <v>60</v>
      </c>
      <c r="B66" s="7">
        <f>'AS400'!B66</f>
        <v>20190301</v>
      </c>
      <c r="C66" s="7">
        <f>'AS400'!C66</f>
        <v>0</v>
      </c>
      <c r="D66" s="7" t="str">
        <f>'AS400'!D66</f>
        <v>N</v>
      </c>
      <c r="E66" s="7" t="str">
        <f>'AS400'!E66</f>
        <v>N</v>
      </c>
      <c r="F66" s="7" t="str">
        <f>'AS400'!F66</f>
        <v>Y</v>
      </c>
      <c r="G66" s="7">
        <f>'AS400'!G66</f>
        <v>0</v>
      </c>
      <c r="H66" s="14"/>
      <c r="I66" s="7" t="str">
        <f>'AS400'!I66</f>
        <v>RSA</v>
      </c>
      <c r="J66" s="7" t="str">
        <f>'AS400'!J66</f>
        <v>METR</v>
      </c>
      <c r="K66" s="7" t="str">
        <f>'AS400'!K66</f>
        <v>N</v>
      </c>
      <c r="L66" s="7">
        <f>'AS400'!L66</f>
        <v>4</v>
      </c>
      <c r="M66" s="8">
        <f>'AS400'!M66</f>
        <v>1</v>
      </c>
      <c r="N66" s="7">
        <f>'AS400'!N66</f>
        <v>1</v>
      </c>
      <c r="O66" s="7" t="str">
        <f>'AS400'!O66</f>
        <v>MFEF</v>
      </c>
      <c r="P66" s="7">
        <f>'AS400'!P66</f>
        <v>100</v>
      </c>
      <c r="Q66" s="7">
        <f>'AS400'!Q66</f>
        <v>20180301</v>
      </c>
      <c r="R66" s="7">
        <f>'AS400'!R66</f>
        <v>20180301</v>
      </c>
      <c r="S66" s="7" t="str">
        <f>'AS400'!S66</f>
        <v>M</v>
      </c>
      <c r="T66" s="7" t="str">
        <f>'AS400'!T66</f>
        <v>ML</v>
      </c>
      <c r="U66" s="7">
        <f>'AS400'!U66</f>
        <v>20190301</v>
      </c>
      <c r="V66" s="7">
        <f>'AS400'!V66</f>
        <v>6</v>
      </c>
      <c r="W66" s="7">
        <f>'AS400'!W66</f>
        <v>6</v>
      </c>
      <c r="X66" s="7" t="str">
        <f>'AS400'!X66</f>
        <v>MFIX</v>
      </c>
      <c r="Y66" s="7">
        <f>'AS400'!Y66</f>
        <v>0</v>
      </c>
      <c r="Z66" s="7" t="str">
        <f>'AS400'!Z66</f>
        <v>STLV</v>
      </c>
      <c r="AA66" s="7">
        <f>'AS400'!AA66</f>
        <v>818</v>
      </c>
      <c r="AB66" s="7">
        <f>'AS400'!AB66</f>
        <v>0</v>
      </c>
      <c r="AC66" s="7">
        <f>'AS400'!AC66</f>
        <v>12</v>
      </c>
      <c r="AD66" s="7">
        <f>'AS400'!AD66</f>
        <v>20180201</v>
      </c>
      <c r="AE66" s="7">
        <f>'AS400'!AE66</f>
        <v>0</v>
      </c>
      <c r="AF66" s="7">
        <f>'AS400'!AF66</f>
        <v>15000</v>
      </c>
      <c r="AG66" s="7">
        <f>'AS400'!AG66</f>
        <v>73</v>
      </c>
      <c r="AI66" s="7">
        <f>'AS400'!AH66</f>
        <v>25</v>
      </c>
      <c r="AJ66" s="7">
        <f>'AS400'!AI66</f>
        <v>0</v>
      </c>
      <c r="AK66" s="7">
        <f>'AS400'!AJ66</f>
        <v>0</v>
      </c>
      <c r="AL66" s="7">
        <f>'AS400'!AK66</f>
        <v>0</v>
      </c>
      <c r="AM66" s="7">
        <f>'AS400'!AL66</f>
        <v>0</v>
      </c>
      <c r="AN66" s="7">
        <f>'AS400'!AM66</f>
        <v>0</v>
      </c>
      <c r="AO66" s="7">
        <f>'AS400'!AN66</f>
        <v>0</v>
      </c>
      <c r="AP66" s="7">
        <f>'AS400'!AO66</f>
        <v>0</v>
      </c>
      <c r="AQ66" s="7">
        <f>'AS400'!AP66</f>
        <v>0</v>
      </c>
      <c r="AR66" s="7">
        <f>'AS400'!AQ66</f>
        <v>0</v>
      </c>
      <c r="AS66" s="7">
        <f>'AS400'!AR66</f>
        <v>0</v>
      </c>
      <c r="AT66" s="7">
        <f>'AS400'!AS66</f>
        <v>0</v>
      </c>
      <c r="AU66" s="7">
        <f>'AS400'!AT66</f>
        <v>0</v>
      </c>
      <c r="AV66" s="7">
        <f>'AS400'!AU66</f>
        <v>0</v>
      </c>
      <c r="AW66" s="7">
        <f>'AS400'!AV66</f>
        <v>0</v>
      </c>
      <c r="AX66" s="7">
        <f>'AS400'!AW66</f>
        <v>0</v>
      </c>
      <c r="AY66" s="7">
        <f>'AS400'!AX66</f>
        <v>0</v>
      </c>
      <c r="AZ66" s="8">
        <f>'AS400'!AY66</f>
        <v>1</v>
      </c>
      <c r="BA66" s="7">
        <f>'AS400'!AZ66</f>
        <v>2</v>
      </c>
      <c r="BB66" s="7" t="str">
        <f>'AS400'!BA66</f>
        <v>PURO</v>
      </c>
      <c r="BC66" s="7">
        <f>'AS400'!BB66</f>
        <v>100</v>
      </c>
      <c r="BD66" s="7">
        <f>'AS400'!BC66</f>
        <v>20180301</v>
      </c>
      <c r="BE66" s="7">
        <f>'AS400'!BD66</f>
        <v>20180301</v>
      </c>
      <c r="BF66" s="7" t="str">
        <f>'AS400'!BE66</f>
        <v>S</v>
      </c>
      <c r="BG66" s="7" t="str">
        <f>'AS400'!BF66</f>
        <v>ME</v>
      </c>
      <c r="BH66" s="7">
        <f>'AS400'!BG66</f>
        <v>20180301</v>
      </c>
      <c r="BI66" s="7">
        <f>'AS400'!BH66</f>
        <v>0</v>
      </c>
      <c r="BJ66" s="7">
        <f>'AS400'!BI66</f>
        <v>0</v>
      </c>
      <c r="BK66" s="7">
        <f>'AS400'!BJ66</f>
        <v>0</v>
      </c>
      <c r="BL66" s="7">
        <f>'AS400'!BK66</f>
        <v>0</v>
      </c>
      <c r="BM66" s="7" t="str">
        <f>'AS400'!BL66</f>
        <v>STLV</v>
      </c>
      <c r="BN66" s="7">
        <f>'AS400'!BM66</f>
        <v>818</v>
      </c>
      <c r="BO66" s="7">
        <f>'AS400'!BN66</f>
        <v>0</v>
      </c>
      <c r="BP66" s="7">
        <f>'AS400'!BO66</f>
        <v>12</v>
      </c>
      <c r="BQ66" s="7">
        <f>'AS400'!BP66</f>
        <v>20180201</v>
      </c>
      <c r="BR66" s="7">
        <f>'AS400'!BQ66</f>
        <v>0</v>
      </c>
      <c r="BS66" s="7">
        <f>'AS400'!BR66</f>
        <v>0</v>
      </c>
      <c r="BT66" s="7">
        <f>'AS400'!BS66</f>
        <v>23</v>
      </c>
      <c r="BV66" s="7">
        <f>'AS400'!BT66</f>
        <v>25</v>
      </c>
      <c r="BW66" s="7">
        <f>'AS400'!BU66</f>
        <v>0</v>
      </c>
      <c r="BX66" s="7">
        <f>'AS400'!BV66</f>
        <v>0</v>
      </c>
      <c r="BY66" s="7">
        <f>'AS400'!BW66</f>
        <v>0</v>
      </c>
      <c r="BZ66" s="7">
        <f>'AS400'!BX66</f>
        <v>0</v>
      </c>
      <c r="CA66" s="7">
        <f>'AS400'!BY66</f>
        <v>0</v>
      </c>
      <c r="CB66" s="7">
        <f>'AS400'!BZ66</f>
        <v>0</v>
      </c>
      <c r="CC66" s="7">
        <f>'AS400'!CA66</f>
        <v>0</v>
      </c>
      <c r="CD66" s="7">
        <f>'AS400'!CB66</f>
        <v>0</v>
      </c>
      <c r="CE66" s="7">
        <f>'AS400'!CC66</f>
        <v>0</v>
      </c>
      <c r="CF66" s="7">
        <f>'AS400'!CD66</f>
        <v>0</v>
      </c>
      <c r="CG66" s="7">
        <f>'AS400'!CE66</f>
        <v>0</v>
      </c>
      <c r="CH66" s="7">
        <f>'AS400'!CF66</f>
        <v>0</v>
      </c>
      <c r="CI66" s="7">
        <f>'AS400'!CG66</f>
        <v>0</v>
      </c>
      <c r="CJ66" s="7">
        <f>'AS400'!CH66</f>
        <v>0</v>
      </c>
      <c r="CK66" s="7">
        <f>'AS400'!CI66</f>
        <v>0</v>
      </c>
      <c r="CL66" s="7">
        <f>'AS400'!CJ66</f>
        <v>0</v>
      </c>
      <c r="CM66" s="8">
        <f>'AS400'!CK66</f>
        <v>1</v>
      </c>
      <c r="CN66" s="7">
        <f>'AS400'!CL66</f>
        <v>3</v>
      </c>
      <c r="CO66" s="7" t="str">
        <f>'AS400'!CM66</f>
        <v>PUDT</v>
      </c>
      <c r="CP66" s="7">
        <f>'AS400'!CN66</f>
        <v>100</v>
      </c>
      <c r="CQ66" s="7">
        <f>'AS400'!CO66</f>
        <v>20180301</v>
      </c>
      <c r="CR66" s="7">
        <f>'AS400'!CP66</f>
        <v>20180301</v>
      </c>
      <c r="CS66" s="7" t="str">
        <f>'AS400'!CQ66</f>
        <v>S</v>
      </c>
      <c r="CT66" s="7" t="str">
        <f>'AS400'!CR66</f>
        <v>MT</v>
      </c>
      <c r="CU66" s="7">
        <f>'AS400'!CS66</f>
        <v>20180301</v>
      </c>
      <c r="CV66" s="7">
        <f>'AS400'!CT66</f>
        <v>0</v>
      </c>
      <c r="CW66" s="7">
        <f>'AS400'!CU66</f>
        <v>0</v>
      </c>
      <c r="CX66" s="7">
        <f>'AS400'!CV66</f>
        <v>0</v>
      </c>
      <c r="CY66" s="7">
        <f>'AS400'!CW66</f>
        <v>0</v>
      </c>
      <c r="CZ66" s="7" t="str">
        <f>'AS400'!CX66</f>
        <v>STLV</v>
      </c>
      <c r="DA66" s="7">
        <f>'AS400'!CY66</f>
        <v>818</v>
      </c>
      <c r="DB66" s="7">
        <f>'AS400'!CZ66</f>
        <v>0</v>
      </c>
      <c r="DC66" s="7">
        <f>'AS400'!DA66</f>
        <v>12</v>
      </c>
      <c r="DD66" s="7">
        <f>'AS400'!DB66</f>
        <v>20180201</v>
      </c>
      <c r="DE66" s="7">
        <f>'AS400'!DC66</f>
        <v>0</v>
      </c>
      <c r="DF66" s="7">
        <f>'AS400'!DD66</f>
        <v>0</v>
      </c>
      <c r="DG66" s="7">
        <f>'AS400'!DE66</f>
        <v>24</v>
      </c>
      <c r="DI66" s="7">
        <f>'AS400'!DF66</f>
        <v>25</v>
      </c>
      <c r="DJ66" s="7">
        <f>'AS400'!DG66</f>
        <v>0</v>
      </c>
      <c r="DK66" s="7">
        <f>'AS400'!DH66</f>
        <v>0</v>
      </c>
      <c r="DL66" s="7">
        <f>'AS400'!DI66</f>
        <v>0</v>
      </c>
      <c r="DM66" s="7">
        <f>'AS400'!DJ66</f>
        <v>0</v>
      </c>
      <c r="DN66" s="7">
        <f>'AS400'!DK66</f>
        <v>0</v>
      </c>
      <c r="DO66" s="7">
        <f>'AS400'!DL66</f>
        <v>0</v>
      </c>
      <c r="DP66" s="7">
        <f>'AS400'!DM66</f>
        <v>0</v>
      </c>
      <c r="DQ66" s="7">
        <f>'AS400'!DN66</f>
        <v>0</v>
      </c>
      <c r="DR66" s="7">
        <f>'AS400'!DO66</f>
        <v>0</v>
      </c>
      <c r="DS66" s="7">
        <f>'AS400'!DP66</f>
        <v>0</v>
      </c>
      <c r="DT66" s="7">
        <f>'AS400'!DQ66</f>
        <v>0</v>
      </c>
      <c r="DU66" s="7">
        <f>'AS400'!DR66</f>
        <v>0</v>
      </c>
      <c r="DV66" s="7">
        <f>'AS400'!DS66</f>
        <v>0</v>
      </c>
      <c r="DW66" s="7">
        <f>'AS400'!DT66</f>
        <v>0</v>
      </c>
      <c r="DX66" s="7">
        <f>'AS400'!DU66</f>
        <v>0</v>
      </c>
      <c r="DY66" s="7">
        <f>'AS400'!DV66</f>
        <v>0</v>
      </c>
      <c r="DZ66" s="8">
        <f>'AS400'!DW66</f>
        <v>1</v>
      </c>
      <c r="EA66" s="7">
        <f>'AS400'!DX66</f>
        <v>4</v>
      </c>
      <c r="EB66" s="7" t="str">
        <f>'AS400'!DY66</f>
        <v>PUDS</v>
      </c>
      <c r="EC66" s="7">
        <f>'AS400'!DZ66</f>
        <v>100</v>
      </c>
      <c r="ED66" s="7">
        <f>'AS400'!EA66</f>
        <v>20180301</v>
      </c>
      <c r="EE66" s="7">
        <f>'AS400'!EB66</f>
        <v>20180301</v>
      </c>
      <c r="EF66" s="7" t="str">
        <f>'AS400'!EC66</f>
        <v>S</v>
      </c>
      <c r="EG66" s="7" t="str">
        <f>'AS400'!ED66</f>
        <v>MS</v>
      </c>
      <c r="EH66" s="7">
        <f>'AS400'!EE66</f>
        <v>20180301</v>
      </c>
      <c r="EI66" s="7">
        <f>'AS400'!EF66</f>
        <v>0</v>
      </c>
      <c r="EJ66" s="7">
        <f>'AS400'!EG66</f>
        <v>0</v>
      </c>
      <c r="EK66" s="7">
        <f>'AS400'!EH66</f>
        <v>0</v>
      </c>
      <c r="EL66" s="7">
        <f>'AS400'!EI66</f>
        <v>0</v>
      </c>
      <c r="EM66" s="7" t="str">
        <f>'AS400'!EJ66</f>
        <v>STLV</v>
      </c>
      <c r="EN66" s="7">
        <f>'AS400'!EK66</f>
        <v>818</v>
      </c>
      <c r="EO66" s="7">
        <f>'AS400'!EL66</f>
        <v>0</v>
      </c>
      <c r="EP66" s="7">
        <f>'AS400'!EM66</f>
        <v>12</v>
      </c>
      <c r="EQ66" s="7">
        <f>'AS400'!EN66</f>
        <v>20180201</v>
      </c>
      <c r="ER66" s="7">
        <f>'AS400'!EO66</f>
        <v>0</v>
      </c>
      <c r="ES66" s="7">
        <f>'AS400'!EP66</f>
        <v>0</v>
      </c>
      <c r="ET66" s="7">
        <f>'AS400'!EQ66</f>
        <v>11</v>
      </c>
      <c r="EV66" s="7">
        <f>'AS400'!ER66</f>
        <v>25</v>
      </c>
      <c r="EW66" s="7">
        <f>'AS400'!ES66</f>
        <v>0</v>
      </c>
      <c r="EX66" s="7">
        <f>'AS400'!ET66</f>
        <v>0</v>
      </c>
      <c r="EY66" s="7">
        <f>'AS400'!EU66</f>
        <v>0</v>
      </c>
      <c r="EZ66" s="7">
        <f>'AS400'!EV66</f>
        <v>0</v>
      </c>
      <c r="FA66" s="7">
        <f>'AS400'!EW66</f>
        <v>0</v>
      </c>
      <c r="FB66" s="7">
        <f>'AS400'!EX66</f>
        <v>0</v>
      </c>
      <c r="FC66" s="7">
        <f>'AS400'!EY66</f>
        <v>0</v>
      </c>
      <c r="FD66" s="7">
        <f>'AS400'!EZ66</f>
        <v>0</v>
      </c>
      <c r="FE66" s="7">
        <f>'AS400'!FA66</f>
        <v>0</v>
      </c>
      <c r="FF66" s="7">
        <f>'AS400'!FB66</f>
        <v>0</v>
      </c>
      <c r="FG66" s="7">
        <f>'AS400'!FC66</f>
        <v>0</v>
      </c>
      <c r="FH66" s="7">
        <f>'AS400'!FD66</f>
        <v>0</v>
      </c>
      <c r="FI66" s="7">
        <f>'AS400'!FE66</f>
        <v>0</v>
      </c>
      <c r="FJ66" s="7">
        <f>'AS400'!FF66</f>
        <v>0</v>
      </c>
      <c r="FK66" s="7">
        <f>'AS400'!FG66</f>
        <v>0</v>
      </c>
      <c r="FL66" s="7">
        <f>'AS400'!FH66</f>
        <v>0</v>
      </c>
      <c r="FM66" s="7">
        <f>'AS400'!FI66</f>
        <v>1</v>
      </c>
      <c r="FN66" s="7">
        <f>'AS400'!FJ66</f>
        <v>1</v>
      </c>
      <c r="FO66" s="7">
        <f>'AS400'!FO66</f>
        <v>0</v>
      </c>
      <c r="FP66" s="7">
        <f>'AS400'!FP66</f>
        <v>4</v>
      </c>
      <c r="FQ66" s="7">
        <f>'AS400'!FQ66</f>
        <v>1</v>
      </c>
      <c r="FR66" s="7">
        <f>'AS400'!FR66</f>
        <v>1</v>
      </c>
      <c r="FS66" s="13">
        <f>'AS400'!FO66</f>
        <v>0</v>
      </c>
    </row>
    <row r="67" spans="1:175">
      <c r="A67" s="7">
        <f>'AS400'!A67</f>
        <v>61</v>
      </c>
      <c r="B67" s="7">
        <f>'AS400'!B67</f>
        <v>20190301</v>
      </c>
      <c r="C67" s="7">
        <f>'AS400'!C67</f>
        <v>0</v>
      </c>
      <c r="D67" s="7" t="str">
        <f>'AS400'!D67</f>
        <v>N</v>
      </c>
      <c r="E67" s="7" t="str">
        <f>'AS400'!E67</f>
        <v>N</v>
      </c>
      <c r="F67" s="7" t="str">
        <f>'AS400'!F67</f>
        <v>Y</v>
      </c>
      <c r="G67" s="7">
        <f>'AS400'!G67</f>
        <v>0</v>
      </c>
      <c r="H67" s="14"/>
      <c r="I67" s="7" t="str">
        <f>'AS400'!I67</f>
        <v>RSA</v>
      </c>
      <c r="J67" s="7" t="str">
        <f>'AS400'!J67</f>
        <v>METR</v>
      </c>
      <c r="K67" s="7" t="str">
        <f>'AS400'!K67</f>
        <v>N</v>
      </c>
      <c r="L67" s="7">
        <f>'AS400'!L67</f>
        <v>4</v>
      </c>
      <c r="M67" s="8">
        <f>'AS400'!M67</f>
        <v>1</v>
      </c>
      <c r="N67" s="7">
        <f>'AS400'!N67</f>
        <v>1</v>
      </c>
      <c r="O67" s="7" t="str">
        <f>'AS400'!O67</f>
        <v>MFEF</v>
      </c>
      <c r="P67" s="7">
        <f>'AS400'!P67</f>
        <v>100</v>
      </c>
      <c r="Q67" s="7">
        <f>'AS400'!Q67</f>
        <v>20180301</v>
      </c>
      <c r="R67" s="7">
        <f>'AS400'!R67</f>
        <v>20180301</v>
      </c>
      <c r="S67" s="7" t="str">
        <f>'AS400'!S67</f>
        <v>M</v>
      </c>
      <c r="T67" s="7" t="str">
        <f>'AS400'!T67</f>
        <v>MP</v>
      </c>
      <c r="U67" s="7">
        <f>'AS400'!U67</f>
        <v>20190301</v>
      </c>
      <c r="V67" s="7">
        <f>'AS400'!V67</f>
        <v>6</v>
      </c>
      <c r="W67" s="7">
        <f>'AS400'!W67</f>
        <v>6</v>
      </c>
      <c r="X67" s="7" t="str">
        <f>'AS400'!X67</f>
        <v>MFIX</v>
      </c>
      <c r="Y67" s="7">
        <f>'AS400'!Y67</f>
        <v>0</v>
      </c>
      <c r="Z67" s="7" t="str">
        <f>'AS400'!Z67</f>
        <v>STLV</v>
      </c>
      <c r="AA67" s="7">
        <f>'AS400'!AA67</f>
        <v>818</v>
      </c>
      <c r="AB67" s="7">
        <f>'AS400'!AB67</f>
        <v>0</v>
      </c>
      <c r="AC67" s="7">
        <f>'AS400'!AC67</f>
        <v>12</v>
      </c>
      <c r="AD67" s="7">
        <f>'AS400'!AD67</f>
        <v>20180201</v>
      </c>
      <c r="AE67" s="7">
        <f>'AS400'!AE67</f>
        <v>0</v>
      </c>
      <c r="AF67" s="7">
        <f>'AS400'!AF67</f>
        <v>10000</v>
      </c>
      <c r="AG67" s="7">
        <f>'AS400'!AG67</f>
        <v>65</v>
      </c>
      <c r="AI67" s="7">
        <f>'AS400'!AH67</f>
        <v>24</v>
      </c>
      <c r="AJ67" s="7">
        <f>'AS400'!AI67</f>
        <v>0</v>
      </c>
      <c r="AK67" s="7">
        <f>'AS400'!AJ67</f>
        <v>0</v>
      </c>
      <c r="AL67" s="7">
        <f>'AS400'!AK67</f>
        <v>0</v>
      </c>
      <c r="AM67" s="7">
        <f>'AS400'!AL67</f>
        <v>0</v>
      </c>
      <c r="AN67" s="7">
        <f>'AS400'!AM67</f>
        <v>0</v>
      </c>
      <c r="AO67" s="7">
        <f>'AS400'!AN67</f>
        <v>0</v>
      </c>
      <c r="AP67" s="7">
        <f>'AS400'!AO67</f>
        <v>0</v>
      </c>
      <c r="AQ67" s="7">
        <f>'AS400'!AP67</f>
        <v>0</v>
      </c>
      <c r="AR67" s="7">
        <f>'AS400'!AQ67</f>
        <v>0</v>
      </c>
      <c r="AS67" s="7">
        <f>'AS400'!AR67</f>
        <v>0</v>
      </c>
      <c r="AT67" s="7">
        <f>'AS400'!AS67</f>
        <v>0</v>
      </c>
      <c r="AU67" s="7">
        <f>'AS400'!AT67</f>
        <v>0</v>
      </c>
      <c r="AV67" s="7">
        <f>'AS400'!AU67</f>
        <v>0</v>
      </c>
      <c r="AW67" s="7">
        <f>'AS400'!AV67</f>
        <v>0</v>
      </c>
      <c r="AX67" s="7">
        <f>'AS400'!AW67</f>
        <v>0</v>
      </c>
      <c r="AY67" s="7">
        <f>'AS400'!AX67</f>
        <v>0</v>
      </c>
      <c r="AZ67" s="8">
        <f>'AS400'!AY67</f>
        <v>1</v>
      </c>
      <c r="BA67" s="7">
        <f>'AS400'!AZ67</f>
        <v>2</v>
      </c>
      <c r="BB67" s="7" t="str">
        <f>'AS400'!BA67</f>
        <v>PURO</v>
      </c>
      <c r="BC67" s="7">
        <f>'AS400'!BB67</f>
        <v>100</v>
      </c>
      <c r="BD67" s="7">
        <f>'AS400'!BC67</f>
        <v>20180301</v>
      </c>
      <c r="BE67" s="7">
        <f>'AS400'!BD67</f>
        <v>20180301</v>
      </c>
      <c r="BF67" s="7" t="str">
        <f>'AS400'!BE67</f>
        <v>S</v>
      </c>
      <c r="BG67" s="7" t="str">
        <f>'AS400'!BF67</f>
        <v>ME</v>
      </c>
      <c r="BH67" s="7">
        <f>'AS400'!BG67</f>
        <v>20180301</v>
      </c>
      <c r="BI67" s="7">
        <f>'AS400'!BH67</f>
        <v>0</v>
      </c>
      <c r="BJ67" s="7">
        <f>'AS400'!BI67</f>
        <v>0</v>
      </c>
      <c r="BK67" s="7">
        <f>'AS400'!BJ67</f>
        <v>0</v>
      </c>
      <c r="BL67" s="7">
        <f>'AS400'!BK67</f>
        <v>0</v>
      </c>
      <c r="BM67" s="7" t="str">
        <f>'AS400'!BL67</f>
        <v>STLV</v>
      </c>
      <c r="BN67" s="7">
        <f>'AS400'!BM67</f>
        <v>818</v>
      </c>
      <c r="BO67" s="7">
        <f>'AS400'!BN67</f>
        <v>0</v>
      </c>
      <c r="BP67" s="7">
        <f>'AS400'!BO67</f>
        <v>12</v>
      </c>
      <c r="BQ67" s="7">
        <f>'AS400'!BP67</f>
        <v>20180201</v>
      </c>
      <c r="BR67" s="7">
        <f>'AS400'!BQ67</f>
        <v>0</v>
      </c>
      <c r="BS67" s="7">
        <f>'AS400'!BR67</f>
        <v>0</v>
      </c>
      <c r="BT67" s="7">
        <f>'AS400'!BS67</f>
        <v>21</v>
      </c>
      <c r="BV67" s="7">
        <f>'AS400'!BT67</f>
        <v>24</v>
      </c>
      <c r="BW67" s="7">
        <f>'AS400'!BU67</f>
        <v>0</v>
      </c>
      <c r="BX67" s="7">
        <f>'AS400'!BV67</f>
        <v>0</v>
      </c>
      <c r="BY67" s="7">
        <f>'AS400'!BW67</f>
        <v>0</v>
      </c>
      <c r="BZ67" s="7">
        <f>'AS400'!BX67</f>
        <v>0</v>
      </c>
      <c r="CA67" s="7">
        <f>'AS400'!BY67</f>
        <v>0</v>
      </c>
      <c r="CB67" s="7">
        <f>'AS400'!BZ67</f>
        <v>0</v>
      </c>
      <c r="CC67" s="7">
        <f>'AS400'!CA67</f>
        <v>0</v>
      </c>
      <c r="CD67" s="7">
        <f>'AS400'!CB67</f>
        <v>0</v>
      </c>
      <c r="CE67" s="7">
        <f>'AS400'!CC67</f>
        <v>0</v>
      </c>
      <c r="CF67" s="7">
        <f>'AS400'!CD67</f>
        <v>0</v>
      </c>
      <c r="CG67" s="7">
        <f>'AS400'!CE67</f>
        <v>0</v>
      </c>
      <c r="CH67" s="7">
        <f>'AS400'!CF67</f>
        <v>0</v>
      </c>
      <c r="CI67" s="7">
        <f>'AS400'!CG67</f>
        <v>0</v>
      </c>
      <c r="CJ67" s="7">
        <f>'AS400'!CH67</f>
        <v>0</v>
      </c>
      <c r="CK67" s="7">
        <f>'AS400'!CI67</f>
        <v>0</v>
      </c>
      <c r="CL67" s="7">
        <f>'AS400'!CJ67</f>
        <v>0</v>
      </c>
      <c r="CM67" s="8">
        <f>'AS400'!CK67</f>
        <v>1</v>
      </c>
      <c r="CN67" s="7">
        <f>'AS400'!CL67</f>
        <v>3</v>
      </c>
      <c r="CO67" s="7" t="str">
        <f>'AS400'!CM67</f>
        <v>PUDT</v>
      </c>
      <c r="CP67" s="7">
        <f>'AS400'!CN67</f>
        <v>100</v>
      </c>
      <c r="CQ67" s="7">
        <f>'AS400'!CO67</f>
        <v>20180301</v>
      </c>
      <c r="CR67" s="7">
        <f>'AS400'!CP67</f>
        <v>20180301</v>
      </c>
      <c r="CS67" s="7" t="str">
        <f>'AS400'!CQ67</f>
        <v>S</v>
      </c>
      <c r="CT67" s="7" t="str">
        <f>'AS400'!CR67</f>
        <v>MT</v>
      </c>
      <c r="CU67" s="7">
        <f>'AS400'!CS67</f>
        <v>20180301</v>
      </c>
      <c r="CV67" s="7">
        <f>'AS400'!CT67</f>
        <v>0</v>
      </c>
      <c r="CW67" s="7">
        <f>'AS400'!CU67</f>
        <v>0</v>
      </c>
      <c r="CX67" s="7">
        <f>'AS400'!CV67</f>
        <v>0</v>
      </c>
      <c r="CY67" s="7">
        <f>'AS400'!CW67</f>
        <v>0</v>
      </c>
      <c r="CZ67" s="7" t="str">
        <f>'AS400'!CX67</f>
        <v>STLV</v>
      </c>
      <c r="DA67" s="7">
        <f>'AS400'!CY67</f>
        <v>818</v>
      </c>
      <c r="DB67" s="7">
        <f>'AS400'!CZ67</f>
        <v>0</v>
      </c>
      <c r="DC67" s="7">
        <f>'AS400'!DA67</f>
        <v>12</v>
      </c>
      <c r="DD67" s="7">
        <f>'AS400'!DB67</f>
        <v>20180201</v>
      </c>
      <c r="DE67" s="7">
        <f>'AS400'!DC67</f>
        <v>0</v>
      </c>
      <c r="DF67" s="7">
        <f>'AS400'!DD67</f>
        <v>0</v>
      </c>
      <c r="DG67" s="7">
        <f>'AS400'!DE67</f>
        <v>22</v>
      </c>
      <c r="DI67" s="7">
        <f>'AS400'!DF67</f>
        <v>24</v>
      </c>
      <c r="DJ67" s="7">
        <f>'AS400'!DG67</f>
        <v>0</v>
      </c>
      <c r="DK67" s="7">
        <f>'AS400'!DH67</f>
        <v>0</v>
      </c>
      <c r="DL67" s="7">
        <f>'AS400'!DI67</f>
        <v>0</v>
      </c>
      <c r="DM67" s="7">
        <f>'AS400'!DJ67</f>
        <v>0</v>
      </c>
      <c r="DN67" s="7">
        <f>'AS400'!DK67</f>
        <v>0</v>
      </c>
      <c r="DO67" s="7">
        <f>'AS400'!DL67</f>
        <v>0</v>
      </c>
      <c r="DP67" s="7">
        <f>'AS400'!DM67</f>
        <v>0</v>
      </c>
      <c r="DQ67" s="7">
        <f>'AS400'!DN67</f>
        <v>0</v>
      </c>
      <c r="DR67" s="7">
        <f>'AS400'!DO67</f>
        <v>0</v>
      </c>
      <c r="DS67" s="7">
        <f>'AS400'!DP67</f>
        <v>0</v>
      </c>
      <c r="DT67" s="7">
        <f>'AS400'!DQ67</f>
        <v>0</v>
      </c>
      <c r="DU67" s="7">
        <f>'AS400'!DR67</f>
        <v>0</v>
      </c>
      <c r="DV67" s="7">
        <f>'AS400'!DS67</f>
        <v>0</v>
      </c>
      <c r="DW67" s="7">
        <f>'AS400'!DT67</f>
        <v>0</v>
      </c>
      <c r="DX67" s="7">
        <f>'AS400'!DU67</f>
        <v>0</v>
      </c>
      <c r="DY67" s="7">
        <f>'AS400'!DV67</f>
        <v>0</v>
      </c>
      <c r="DZ67" s="8">
        <f>'AS400'!DW67</f>
        <v>1</v>
      </c>
      <c r="EA67" s="7">
        <f>'AS400'!DX67</f>
        <v>4</v>
      </c>
      <c r="EB67" s="7" t="str">
        <f>'AS400'!DY67</f>
        <v>PUDS</v>
      </c>
      <c r="EC67" s="7">
        <f>'AS400'!DZ67</f>
        <v>100</v>
      </c>
      <c r="ED67" s="7">
        <f>'AS400'!EA67</f>
        <v>20180301</v>
      </c>
      <c r="EE67" s="7">
        <f>'AS400'!EB67</f>
        <v>20180301</v>
      </c>
      <c r="EF67" s="7" t="str">
        <f>'AS400'!EC67</f>
        <v>S</v>
      </c>
      <c r="EG67" s="7" t="str">
        <f>'AS400'!ED67</f>
        <v>MS</v>
      </c>
      <c r="EH67" s="7">
        <f>'AS400'!EE67</f>
        <v>20180301</v>
      </c>
      <c r="EI67" s="7">
        <f>'AS400'!EF67</f>
        <v>0</v>
      </c>
      <c r="EJ67" s="7">
        <f>'AS400'!EG67</f>
        <v>0</v>
      </c>
      <c r="EK67" s="7">
        <f>'AS400'!EH67</f>
        <v>0</v>
      </c>
      <c r="EL67" s="7">
        <f>'AS400'!EI67</f>
        <v>0</v>
      </c>
      <c r="EM67" s="7" t="str">
        <f>'AS400'!EJ67</f>
        <v>STLV</v>
      </c>
      <c r="EN67" s="7">
        <f>'AS400'!EK67</f>
        <v>818</v>
      </c>
      <c r="EO67" s="7">
        <f>'AS400'!EL67</f>
        <v>0</v>
      </c>
      <c r="EP67" s="7">
        <f>'AS400'!EM67</f>
        <v>12</v>
      </c>
      <c r="EQ67" s="7">
        <f>'AS400'!EN67</f>
        <v>20180201</v>
      </c>
      <c r="ER67" s="7">
        <f>'AS400'!EO67</f>
        <v>0</v>
      </c>
      <c r="ES67" s="7">
        <f>'AS400'!EP67</f>
        <v>0</v>
      </c>
      <c r="ET67" s="7">
        <f>'AS400'!EQ67</f>
        <v>10</v>
      </c>
      <c r="EV67" s="7">
        <f>'AS400'!ER67</f>
        <v>24</v>
      </c>
      <c r="EW67" s="7">
        <f>'AS400'!ES67</f>
        <v>0</v>
      </c>
      <c r="EX67" s="7">
        <f>'AS400'!ET67</f>
        <v>0</v>
      </c>
      <c r="EY67" s="7">
        <f>'AS400'!EU67</f>
        <v>0</v>
      </c>
      <c r="EZ67" s="7">
        <f>'AS400'!EV67</f>
        <v>0</v>
      </c>
      <c r="FA67" s="7">
        <f>'AS400'!EW67</f>
        <v>0</v>
      </c>
      <c r="FB67" s="7">
        <f>'AS400'!EX67</f>
        <v>0</v>
      </c>
      <c r="FC67" s="7">
        <f>'AS400'!EY67</f>
        <v>0</v>
      </c>
      <c r="FD67" s="7">
        <f>'AS400'!EZ67</f>
        <v>0</v>
      </c>
      <c r="FE67" s="7">
        <f>'AS400'!FA67</f>
        <v>0</v>
      </c>
      <c r="FF67" s="7">
        <f>'AS400'!FB67</f>
        <v>0</v>
      </c>
      <c r="FG67" s="7">
        <f>'AS400'!FC67</f>
        <v>0</v>
      </c>
      <c r="FH67" s="7">
        <f>'AS400'!FD67</f>
        <v>0</v>
      </c>
      <c r="FI67" s="7">
        <f>'AS400'!FE67</f>
        <v>0</v>
      </c>
      <c r="FJ67" s="7">
        <f>'AS400'!FF67</f>
        <v>0</v>
      </c>
      <c r="FK67" s="7">
        <f>'AS400'!FG67</f>
        <v>0</v>
      </c>
      <c r="FL67" s="7">
        <f>'AS400'!FH67</f>
        <v>0</v>
      </c>
      <c r="FM67" s="7">
        <f>'AS400'!FI67</f>
        <v>1</v>
      </c>
      <c r="FN67" s="7">
        <f>'AS400'!FJ67</f>
        <v>1</v>
      </c>
      <c r="FO67" s="7">
        <f>'AS400'!FO67</f>
        <v>0</v>
      </c>
      <c r="FP67" s="7">
        <f>'AS400'!FP67</f>
        <v>4</v>
      </c>
      <c r="FQ67" s="7">
        <f>'AS400'!FQ67</f>
        <v>1</v>
      </c>
      <c r="FR67" s="7">
        <f>'AS400'!FR67</f>
        <v>1</v>
      </c>
      <c r="FS67" s="13">
        <f>'AS400'!FO67</f>
        <v>0</v>
      </c>
    </row>
    <row r="68" spans="1:175">
      <c r="A68" s="7">
        <f>'AS400'!A68</f>
        <v>62</v>
      </c>
      <c r="B68" s="7">
        <f>'AS400'!B68</f>
        <v>20190301</v>
      </c>
      <c r="C68" s="7">
        <f>'AS400'!C68</f>
        <v>0</v>
      </c>
      <c r="D68" s="7" t="str">
        <f>'AS400'!D68</f>
        <v>N</v>
      </c>
      <c r="E68" s="7" t="str">
        <f>'AS400'!E68</f>
        <v>N</v>
      </c>
      <c r="F68" s="7" t="str">
        <f>'AS400'!F68</f>
        <v>Y</v>
      </c>
      <c r="G68" s="7">
        <f>'AS400'!G68</f>
        <v>0</v>
      </c>
      <c r="H68" s="14"/>
      <c r="I68" s="7" t="str">
        <f>'AS400'!I68</f>
        <v>RSA</v>
      </c>
      <c r="J68" s="7" t="str">
        <f>'AS400'!J68</f>
        <v>METR</v>
      </c>
      <c r="K68" s="7" t="str">
        <f>'AS400'!K68</f>
        <v>N</v>
      </c>
      <c r="L68" s="7">
        <f>'AS400'!L68</f>
        <v>4</v>
      </c>
      <c r="M68" s="8">
        <f>'AS400'!M68</f>
        <v>1</v>
      </c>
      <c r="N68" s="7">
        <f>'AS400'!N68</f>
        <v>1</v>
      </c>
      <c r="O68" s="7" t="str">
        <f>'AS400'!O68</f>
        <v>MFEF</v>
      </c>
      <c r="P68" s="7">
        <f>'AS400'!P68</f>
        <v>100</v>
      </c>
      <c r="Q68" s="7">
        <f>'AS400'!Q68</f>
        <v>20180301</v>
      </c>
      <c r="R68" s="7">
        <f>'AS400'!R68</f>
        <v>20180301</v>
      </c>
      <c r="S68" s="7" t="str">
        <f>'AS400'!S68</f>
        <v>M</v>
      </c>
      <c r="T68" s="7" t="str">
        <f>'AS400'!T68</f>
        <v>MP</v>
      </c>
      <c r="U68" s="7">
        <f>'AS400'!U68</f>
        <v>20190301</v>
      </c>
      <c r="V68" s="7">
        <f>'AS400'!V68</f>
        <v>6</v>
      </c>
      <c r="W68" s="7">
        <f>'AS400'!W68</f>
        <v>6</v>
      </c>
      <c r="X68" s="7" t="str">
        <f>'AS400'!X68</f>
        <v>MFIX</v>
      </c>
      <c r="Y68" s="7">
        <f>'AS400'!Y68</f>
        <v>0</v>
      </c>
      <c r="Z68" s="7" t="str">
        <f>'AS400'!Z68</f>
        <v>STLV</v>
      </c>
      <c r="AA68" s="7">
        <f>'AS400'!AA68</f>
        <v>818</v>
      </c>
      <c r="AB68" s="7">
        <f>'AS400'!AB68</f>
        <v>0</v>
      </c>
      <c r="AC68" s="7">
        <f>'AS400'!AC68</f>
        <v>12</v>
      </c>
      <c r="AD68" s="7">
        <f>'AS400'!AD68</f>
        <v>20180201</v>
      </c>
      <c r="AE68" s="7">
        <f>'AS400'!AE68</f>
        <v>0</v>
      </c>
      <c r="AF68" s="7">
        <f>'AS400'!AF68</f>
        <v>5000</v>
      </c>
      <c r="AG68" s="7">
        <f>'AS400'!AG68</f>
        <v>57</v>
      </c>
      <c r="AI68" s="7">
        <f>'AS400'!AH68</f>
        <v>23</v>
      </c>
      <c r="AJ68" s="7">
        <f>'AS400'!AI68</f>
        <v>0</v>
      </c>
      <c r="AK68" s="7">
        <f>'AS400'!AJ68</f>
        <v>0</v>
      </c>
      <c r="AL68" s="7">
        <f>'AS400'!AK68</f>
        <v>0</v>
      </c>
      <c r="AM68" s="7">
        <f>'AS400'!AL68</f>
        <v>0</v>
      </c>
      <c r="AN68" s="7">
        <f>'AS400'!AM68</f>
        <v>0</v>
      </c>
      <c r="AO68" s="7">
        <f>'AS400'!AN68</f>
        <v>0</v>
      </c>
      <c r="AP68" s="7">
        <f>'AS400'!AO68</f>
        <v>0</v>
      </c>
      <c r="AQ68" s="7">
        <f>'AS400'!AP68</f>
        <v>0</v>
      </c>
      <c r="AR68" s="7">
        <f>'AS400'!AQ68</f>
        <v>0</v>
      </c>
      <c r="AS68" s="7">
        <f>'AS400'!AR68</f>
        <v>0</v>
      </c>
      <c r="AT68" s="7">
        <f>'AS400'!AS68</f>
        <v>0</v>
      </c>
      <c r="AU68" s="7">
        <f>'AS400'!AT68</f>
        <v>0</v>
      </c>
      <c r="AV68" s="7">
        <f>'AS400'!AU68</f>
        <v>0</v>
      </c>
      <c r="AW68" s="7">
        <f>'AS400'!AV68</f>
        <v>0</v>
      </c>
      <c r="AX68" s="7">
        <f>'AS400'!AW68</f>
        <v>0</v>
      </c>
      <c r="AY68" s="7">
        <f>'AS400'!AX68</f>
        <v>0</v>
      </c>
      <c r="AZ68" s="8">
        <f>'AS400'!AY68</f>
        <v>1</v>
      </c>
      <c r="BA68" s="7">
        <f>'AS400'!AZ68</f>
        <v>2</v>
      </c>
      <c r="BB68" s="7" t="str">
        <f>'AS400'!BA68</f>
        <v>PURO</v>
      </c>
      <c r="BC68" s="7">
        <f>'AS400'!BB68</f>
        <v>100</v>
      </c>
      <c r="BD68" s="7">
        <f>'AS400'!BC68</f>
        <v>20180301</v>
      </c>
      <c r="BE68" s="7">
        <f>'AS400'!BD68</f>
        <v>20180301</v>
      </c>
      <c r="BF68" s="7" t="str">
        <f>'AS400'!BE68</f>
        <v>S</v>
      </c>
      <c r="BG68" s="7" t="str">
        <f>'AS400'!BF68</f>
        <v>ME</v>
      </c>
      <c r="BH68" s="7">
        <f>'AS400'!BG68</f>
        <v>20180301</v>
      </c>
      <c r="BI68" s="7">
        <f>'AS400'!BH68</f>
        <v>0</v>
      </c>
      <c r="BJ68" s="7">
        <f>'AS400'!BI68</f>
        <v>0</v>
      </c>
      <c r="BK68" s="7">
        <f>'AS400'!BJ68</f>
        <v>0</v>
      </c>
      <c r="BL68" s="7">
        <f>'AS400'!BK68</f>
        <v>0</v>
      </c>
      <c r="BM68" s="7" t="str">
        <f>'AS400'!BL68</f>
        <v>STLV</v>
      </c>
      <c r="BN68" s="7">
        <f>'AS400'!BM68</f>
        <v>818</v>
      </c>
      <c r="BO68" s="7">
        <f>'AS400'!BN68</f>
        <v>0</v>
      </c>
      <c r="BP68" s="7">
        <f>'AS400'!BO68</f>
        <v>12</v>
      </c>
      <c r="BQ68" s="7">
        <f>'AS400'!BP68</f>
        <v>20180201</v>
      </c>
      <c r="BR68" s="7">
        <f>'AS400'!BQ68</f>
        <v>0</v>
      </c>
      <c r="BS68" s="7">
        <f>'AS400'!BR68</f>
        <v>0</v>
      </c>
      <c r="BT68" s="7">
        <f>'AS400'!BS68</f>
        <v>20</v>
      </c>
      <c r="BV68" s="7">
        <f>'AS400'!BT68</f>
        <v>23</v>
      </c>
      <c r="BW68" s="7">
        <f>'AS400'!BU68</f>
        <v>0</v>
      </c>
      <c r="BX68" s="7">
        <f>'AS400'!BV68</f>
        <v>0</v>
      </c>
      <c r="BY68" s="7">
        <f>'AS400'!BW68</f>
        <v>0</v>
      </c>
      <c r="BZ68" s="7">
        <f>'AS400'!BX68</f>
        <v>0</v>
      </c>
      <c r="CA68" s="7">
        <f>'AS400'!BY68</f>
        <v>0</v>
      </c>
      <c r="CB68" s="7">
        <f>'AS400'!BZ68</f>
        <v>0</v>
      </c>
      <c r="CC68" s="7">
        <f>'AS400'!CA68</f>
        <v>0</v>
      </c>
      <c r="CD68" s="7">
        <f>'AS400'!CB68</f>
        <v>0</v>
      </c>
      <c r="CE68" s="7">
        <f>'AS400'!CC68</f>
        <v>0</v>
      </c>
      <c r="CF68" s="7">
        <f>'AS400'!CD68</f>
        <v>0</v>
      </c>
      <c r="CG68" s="7">
        <f>'AS400'!CE68</f>
        <v>0</v>
      </c>
      <c r="CH68" s="7">
        <f>'AS400'!CF68</f>
        <v>0</v>
      </c>
      <c r="CI68" s="7">
        <f>'AS400'!CG68</f>
        <v>0</v>
      </c>
      <c r="CJ68" s="7">
        <f>'AS400'!CH68</f>
        <v>0</v>
      </c>
      <c r="CK68" s="7">
        <f>'AS400'!CI68</f>
        <v>0</v>
      </c>
      <c r="CL68" s="7">
        <f>'AS400'!CJ68</f>
        <v>0</v>
      </c>
      <c r="CM68" s="8">
        <f>'AS400'!CK68</f>
        <v>1</v>
      </c>
      <c r="CN68" s="7">
        <f>'AS400'!CL68</f>
        <v>3</v>
      </c>
      <c r="CO68" s="7" t="str">
        <f>'AS400'!CM68</f>
        <v>PUDT</v>
      </c>
      <c r="CP68" s="7">
        <f>'AS400'!CN68</f>
        <v>100</v>
      </c>
      <c r="CQ68" s="7">
        <f>'AS400'!CO68</f>
        <v>20180301</v>
      </c>
      <c r="CR68" s="7">
        <f>'AS400'!CP68</f>
        <v>20180301</v>
      </c>
      <c r="CS68" s="7" t="str">
        <f>'AS400'!CQ68</f>
        <v>S</v>
      </c>
      <c r="CT68" s="7" t="str">
        <f>'AS400'!CR68</f>
        <v>MT</v>
      </c>
      <c r="CU68" s="7">
        <f>'AS400'!CS68</f>
        <v>20180301</v>
      </c>
      <c r="CV68" s="7">
        <f>'AS400'!CT68</f>
        <v>0</v>
      </c>
      <c r="CW68" s="7">
        <f>'AS400'!CU68</f>
        <v>0</v>
      </c>
      <c r="CX68" s="7">
        <f>'AS400'!CV68</f>
        <v>0</v>
      </c>
      <c r="CY68" s="7">
        <f>'AS400'!CW68</f>
        <v>0</v>
      </c>
      <c r="CZ68" s="7" t="str">
        <f>'AS400'!CX68</f>
        <v>STLV</v>
      </c>
      <c r="DA68" s="7">
        <f>'AS400'!CY68</f>
        <v>818</v>
      </c>
      <c r="DB68" s="7">
        <f>'AS400'!CZ68</f>
        <v>0</v>
      </c>
      <c r="DC68" s="7">
        <f>'AS400'!DA68</f>
        <v>12</v>
      </c>
      <c r="DD68" s="7">
        <f>'AS400'!DB68</f>
        <v>20180201</v>
      </c>
      <c r="DE68" s="7">
        <f>'AS400'!DC68</f>
        <v>0</v>
      </c>
      <c r="DF68" s="7">
        <f>'AS400'!DD68</f>
        <v>0</v>
      </c>
      <c r="DG68" s="7">
        <f>'AS400'!DE68</f>
        <v>20</v>
      </c>
      <c r="DI68" s="7">
        <f>'AS400'!DF68</f>
        <v>23</v>
      </c>
      <c r="DJ68" s="7">
        <f>'AS400'!DG68</f>
        <v>0</v>
      </c>
      <c r="DK68" s="7">
        <f>'AS400'!DH68</f>
        <v>0</v>
      </c>
      <c r="DL68" s="7">
        <f>'AS400'!DI68</f>
        <v>0</v>
      </c>
      <c r="DM68" s="7">
        <f>'AS400'!DJ68</f>
        <v>0</v>
      </c>
      <c r="DN68" s="7">
        <f>'AS400'!DK68</f>
        <v>0</v>
      </c>
      <c r="DO68" s="7">
        <f>'AS400'!DL68</f>
        <v>0</v>
      </c>
      <c r="DP68" s="7">
        <f>'AS400'!DM68</f>
        <v>0</v>
      </c>
      <c r="DQ68" s="7">
        <f>'AS400'!DN68</f>
        <v>0</v>
      </c>
      <c r="DR68" s="7">
        <f>'AS400'!DO68</f>
        <v>0</v>
      </c>
      <c r="DS68" s="7">
        <f>'AS400'!DP68</f>
        <v>0</v>
      </c>
      <c r="DT68" s="7">
        <f>'AS400'!DQ68</f>
        <v>0</v>
      </c>
      <c r="DU68" s="7">
        <f>'AS400'!DR68</f>
        <v>0</v>
      </c>
      <c r="DV68" s="7">
        <f>'AS400'!DS68</f>
        <v>0</v>
      </c>
      <c r="DW68" s="7">
        <f>'AS400'!DT68</f>
        <v>0</v>
      </c>
      <c r="DX68" s="7">
        <f>'AS400'!DU68</f>
        <v>0</v>
      </c>
      <c r="DY68" s="7">
        <f>'AS400'!DV68</f>
        <v>0</v>
      </c>
      <c r="DZ68" s="8">
        <f>'AS400'!DW68</f>
        <v>1</v>
      </c>
      <c r="EA68" s="7">
        <f>'AS400'!DX68</f>
        <v>4</v>
      </c>
      <c r="EB68" s="7" t="str">
        <f>'AS400'!DY68</f>
        <v>PUDS</v>
      </c>
      <c r="EC68" s="7">
        <f>'AS400'!DZ68</f>
        <v>100</v>
      </c>
      <c r="ED68" s="7">
        <f>'AS400'!EA68</f>
        <v>20180301</v>
      </c>
      <c r="EE68" s="7">
        <f>'AS400'!EB68</f>
        <v>20180301</v>
      </c>
      <c r="EF68" s="7" t="str">
        <f>'AS400'!EC68</f>
        <v>S</v>
      </c>
      <c r="EG68" s="7" t="str">
        <f>'AS400'!ED68</f>
        <v>MS</v>
      </c>
      <c r="EH68" s="7">
        <f>'AS400'!EE68</f>
        <v>20180301</v>
      </c>
      <c r="EI68" s="7">
        <f>'AS400'!EF68</f>
        <v>0</v>
      </c>
      <c r="EJ68" s="7">
        <f>'AS400'!EG68</f>
        <v>0</v>
      </c>
      <c r="EK68" s="7">
        <f>'AS400'!EH68</f>
        <v>0</v>
      </c>
      <c r="EL68" s="7">
        <f>'AS400'!EI68</f>
        <v>0</v>
      </c>
      <c r="EM68" s="7" t="str">
        <f>'AS400'!EJ68</f>
        <v>STLV</v>
      </c>
      <c r="EN68" s="7">
        <f>'AS400'!EK68</f>
        <v>818</v>
      </c>
      <c r="EO68" s="7">
        <f>'AS400'!EL68</f>
        <v>0</v>
      </c>
      <c r="EP68" s="7">
        <f>'AS400'!EM68</f>
        <v>12</v>
      </c>
      <c r="EQ68" s="7">
        <f>'AS400'!EN68</f>
        <v>20180201</v>
      </c>
      <c r="ER68" s="7">
        <f>'AS400'!EO68</f>
        <v>0</v>
      </c>
      <c r="ES68" s="7">
        <f>'AS400'!EP68</f>
        <v>0</v>
      </c>
      <c r="ET68" s="7">
        <f>'AS400'!EQ68</f>
        <v>10</v>
      </c>
      <c r="EV68" s="7">
        <f>'AS400'!ER68</f>
        <v>23</v>
      </c>
      <c r="EW68" s="7">
        <f>'AS400'!ES68</f>
        <v>0</v>
      </c>
      <c r="EX68" s="7">
        <f>'AS400'!ET68</f>
        <v>0</v>
      </c>
      <c r="EY68" s="7">
        <f>'AS400'!EU68</f>
        <v>0</v>
      </c>
      <c r="EZ68" s="7">
        <f>'AS400'!EV68</f>
        <v>0</v>
      </c>
      <c r="FA68" s="7">
        <f>'AS400'!EW68</f>
        <v>0</v>
      </c>
      <c r="FB68" s="7">
        <f>'AS400'!EX68</f>
        <v>0</v>
      </c>
      <c r="FC68" s="7">
        <f>'AS400'!EY68</f>
        <v>0</v>
      </c>
      <c r="FD68" s="7">
        <f>'AS400'!EZ68</f>
        <v>0</v>
      </c>
      <c r="FE68" s="7">
        <f>'AS400'!FA68</f>
        <v>0</v>
      </c>
      <c r="FF68" s="7">
        <f>'AS400'!FB68</f>
        <v>0</v>
      </c>
      <c r="FG68" s="7">
        <f>'AS400'!FC68</f>
        <v>0</v>
      </c>
      <c r="FH68" s="7">
        <f>'AS400'!FD68</f>
        <v>0</v>
      </c>
      <c r="FI68" s="7">
        <f>'AS400'!FE68</f>
        <v>0</v>
      </c>
      <c r="FJ68" s="7">
        <f>'AS400'!FF68</f>
        <v>0</v>
      </c>
      <c r="FK68" s="7">
        <f>'AS400'!FG68</f>
        <v>0</v>
      </c>
      <c r="FL68" s="7">
        <f>'AS400'!FH68</f>
        <v>0</v>
      </c>
      <c r="FM68" s="7">
        <f>'AS400'!FI68</f>
        <v>1</v>
      </c>
      <c r="FN68" s="7">
        <f>'AS400'!FJ68</f>
        <v>1</v>
      </c>
      <c r="FO68" s="7">
        <f>'AS400'!FO68</f>
        <v>0</v>
      </c>
      <c r="FP68" s="7">
        <f>'AS400'!FP68</f>
        <v>4</v>
      </c>
      <c r="FQ68" s="7">
        <f>'AS400'!FQ68</f>
        <v>1</v>
      </c>
      <c r="FR68" s="7">
        <f>'AS400'!FR68</f>
        <v>1</v>
      </c>
      <c r="FS68" s="13">
        <f>'AS400'!FO68</f>
        <v>0</v>
      </c>
    </row>
    <row r="69" spans="1:175">
      <c r="A69" s="7">
        <f>'AS400'!A69</f>
        <v>63</v>
      </c>
      <c r="B69" s="7">
        <f>'AS400'!B69</f>
        <v>20190301</v>
      </c>
      <c r="C69" s="7">
        <f>'AS400'!C69</f>
        <v>0</v>
      </c>
      <c r="D69" s="7" t="str">
        <f>'AS400'!D69</f>
        <v>N</v>
      </c>
      <c r="E69" s="7" t="str">
        <f>'AS400'!E69</f>
        <v>N</v>
      </c>
      <c r="F69" s="7" t="str">
        <f>'AS400'!F69</f>
        <v>Y</v>
      </c>
      <c r="G69" s="7">
        <f>'AS400'!G69</f>
        <v>0</v>
      </c>
      <c r="H69" s="14"/>
      <c r="I69" s="7" t="str">
        <f>'AS400'!I69</f>
        <v>RSA</v>
      </c>
      <c r="J69" s="7" t="str">
        <f>'AS400'!J69</f>
        <v>METR</v>
      </c>
      <c r="K69" s="7" t="str">
        <f>'AS400'!K69</f>
        <v>N</v>
      </c>
      <c r="L69" s="7">
        <f>'AS400'!L69</f>
        <v>4</v>
      </c>
      <c r="M69" s="8">
        <f>'AS400'!M69</f>
        <v>1</v>
      </c>
      <c r="N69" s="7">
        <f>'AS400'!N69</f>
        <v>1</v>
      </c>
      <c r="O69" s="7" t="str">
        <f>'AS400'!O69</f>
        <v>MFEF</v>
      </c>
      <c r="P69" s="7">
        <f>'AS400'!P69</f>
        <v>100</v>
      </c>
      <c r="Q69" s="7">
        <f>'AS400'!Q69</f>
        <v>20180301</v>
      </c>
      <c r="R69" s="7">
        <f>'AS400'!R69</f>
        <v>20180301</v>
      </c>
      <c r="S69" s="7" t="str">
        <f>'AS400'!S69</f>
        <v>M</v>
      </c>
      <c r="T69" s="7" t="str">
        <f>'AS400'!T69</f>
        <v>MP</v>
      </c>
      <c r="U69" s="7">
        <f>'AS400'!U69</f>
        <v>20190301</v>
      </c>
      <c r="V69" s="7">
        <f>'AS400'!V69</f>
        <v>6</v>
      </c>
      <c r="W69" s="7">
        <f>'AS400'!W69</f>
        <v>6</v>
      </c>
      <c r="X69" s="7" t="str">
        <f>'AS400'!X69</f>
        <v>MFIX</v>
      </c>
      <c r="Y69" s="7">
        <f>'AS400'!Y69</f>
        <v>0</v>
      </c>
      <c r="Z69" s="7" t="str">
        <f>'AS400'!Z69</f>
        <v>STLV</v>
      </c>
      <c r="AA69" s="7">
        <f>'AS400'!AA69</f>
        <v>818</v>
      </c>
      <c r="AB69" s="7">
        <f>'AS400'!AB69</f>
        <v>0</v>
      </c>
      <c r="AC69" s="7">
        <f>'AS400'!AC69</f>
        <v>12</v>
      </c>
      <c r="AD69" s="7">
        <f>'AS400'!AD69</f>
        <v>20180201</v>
      </c>
      <c r="AE69" s="7">
        <f>'AS400'!AE69</f>
        <v>0</v>
      </c>
      <c r="AF69" s="7">
        <f>'AS400'!AF69</f>
        <v>5000</v>
      </c>
      <c r="AG69" s="7">
        <f>'AS400'!AG69</f>
        <v>57</v>
      </c>
      <c r="AI69" s="7">
        <f>'AS400'!AH69</f>
        <v>22</v>
      </c>
      <c r="AJ69" s="7">
        <f>'AS400'!AI69</f>
        <v>0</v>
      </c>
      <c r="AK69" s="7">
        <f>'AS400'!AJ69</f>
        <v>0</v>
      </c>
      <c r="AL69" s="7">
        <f>'AS400'!AK69</f>
        <v>0</v>
      </c>
      <c r="AM69" s="7">
        <f>'AS400'!AL69</f>
        <v>0</v>
      </c>
      <c r="AN69" s="7">
        <f>'AS400'!AM69</f>
        <v>0</v>
      </c>
      <c r="AO69" s="7">
        <f>'AS400'!AN69</f>
        <v>0</v>
      </c>
      <c r="AP69" s="7">
        <f>'AS400'!AO69</f>
        <v>0</v>
      </c>
      <c r="AQ69" s="7">
        <f>'AS400'!AP69</f>
        <v>0</v>
      </c>
      <c r="AR69" s="7">
        <f>'AS400'!AQ69</f>
        <v>0</v>
      </c>
      <c r="AS69" s="7">
        <f>'AS400'!AR69</f>
        <v>0</v>
      </c>
      <c r="AT69" s="7">
        <f>'AS400'!AS69</f>
        <v>0</v>
      </c>
      <c r="AU69" s="7">
        <f>'AS400'!AT69</f>
        <v>0</v>
      </c>
      <c r="AV69" s="7">
        <f>'AS400'!AU69</f>
        <v>0</v>
      </c>
      <c r="AW69" s="7">
        <f>'AS400'!AV69</f>
        <v>0</v>
      </c>
      <c r="AX69" s="7">
        <f>'AS400'!AW69</f>
        <v>0</v>
      </c>
      <c r="AY69" s="7">
        <f>'AS400'!AX69</f>
        <v>0</v>
      </c>
      <c r="AZ69" s="8">
        <f>'AS400'!AY69</f>
        <v>1</v>
      </c>
      <c r="BA69" s="7">
        <f>'AS400'!AZ69</f>
        <v>2</v>
      </c>
      <c r="BB69" s="7" t="str">
        <f>'AS400'!BA69</f>
        <v>PURO</v>
      </c>
      <c r="BC69" s="7">
        <f>'AS400'!BB69</f>
        <v>100</v>
      </c>
      <c r="BD69" s="7">
        <f>'AS400'!BC69</f>
        <v>20180301</v>
      </c>
      <c r="BE69" s="7">
        <f>'AS400'!BD69</f>
        <v>20180301</v>
      </c>
      <c r="BF69" s="7" t="str">
        <f>'AS400'!BE69</f>
        <v>S</v>
      </c>
      <c r="BG69" s="7" t="str">
        <f>'AS400'!BF69</f>
        <v>ME</v>
      </c>
      <c r="BH69" s="7">
        <f>'AS400'!BG69</f>
        <v>20180301</v>
      </c>
      <c r="BI69" s="7">
        <f>'AS400'!BH69</f>
        <v>0</v>
      </c>
      <c r="BJ69" s="7">
        <f>'AS400'!BI69</f>
        <v>0</v>
      </c>
      <c r="BK69" s="7">
        <f>'AS400'!BJ69</f>
        <v>0</v>
      </c>
      <c r="BL69" s="7">
        <f>'AS400'!BK69</f>
        <v>0</v>
      </c>
      <c r="BM69" s="7" t="str">
        <f>'AS400'!BL69</f>
        <v>STLV</v>
      </c>
      <c r="BN69" s="7">
        <f>'AS400'!BM69</f>
        <v>818</v>
      </c>
      <c r="BO69" s="7">
        <f>'AS400'!BN69</f>
        <v>0</v>
      </c>
      <c r="BP69" s="7">
        <f>'AS400'!BO69</f>
        <v>12</v>
      </c>
      <c r="BQ69" s="7">
        <f>'AS400'!BP69</f>
        <v>20180201</v>
      </c>
      <c r="BR69" s="7">
        <f>'AS400'!BQ69</f>
        <v>0</v>
      </c>
      <c r="BS69" s="7">
        <f>'AS400'!BR69</f>
        <v>0</v>
      </c>
      <c r="BT69" s="7">
        <f>'AS400'!BS69</f>
        <v>20</v>
      </c>
      <c r="BV69" s="7">
        <f>'AS400'!BT69</f>
        <v>22</v>
      </c>
      <c r="BW69" s="7">
        <f>'AS400'!BU69</f>
        <v>0</v>
      </c>
      <c r="BX69" s="7">
        <f>'AS400'!BV69</f>
        <v>0</v>
      </c>
      <c r="BY69" s="7">
        <f>'AS400'!BW69</f>
        <v>0</v>
      </c>
      <c r="BZ69" s="7">
        <f>'AS400'!BX69</f>
        <v>0</v>
      </c>
      <c r="CA69" s="7">
        <f>'AS400'!BY69</f>
        <v>0</v>
      </c>
      <c r="CB69" s="7">
        <f>'AS400'!BZ69</f>
        <v>0</v>
      </c>
      <c r="CC69" s="7">
        <f>'AS400'!CA69</f>
        <v>0</v>
      </c>
      <c r="CD69" s="7">
        <f>'AS400'!CB69</f>
        <v>0</v>
      </c>
      <c r="CE69" s="7">
        <f>'AS400'!CC69</f>
        <v>0</v>
      </c>
      <c r="CF69" s="7">
        <f>'AS400'!CD69</f>
        <v>0</v>
      </c>
      <c r="CG69" s="7">
        <f>'AS400'!CE69</f>
        <v>0</v>
      </c>
      <c r="CH69" s="7">
        <f>'AS400'!CF69</f>
        <v>0</v>
      </c>
      <c r="CI69" s="7">
        <f>'AS400'!CG69</f>
        <v>0</v>
      </c>
      <c r="CJ69" s="7">
        <f>'AS400'!CH69</f>
        <v>0</v>
      </c>
      <c r="CK69" s="7">
        <f>'AS400'!CI69</f>
        <v>0</v>
      </c>
      <c r="CL69" s="7">
        <f>'AS400'!CJ69</f>
        <v>0</v>
      </c>
      <c r="CM69" s="8">
        <f>'AS400'!CK69</f>
        <v>1</v>
      </c>
      <c r="CN69" s="7">
        <f>'AS400'!CL69</f>
        <v>3</v>
      </c>
      <c r="CO69" s="7" t="str">
        <f>'AS400'!CM69</f>
        <v>PUDT</v>
      </c>
      <c r="CP69" s="7">
        <f>'AS400'!CN69</f>
        <v>100</v>
      </c>
      <c r="CQ69" s="7">
        <f>'AS400'!CO69</f>
        <v>20180301</v>
      </c>
      <c r="CR69" s="7">
        <f>'AS400'!CP69</f>
        <v>20180301</v>
      </c>
      <c r="CS69" s="7" t="str">
        <f>'AS400'!CQ69</f>
        <v>S</v>
      </c>
      <c r="CT69" s="7" t="str">
        <f>'AS400'!CR69</f>
        <v>MT</v>
      </c>
      <c r="CU69" s="7">
        <f>'AS400'!CS69</f>
        <v>20180301</v>
      </c>
      <c r="CV69" s="7">
        <f>'AS400'!CT69</f>
        <v>0</v>
      </c>
      <c r="CW69" s="7">
        <f>'AS400'!CU69</f>
        <v>0</v>
      </c>
      <c r="CX69" s="7">
        <f>'AS400'!CV69</f>
        <v>0</v>
      </c>
      <c r="CY69" s="7">
        <f>'AS400'!CW69</f>
        <v>0</v>
      </c>
      <c r="CZ69" s="7" t="str">
        <f>'AS400'!CX69</f>
        <v>STLV</v>
      </c>
      <c r="DA69" s="7">
        <f>'AS400'!CY69</f>
        <v>818</v>
      </c>
      <c r="DB69" s="7">
        <f>'AS400'!CZ69</f>
        <v>0</v>
      </c>
      <c r="DC69" s="7">
        <f>'AS400'!DA69</f>
        <v>12</v>
      </c>
      <c r="DD69" s="7">
        <f>'AS400'!DB69</f>
        <v>20180201</v>
      </c>
      <c r="DE69" s="7">
        <f>'AS400'!DC69</f>
        <v>0</v>
      </c>
      <c r="DF69" s="7">
        <f>'AS400'!DD69</f>
        <v>0</v>
      </c>
      <c r="DG69" s="7">
        <f>'AS400'!DE69</f>
        <v>20</v>
      </c>
      <c r="DI69" s="7">
        <f>'AS400'!DF69</f>
        <v>22</v>
      </c>
      <c r="DJ69" s="7">
        <f>'AS400'!DG69</f>
        <v>0</v>
      </c>
      <c r="DK69" s="7">
        <f>'AS400'!DH69</f>
        <v>0</v>
      </c>
      <c r="DL69" s="7">
        <f>'AS400'!DI69</f>
        <v>0</v>
      </c>
      <c r="DM69" s="7">
        <f>'AS400'!DJ69</f>
        <v>0</v>
      </c>
      <c r="DN69" s="7">
        <f>'AS400'!DK69</f>
        <v>0</v>
      </c>
      <c r="DO69" s="7">
        <f>'AS400'!DL69</f>
        <v>0</v>
      </c>
      <c r="DP69" s="7">
        <f>'AS400'!DM69</f>
        <v>0</v>
      </c>
      <c r="DQ69" s="7">
        <f>'AS400'!DN69</f>
        <v>0</v>
      </c>
      <c r="DR69" s="7">
        <f>'AS400'!DO69</f>
        <v>0</v>
      </c>
      <c r="DS69" s="7">
        <f>'AS400'!DP69</f>
        <v>0</v>
      </c>
      <c r="DT69" s="7">
        <f>'AS400'!DQ69</f>
        <v>0</v>
      </c>
      <c r="DU69" s="7">
        <f>'AS400'!DR69</f>
        <v>0</v>
      </c>
      <c r="DV69" s="7">
        <f>'AS400'!DS69</f>
        <v>0</v>
      </c>
      <c r="DW69" s="7">
        <f>'AS400'!DT69</f>
        <v>0</v>
      </c>
      <c r="DX69" s="7">
        <f>'AS400'!DU69</f>
        <v>0</v>
      </c>
      <c r="DY69" s="7">
        <f>'AS400'!DV69</f>
        <v>0</v>
      </c>
      <c r="DZ69" s="8">
        <f>'AS400'!DW69</f>
        <v>1</v>
      </c>
      <c r="EA69" s="7">
        <f>'AS400'!DX69</f>
        <v>4</v>
      </c>
      <c r="EB69" s="7" t="str">
        <f>'AS400'!DY69</f>
        <v>PUDS</v>
      </c>
      <c r="EC69" s="7">
        <f>'AS400'!DZ69</f>
        <v>100</v>
      </c>
      <c r="ED69" s="7">
        <f>'AS400'!EA69</f>
        <v>20180301</v>
      </c>
      <c r="EE69" s="7">
        <f>'AS400'!EB69</f>
        <v>20180301</v>
      </c>
      <c r="EF69" s="7" t="str">
        <f>'AS400'!EC69</f>
        <v>S</v>
      </c>
      <c r="EG69" s="7" t="str">
        <f>'AS400'!ED69</f>
        <v>MS</v>
      </c>
      <c r="EH69" s="7">
        <f>'AS400'!EE69</f>
        <v>20180301</v>
      </c>
      <c r="EI69" s="7">
        <f>'AS400'!EF69</f>
        <v>0</v>
      </c>
      <c r="EJ69" s="7">
        <f>'AS400'!EG69</f>
        <v>0</v>
      </c>
      <c r="EK69" s="7">
        <f>'AS400'!EH69</f>
        <v>0</v>
      </c>
      <c r="EL69" s="7">
        <f>'AS400'!EI69</f>
        <v>0</v>
      </c>
      <c r="EM69" s="7" t="str">
        <f>'AS400'!EJ69</f>
        <v>STLV</v>
      </c>
      <c r="EN69" s="7">
        <f>'AS400'!EK69</f>
        <v>818</v>
      </c>
      <c r="EO69" s="7">
        <f>'AS400'!EL69</f>
        <v>0</v>
      </c>
      <c r="EP69" s="7">
        <f>'AS400'!EM69</f>
        <v>12</v>
      </c>
      <c r="EQ69" s="7">
        <f>'AS400'!EN69</f>
        <v>20180201</v>
      </c>
      <c r="ER69" s="7">
        <f>'AS400'!EO69</f>
        <v>0</v>
      </c>
      <c r="ES69" s="7">
        <f>'AS400'!EP69</f>
        <v>0</v>
      </c>
      <c r="ET69" s="7">
        <f>'AS400'!EQ69</f>
        <v>10</v>
      </c>
      <c r="EV69" s="7">
        <f>'AS400'!ER69</f>
        <v>22</v>
      </c>
      <c r="EW69" s="7">
        <f>'AS400'!ES69</f>
        <v>0</v>
      </c>
      <c r="EX69" s="7">
        <f>'AS400'!ET69</f>
        <v>0</v>
      </c>
      <c r="EY69" s="7">
        <f>'AS400'!EU69</f>
        <v>0</v>
      </c>
      <c r="EZ69" s="7">
        <f>'AS400'!EV69</f>
        <v>0</v>
      </c>
      <c r="FA69" s="7">
        <f>'AS400'!EW69</f>
        <v>0</v>
      </c>
      <c r="FB69" s="7">
        <f>'AS400'!EX69</f>
        <v>0</v>
      </c>
      <c r="FC69" s="7">
        <f>'AS400'!EY69</f>
        <v>0</v>
      </c>
      <c r="FD69" s="7">
        <f>'AS400'!EZ69</f>
        <v>0</v>
      </c>
      <c r="FE69" s="7">
        <f>'AS400'!FA69</f>
        <v>0</v>
      </c>
      <c r="FF69" s="7">
        <f>'AS400'!FB69</f>
        <v>0</v>
      </c>
      <c r="FG69" s="7">
        <f>'AS400'!FC69</f>
        <v>0</v>
      </c>
      <c r="FH69" s="7">
        <f>'AS400'!FD69</f>
        <v>0</v>
      </c>
      <c r="FI69" s="7">
        <f>'AS400'!FE69</f>
        <v>0</v>
      </c>
      <c r="FJ69" s="7">
        <f>'AS400'!FF69</f>
        <v>0</v>
      </c>
      <c r="FK69" s="7">
        <f>'AS400'!FG69</f>
        <v>0</v>
      </c>
      <c r="FL69" s="7">
        <f>'AS400'!FH69</f>
        <v>0</v>
      </c>
      <c r="FM69" s="7">
        <f>'AS400'!FI69</f>
        <v>1</v>
      </c>
      <c r="FN69" s="7">
        <f>'AS400'!FJ69</f>
        <v>1</v>
      </c>
      <c r="FO69" s="7">
        <f>'AS400'!FO69</f>
        <v>0</v>
      </c>
      <c r="FP69" s="7">
        <f>'AS400'!FP69</f>
        <v>4</v>
      </c>
      <c r="FQ69" s="7">
        <f>'AS400'!FQ69</f>
        <v>1</v>
      </c>
      <c r="FR69" s="7">
        <f>'AS400'!FR69</f>
        <v>1</v>
      </c>
      <c r="FS69" s="13">
        <f>'AS400'!FO69</f>
        <v>0</v>
      </c>
    </row>
    <row r="70" spans="1:175">
      <c r="A70" s="7">
        <f>'AS400'!A70</f>
        <v>64</v>
      </c>
      <c r="B70" s="7">
        <f>'AS400'!B70</f>
        <v>20190301</v>
      </c>
      <c r="C70" s="7">
        <f>'AS400'!C70</f>
        <v>0</v>
      </c>
      <c r="D70" s="7" t="str">
        <f>'AS400'!D70</f>
        <v>N</v>
      </c>
      <c r="E70" s="7" t="str">
        <f>'AS400'!E70</f>
        <v>N</v>
      </c>
      <c r="F70" s="7" t="str">
        <f>'AS400'!F70</f>
        <v>Y</v>
      </c>
      <c r="G70" s="7">
        <f>'AS400'!G70</f>
        <v>0</v>
      </c>
      <c r="H70" s="14"/>
      <c r="I70" s="7" t="str">
        <f>'AS400'!I70</f>
        <v>RSA</v>
      </c>
      <c r="J70" s="7" t="str">
        <f>'AS400'!J70</f>
        <v>METR</v>
      </c>
      <c r="K70" s="7" t="str">
        <f>'AS400'!K70</f>
        <v>N</v>
      </c>
      <c r="L70" s="7">
        <f>'AS400'!L70</f>
        <v>4</v>
      </c>
      <c r="M70" s="8">
        <f>'AS400'!M70</f>
        <v>1</v>
      </c>
      <c r="N70" s="7">
        <f>'AS400'!N70</f>
        <v>1</v>
      </c>
      <c r="O70" s="7" t="str">
        <f>'AS400'!O70</f>
        <v>MFEF</v>
      </c>
      <c r="P70" s="7">
        <f>'AS400'!P70</f>
        <v>100</v>
      </c>
      <c r="Q70" s="7">
        <f>'AS400'!Q70</f>
        <v>20180301</v>
      </c>
      <c r="R70" s="7">
        <f>'AS400'!R70</f>
        <v>20180301</v>
      </c>
      <c r="S70" s="7" t="str">
        <f>'AS400'!S70</f>
        <v>M</v>
      </c>
      <c r="T70" s="7" t="str">
        <f>'AS400'!T70</f>
        <v>MM</v>
      </c>
      <c r="U70" s="7">
        <f>'AS400'!U70</f>
        <v>20190301</v>
      </c>
      <c r="V70" s="7">
        <f>'AS400'!V70</f>
        <v>6</v>
      </c>
      <c r="W70" s="7">
        <f>'AS400'!W70</f>
        <v>6</v>
      </c>
      <c r="X70" s="7" t="str">
        <f>'AS400'!X70</f>
        <v>MFIX</v>
      </c>
      <c r="Y70" s="7">
        <f>'AS400'!Y70</f>
        <v>0</v>
      </c>
      <c r="Z70" s="7" t="str">
        <f>'AS400'!Z70</f>
        <v>STLV</v>
      </c>
      <c r="AA70" s="7">
        <f>'AS400'!AA70</f>
        <v>818</v>
      </c>
      <c r="AB70" s="7">
        <f>'AS400'!AB70</f>
        <v>0</v>
      </c>
      <c r="AC70" s="7">
        <f>'AS400'!AC70</f>
        <v>12</v>
      </c>
      <c r="AD70" s="7">
        <f>'AS400'!AD70</f>
        <v>20180201</v>
      </c>
      <c r="AE70" s="7">
        <f>'AS400'!AE70</f>
        <v>0</v>
      </c>
      <c r="AF70" s="7">
        <f>'AS400'!AF70</f>
        <v>5000</v>
      </c>
      <c r="AG70" s="7">
        <f>'AS400'!AG70</f>
        <v>57</v>
      </c>
      <c r="AI70" s="7">
        <f>'AS400'!AH70</f>
        <v>21</v>
      </c>
      <c r="AJ70" s="7">
        <f>'AS400'!AI70</f>
        <v>0</v>
      </c>
      <c r="AK70" s="7">
        <f>'AS400'!AJ70</f>
        <v>0</v>
      </c>
      <c r="AL70" s="7">
        <f>'AS400'!AK70</f>
        <v>0</v>
      </c>
      <c r="AM70" s="7">
        <f>'AS400'!AL70</f>
        <v>0</v>
      </c>
      <c r="AN70" s="7">
        <f>'AS400'!AM70</f>
        <v>0</v>
      </c>
      <c r="AO70" s="7">
        <f>'AS400'!AN70</f>
        <v>0</v>
      </c>
      <c r="AP70" s="7">
        <f>'AS400'!AO70</f>
        <v>0</v>
      </c>
      <c r="AQ70" s="7">
        <f>'AS400'!AP70</f>
        <v>0</v>
      </c>
      <c r="AR70" s="7">
        <f>'AS400'!AQ70</f>
        <v>0</v>
      </c>
      <c r="AS70" s="7">
        <f>'AS400'!AR70</f>
        <v>0</v>
      </c>
      <c r="AT70" s="7">
        <f>'AS400'!AS70</f>
        <v>0</v>
      </c>
      <c r="AU70" s="7">
        <f>'AS400'!AT70</f>
        <v>0</v>
      </c>
      <c r="AV70" s="7">
        <f>'AS400'!AU70</f>
        <v>0</v>
      </c>
      <c r="AW70" s="7">
        <f>'AS400'!AV70</f>
        <v>0</v>
      </c>
      <c r="AX70" s="7">
        <f>'AS400'!AW70</f>
        <v>0</v>
      </c>
      <c r="AY70" s="7">
        <f>'AS400'!AX70</f>
        <v>0</v>
      </c>
      <c r="AZ70" s="8">
        <f>'AS400'!AY70</f>
        <v>1</v>
      </c>
      <c r="BA70" s="7">
        <f>'AS400'!AZ70</f>
        <v>2</v>
      </c>
      <c r="BB70" s="7" t="str">
        <f>'AS400'!BA70</f>
        <v>PURO</v>
      </c>
      <c r="BC70" s="7">
        <f>'AS400'!BB70</f>
        <v>100</v>
      </c>
      <c r="BD70" s="7">
        <f>'AS400'!BC70</f>
        <v>20180301</v>
      </c>
      <c r="BE70" s="7">
        <f>'AS400'!BD70</f>
        <v>20180301</v>
      </c>
      <c r="BF70" s="7" t="str">
        <f>'AS400'!BE70</f>
        <v>S</v>
      </c>
      <c r="BG70" s="7" t="str">
        <f>'AS400'!BF70</f>
        <v>ME</v>
      </c>
      <c r="BH70" s="7">
        <f>'AS400'!BG70</f>
        <v>20180301</v>
      </c>
      <c r="BI70" s="7">
        <f>'AS400'!BH70</f>
        <v>0</v>
      </c>
      <c r="BJ70" s="7">
        <f>'AS400'!BI70</f>
        <v>0</v>
      </c>
      <c r="BK70" s="7">
        <f>'AS400'!BJ70</f>
        <v>0</v>
      </c>
      <c r="BL70" s="7">
        <f>'AS400'!BK70</f>
        <v>0</v>
      </c>
      <c r="BM70" s="7" t="str">
        <f>'AS400'!BL70</f>
        <v>STLV</v>
      </c>
      <c r="BN70" s="7">
        <f>'AS400'!BM70</f>
        <v>818</v>
      </c>
      <c r="BO70" s="7">
        <f>'AS400'!BN70</f>
        <v>0</v>
      </c>
      <c r="BP70" s="7">
        <f>'AS400'!BO70</f>
        <v>12</v>
      </c>
      <c r="BQ70" s="7">
        <f>'AS400'!BP70</f>
        <v>20180201</v>
      </c>
      <c r="BR70" s="7">
        <f>'AS400'!BQ70</f>
        <v>0</v>
      </c>
      <c r="BS70" s="7">
        <f>'AS400'!BR70</f>
        <v>0</v>
      </c>
      <c r="BT70" s="7">
        <f>'AS400'!BS70</f>
        <v>20</v>
      </c>
      <c r="BV70" s="7">
        <f>'AS400'!BT70</f>
        <v>21</v>
      </c>
      <c r="BW70" s="7">
        <f>'AS400'!BU70</f>
        <v>0</v>
      </c>
      <c r="BX70" s="7">
        <f>'AS400'!BV70</f>
        <v>0</v>
      </c>
      <c r="BY70" s="7">
        <f>'AS400'!BW70</f>
        <v>0</v>
      </c>
      <c r="BZ70" s="7">
        <f>'AS400'!BX70</f>
        <v>0</v>
      </c>
      <c r="CA70" s="7">
        <f>'AS400'!BY70</f>
        <v>0</v>
      </c>
      <c r="CB70" s="7">
        <f>'AS400'!BZ70</f>
        <v>0</v>
      </c>
      <c r="CC70" s="7">
        <f>'AS400'!CA70</f>
        <v>0</v>
      </c>
      <c r="CD70" s="7">
        <f>'AS400'!CB70</f>
        <v>0</v>
      </c>
      <c r="CE70" s="7">
        <f>'AS400'!CC70</f>
        <v>0</v>
      </c>
      <c r="CF70" s="7">
        <f>'AS400'!CD70</f>
        <v>0</v>
      </c>
      <c r="CG70" s="7">
        <f>'AS400'!CE70</f>
        <v>0</v>
      </c>
      <c r="CH70" s="7">
        <f>'AS400'!CF70</f>
        <v>0</v>
      </c>
      <c r="CI70" s="7">
        <f>'AS400'!CG70</f>
        <v>0</v>
      </c>
      <c r="CJ70" s="7">
        <f>'AS400'!CH70</f>
        <v>0</v>
      </c>
      <c r="CK70" s="7">
        <f>'AS400'!CI70</f>
        <v>0</v>
      </c>
      <c r="CL70" s="7">
        <f>'AS400'!CJ70</f>
        <v>0</v>
      </c>
      <c r="CM70" s="8">
        <f>'AS400'!CK70</f>
        <v>1</v>
      </c>
      <c r="CN70" s="7">
        <f>'AS400'!CL70</f>
        <v>3</v>
      </c>
      <c r="CO70" s="7" t="str">
        <f>'AS400'!CM70</f>
        <v>PUDT</v>
      </c>
      <c r="CP70" s="7">
        <f>'AS400'!CN70</f>
        <v>100</v>
      </c>
      <c r="CQ70" s="7">
        <f>'AS400'!CO70</f>
        <v>20180301</v>
      </c>
      <c r="CR70" s="7">
        <f>'AS400'!CP70</f>
        <v>20180301</v>
      </c>
      <c r="CS70" s="7" t="str">
        <f>'AS400'!CQ70</f>
        <v>S</v>
      </c>
      <c r="CT70" s="7" t="str">
        <f>'AS400'!CR70</f>
        <v>MT</v>
      </c>
      <c r="CU70" s="7">
        <f>'AS400'!CS70</f>
        <v>20180301</v>
      </c>
      <c r="CV70" s="7">
        <f>'AS400'!CT70</f>
        <v>0</v>
      </c>
      <c r="CW70" s="7">
        <f>'AS400'!CU70</f>
        <v>0</v>
      </c>
      <c r="CX70" s="7">
        <f>'AS400'!CV70</f>
        <v>0</v>
      </c>
      <c r="CY70" s="7">
        <f>'AS400'!CW70</f>
        <v>0</v>
      </c>
      <c r="CZ70" s="7" t="str">
        <f>'AS400'!CX70</f>
        <v>STLV</v>
      </c>
      <c r="DA70" s="7">
        <f>'AS400'!CY70</f>
        <v>818</v>
      </c>
      <c r="DB70" s="7">
        <f>'AS400'!CZ70</f>
        <v>0</v>
      </c>
      <c r="DC70" s="7">
        <f>'AS400'!DA70</f>
        <v>12</v>
      </c>
      <c r="DD70" s="7">
        <f>'AS400'!DB70</f>
        <v>20180201</v>
      </c>
      <c r="DE70" s="7">
        <f>'AS400'!DC70</f>
        <v>0</v>
      </c>
      <c r="DF70" s="7">
        <f>'AS400'!DD70</f>
        <v>0</v>
      </c>
      <c r="DG70" s="7">
        <f>'AS400'!DE70</f>
        <v>20</v>
      </c>
      <c r="DI70" s="7">
        <f>'AS400'!DF70</f>
        <v>21</v>
      </c>
      <c r="DJ70" s="7">
        <f>'AS400'!DG70</f>
        <v>0</v>
      </c>
      <c r="DK70" s="7">
        <f>'AS400'!DH70</f>
        <v>0</v>
      </c>
      <c r="DL70" s="7">
        <f>'AS400'!DI70</f>
        <v>0</v>
      </c>
      <c r="DM70" s="7">
        <f>'AS400'!DJ70</f>
        <v>0</v>
      </c>
      <c r="DN70" s="7">
        <f>'AS400'!DK70</f>
        <v>0</v>
      </c>
      <c r="DO70" s="7">
        <f>'AS400'!DL70</f>
        <v>0</v>
      </c>
      <c r="DP70" s="7">
        <f>'AS400'!DM70</f>
        <v>0</v>
      </c>
      <c r="DQ70" s="7">
        <f>'AS400'!DN70</f>
        <v>0</v>
      </c>
      <c r="DR70" s="7">
        <f>'AS400'!DO70</f>
        <v>0</v>
      </c>
      <c r="DS70" s="7">
        <f>'AS400'!DP70</f>
        <v>0</v>
      </c>
      <c r="DT70" s="7">
        <f>'AS400'!DQ70</f>
        <v>0</v>
      </c>
      <c r="DU70" s="7">
        <f>'AS400'!DR70</f>
        <v>0</v>
      </c>
      <c r="DV70" s="7">
        <f>'AS400'!DS70</f>
        <v>0</v>
      </c>
      <c r="DW70" s="7">
        <f>'AS400'!DT70</f>
        <v>0</v>
      </c>
      <c r="DX70" s="7">
        <f>'AS400'!DU70</f>
        <v>0</v>
      </c>
      <c r="DY70" s="7">
        <f>'AS400'!DV70</f>
        <v>0</v>
      </c>
      <c r="DZ70" s="8">
        <f>'AS400'!DW70</f>
        <v>1</v>
      </c>
      <c r="EA70" s="7">
        <f>'AS400'!DX70</f>
        <v>4</v>
      </c>
      <c r="EB70" s="7" t="str">
        <f>'AS400'!DY70</f>
        <v>PUDS</v>
      </c>
      <c r="EC70" s="7">
        <f>'AS400'!DZ70</f>
        <v>100</v>
      </c>
      <c r="ED70" s="7">
        <f>'AS400'!EA70</f>
        <v>20180301</v>
      </c>
      <c r="EE70" s="7">
        <f>'AS400'!EB70</f>
        <v>20180301</v>
      </c>
      <c r="EF70" s="7" t="str">
        <f>'AS400'!EC70</f>
        <v>S</v>
      </c>
      <c r="EG70" s="7" t="str">
        <f>'AS400'!ED70</f>
        <v>MS</v>
      </c>
      <c r="EH70" s="7">
        <f>'AS400'!EE70</f>
        <v>20180301</v>
      </c>
      <c r="EI70" s="7">
        <f>'AS400'!EF70</f>
        <v>0</v>
      </c>
      <c r="EJ70" s="7">
        <f>'AS400'!EG70</f>
        <v>0</v>
      </c>
      <c r="EK70" s="7">
        <f>'AS400'!EH70</f>
        <v>0</v>
      </c>
      <c r="EL70" s="7">
        <f>'AS400'!EI70</f>
        <v>0</v>
      </c>
      <c r="EM70" s="7" t="str">
        <f>'AS400'!EJ70</f>
        <v>STLV</v>
      </c>
      <c r="EN70" s="7">
        <f>'AS400'!EK70</f>
        <v>818</v>
      </c>
      <c r="EO70" s="7">
        <f>'AS400'!EL70</f>
        <v>0</v>
      </c>
      <c r="EP70" s="7">
        <f>'AS400'!EM70</f>
        <v>12</v>
      </c>
      <c r="EQ70" s="7">
        <f>'AS400'!EN70</f>
        <v>20180201</v>
      </c>
      <c r="ER70" s="7">
        <f>'AS400'!EO70</f>
        <v>0</v>
      </c>
      <c r="ES70" s="7">
        <f>'AS400'!EP70</f>
        <v>0</v>
      </c>
      <c r="ET70" s="7">
        <f>'AS400'!EQ70</f>
        <v>10</v>
      </c>
      <c r="EV70" s="7">
        <f>'AS400'!ER70</f>
        <v>21</v>
      </c>
      <c r="EW70" s="7">
        <f>'AS400'!ES70</f>
        <v>0</v>
      </c>
      <c r="EX70" s="7">
        <f>'AS400'!ET70</f>
        <v>0</v>
      </c>
      <c r="EY70" s="7">
        <f>'AS400'!EU70</f>
        <v>0</v>
      </c>
      <c r="EZ70" s="7">
        <f>'AS400'!EV70</f>
        <v>0</v>
      </c>
      <c r="FA70" s="7">
        <f>'AS400'!EW70</f>
        <v>0</v>
      </c>
      <c r="FB70" s="7">
        <f>'AS400'!EX70</f>
        <v>0</v>
      </c>
      <c r="FC70" s="7">
        <f>'AS400'!EY70</f>
        <v>0</v>
      </c>
      <c r="FD70" s="7">
        <f>'AS400'!EZ70</f>
        <v>0</v>
      </c>
      <c r="FE70" s="7">
        <f>'AS400'!FA70</f>
        <v>0</v>
      </c>
      <c r="FF70" s="7">
        <f>'AS400'!FB70</f>
        <v>0</v>
      </c>
      <c r="FG70" s="7">
        <f>'AS400'!FC70</f>
        <v>0</v>
      </c>
      <c r="FH70" s="7">
        <f>'AS400'!FD70</f>
        <v>0</v>
      </c>
      <c r="FI70" s="7">
        <f>'AS400'!FE70</f>
        <v>0</v>
      </c>
      <c r="FJ70" s="7">
        <f>'AS400'!FF70</f>
        <v>0</v>
      </c>
      <c r="FK70" s="7">
        <f>'AS400'!FG70</f>
        <v>0</v>
      </c>
      <c r="FL70" s="7">
        <f>'AS400'!FH70</f>
        <v>0</v>
      </c>
      <c r="FM70" s="7">
        <f>'AS400'!FI70</f>
        <v>1</v>
      </c>
      <c r="FN70" s="7">
        <f>'AS400'!FJ70</f>
        <v>1</v>
      </c>
      <c r="FO70" s="7">
        <f>'AS400'!FO70</f>
        <v>0</v>
      </c>
      <c r="FP70" s="7">
        <f>'AS400'!FP70</f>
        <v>4</v>
      </c>
      <c r="FQ70" s="7">
        <f>'AS400'!FQ70</f>
        <v>1</v>
      </c>
      <c r="FR70" s="7">
        <f>'AS400'!FR70</f>
        <v>1</v>
      </c>
      <c r="FS70" s="13">
        <f>'AS400'!FO70</f>
        <v>0</v>
      </c>
    </row>
    <row r="71" spans="1:175">
      <c r="A71" s="7">
        <f>'AS400'!A71</f>
        <v>65</v>
      </c>
      <c r="B71" s="7">
        <f>'AS400'!B71</f>
        <v>20190301</v>
      </c>
      <c r="C71" s="7">
        <f>'AS400'!C71</f>
        <v>0</v>
      </c>
      <c r="D71" s="7" t="str">
        <f>'AS400'!D71</f>
        <v>N</v>
      </c>
      <c r="E71" s="7" t="str">
        <f>'AS400'!E71</f>
        <v>N</v>
      </c>
      <c r="F71" s="7" t="str">
        <f>'AS400'!F71</f>
        <v>Y</v>
      </c>
      <c r="G71" s="7">
        <f>'AS400'!G71</f>
        <v>0</v>
      </c>
      <c r="H71" s="14"/>
      <c r="I71" s="7" t="str">
        <f>'AS400'!I71</f>
        <v>RSA</v>
      </c>
      <c r="J71" s="7" t="str">
        <f>'AS400'!J71</f>
        <v>METR</v>
      </c>
      <c r="K71" s="7" t="str">
        <f>'AS400'!K71</f>
        <v>N</v>
      </c>
      <c r="L71" s="7">
        <f>'AS400'!L71</f>
        <v>4</v>
      </c>
      <c r="M71" s="8">
        <f>'AS400'!M71</f>
        <v>1</v>
      </c>
      <c r="N71" s="7">
        <f>'AS400'!N71</f>
        <v>1</v>
      </c>
      <c r="O71" s="7" t="str">
        <f>'AS400'!O71</f>
        <v>MFSP</v>
      </c>
      <c r="P71" s="7">
        <f>'AS400'!P71</f>
        <v>100</v>
      </c>
      <c r="Q71" s="7">
        <f>'AS400'!Q71</f>
        <v>20180301</v>
      </c>
      <c r="R71" s="7">
        <f>'AS400'!R71</f>
        <v>20180301</v>
      </c>
      <c r="S71" s="7" t="str">
        <f>'AS400'!S71</f>
        <v>M</v>
      </c>
      <c r="T71" s="7" t="str">
        <f>'AS400'!T71</f>
        <v>MM</v>
      </c>
      <c r="U71" s="7">
        <f>'AS400'!U71</f>
        <v>20190301</v>
      </c>
      <c r="V71" s="7">
        <f>'AS400'!V71</f>
        <v>10</v>
      </c>
      <c r="W71" s="7">
        <f>'AS400'!W71</f>
        <v>10</v>
      </c>
      <c r="X71" s="7" t="str">
        <f>'AS400'!X71</f>
        <v>MFIX</v>
      </c>
      <c r="Y71" s="7">
        <f>'AS400'!Y71</f>
        <v>0</v>
      </c>
      <c r="Z71" s="7" t="str">
        <f>'AS400'!Z71</f>
        <v>STLV</v>
      </c>
      <c r="AA71" s="7">
        <f>'AS400'!AA71</f>
        <v>818</v>
      </c>
      <c r="AB71" s="7">
        <f>'AS400'!AB71</f>
        <v>0</v>
      </c>
      <c r="AC71" s="7">
        <f>'AS400'!AC71</f>
        <v>12</v>
      </c>
      <c r="AD71" s="7">
        <f>'AS400'!AD71</f>
        <v>20180201</v>
      </c>
      <c r="AE71" s="7">
        <f>'AS400'!AE71</f>
        <v>0</v>
      </c>
      <c r="AF71" s="7">
        <f>'AS400'!AF71</f>
        <v>10000</v>
      </c>
      <c r="AG71" s="7">
        <f>'AS400'!AG71</f>
        <v>37</v>
      </c>
      <c r="AI71" s="7">
        <f>'AS400'!AH71</f>
        <v>22</v>
      </c>
      <c r="AJ71" s="7">
        <f>'AS400'!AI71</f>
        <v>0</v>
      </c>
      <c r="AK71" s="7">
        <f>'AS400'!AJ71</f>
        <v>0</v>
      </c>
      <c r="AL71" s="7">
        <f>'AS400'!AK71</f>
        <v>0</v>
      </c>
      <c r="AM71" s="7">
        <f>'AS400'!AL71</f>
        <v>0</v>
      </c>
      <c r="AN71" s="7">
        <f>'AS400'!AM71</f>
        <v>0</v>
      </c>
      <c r="AO71" s="7">
        <f>'AS400'!AN71</f>
        <v>0</v>
      </c>
      <c r="AP71" s="7">
        <f>'AS400'!AO71</f>
        <v>0</v>
      </c>
      <c r="AQ71" s="7">
        <f>'AS400'!AP71</f>
        <v>0</v>
      </c>
      <c r="AR71" s="7">
        <f>'AS400'!AQ71</f>
        <v>0</v>
      </c>
      <c r="AS71" s="7">
        <f>'AS400'!AR71</f>
        <v>0</v>
      </c>
      <c r="AT71" s="7">
        <f>'AS400'!AS71</f>
        <v>0</v>
      </c>
      <c r="AU71" s="7">
        <f>'AS400'!AT71</f>
        <v>0</v>
      </c>
      <c r="AV71" s="7">
        <f>'AS400'!AU71</f>
        <v>0</v>
      </c>
      <c r="AW71" s="7">
        <f>'AS400'!AV71</f>
        <v>0</v>
      </c>
      <c r="AX71" s="7">
        <f>'AS400'!AW71</f>
        <v>0</v>
      </c>
      <c r="AY71" s="7">
        <f>'AS400'!AX71</f>
        <v>0</v>
      </c>
      <c r="AZ71" s="8">
        <f>'AS400'!AY71</f>
        <v>1</v>
      </c>
      <c r="BA71" s="7">
        <f>'AS400'!AZ71</f>
        <v>2</v>
      </c>
      <c r="BB71" s="7" t="str">
        <f>'AS400'!BA71</f>
        <v>PURO</v>
      </c>
      <c r="BC71" s="7">
        <f>'AS400'!BB71</f>
        <v>100</v>
      </c>
      <c r="BD71" s="7">
        <f>'AS400'!BC71</f>
        <v>20180301</v>
      </c>
      <c r="BE71" s="7">
        <f>'AS400'!BD71</f>
        <v>20180301</v>
      </c>
      <c r="BF71" s="7" t="str">
        <f>'AS400'!BE71</f>
        <v>S</v>
      </c>
      <c r="BG71" s="7" t="str">
        <f>'AS400'!BF71</f>
        <v>ME</v>
      </c>
      <c r="BH71" s="7">
        <f>'AS400'!BG71</f>
        <v>20180301</v>
      </c>
      <c r="BI71" s="7">
        <f>'AS400'!BH71</f>
        <v>0</v>
      </c>
      <c r="BJ71" s="7">
        <f>'AS400'!BI71</f>
        <v>0</v>
      </c>
      <c r="BK71" s="7">
        <f>'AS400'!BJ71</f>
        <v>0</v>
      </c>
      <c r="BL71" s="7">
        <f>'AS400'!BK71</f>
        <v>0</v>
      </c>
      <c r="BM71" s="7" t="str">
        <f>'AS400'!BL71</f>
        <v>STLV</v>
      </c>
      <c r="BN71" s="7">
        <f>'AS400'!BM71</f>
        <v>818</v>
      </c>
      <c r="BO71" s="7">
        <f>'AS400'!BN71</f>
        <v>0</v>
      </c>
      <c r="BP71" s="7">
        <f>'AS400'!BO71</f>
        <v>12</v>
      </c>
      <c r="BQ71" s="7">
        <f>'AS400'!BP71</f>
        <v>20180201</v>
      </c>
      <c r="BR71" s="7">
        <f>'AS400'!BQ71</f>
        <v>0</v>
      </c>
      <c r="BS71" s="7">
        <f>'AS400'!BR71</f>
        <v>0</v>
      </c>
      <c r="BT71" s="7">
        <f>'AS400'!BS71</f>
        <v>5</v>
      </c>
      <c r="BV71" s="7">
        <f>'AS400'!BT71</f>
        <v>22</v>
      </c>
      <c r="BW71" s="7">
        <f>'AS400'!BU71</f>
        <v>0</v>
      </c>
      <c r="BX71" s="7">
        <f>'AS400'!BV71</f>
        <v>0</v>
      </c>
      <c r="BY71" s="7">
        <f>'AS400'!BW71</f>
        <v>0</v>
      </c>
      <c r="BZ71" s="7">
        <f>'AS400'!BX71</f>
        <v>0</v>
      </c>
      <c r="CA71" s="7">
        <f>'AS400'!BY71</f>
        <v>0</v>
      </c>
      <c r="CB71" s="7">
        <f>'AS400'!BZ71</f>
        <v>0</v>
      </c>
      <c r="CC71" s="7">
        <f>'AS400'!CA71</f>
        <v>0</v>
      </c>
      <c r="CD71" s="7">
        <f>'AS400'!CB71</f>
        <v>0</v>
      </c>
      <c r="CE71" s="7">
        <f>'AS400'!CC71</f>
        <v>0</v>
      </c>
      <c r="CF71" s="7">
        <f>'AS400'!CD71</f>
        <v>0</v>
      </c>
      <c r="CG71" s="7">
        <f>'AS400'!CE71</f>
        <v>0</v>
      </c>
      <c r="CH71" s="7">
        <f>'AS400'!CF71</f>
        <v>0</v>
      </c>
      <c r="CI71" s="7">
        <f>'AS400'!CG71</f>
        <v>0</v>
      </c>
      <c r="CJ71" s="7">
        <f>'AS400'!CH71</f>
        <v>0</v>
      </c>
      <c r="CK71" s="7">
        <f>'AS400'!CI71</f>
        <v>0</v>
      </c>
      <c r="CL71" s="7">
        <f>'AS400'!CJ71</f>
        <v>0</v>
      </c>
      <c r="CM71" s="8">
        <f>'AS400'!CK71</f>
        <v>1</v>
      </c>
      <c r="CN71" s="7">
        <f>'AS400'!CL71</f>
        <v>3</v>
      </c>
      <c r="CO71" s="7" t="str">
        <f>'AS400'!CM71</f>
        <v>PUDT</v>
      </c>
      <c r="CP71" s="7">
        <f>'AS400'!CN71</f>
        <v>100</v>
      </c>
      <c r="CQ71" s="7">
        <f>'AS400'!CO71</f>
        <v>20180301</v>
      </c>
      <c r="CR71" s="7">
        <f>'AS400'!CP71</f>
        <v>20180301</v>
      </c>
      <c r="CS71" s="7" t="str">
        <f>'AS400'!CQ71</f>
        <v>S</v>
      </c>
      <c r="CT71" s="7" t="str">
        <f>'AS400'!CR71</f>
        <v>MT</v>
      </c>
      <c r="CU71" s="7">
        <f>'AS400'!CS71</f>
        <v>20180301</v>
      </c>
      <c r="CV71" s="7">
        <f>'AS400'!CT71</f>
        <v>0</v>
      </c>
      <c r="CW71" s="7">
        <f>'AS400'!CU71</f>
        <v>0</v>
      </c>
      <c r="CX71" s="7">
        <f>'AS400'!CV71</f>
        <v>0</v>
      </c>
      <c r="CY71" s="7">
        <f>'AS400'!CW71</f>
        <v>0</v>
      </c>
      <c r="CZ71" s="7" t="str">
        <f>'AS400'!CX71</f>
        <v>STLV</v>
      </c>
      <c r="DA71" s="7">
        <f>'AS400'!CY71</f>
        <v>818</v>
      </c>
      <c r="DB71" s="7">
        <f>'AS400'!CZ71</f>
        <v>0</v>
      </c>
      <c r="DC71" s="7">
        <f>'AS400'!DA71</f>
        <v>12</v>
      </c>
      <c r="DD71" s="7">
        <f>'AS400'!DB71</f>
        <v>20180201</v>
      </c>
      <c r="DE71" s="7">
        <f>'AS400'!DC71</f>
        <v>0</v>
      </c>
      <c r="DF71" s="7">
        <f>'AS400'!DD71</f>
        <v>0</v>
      </c>
      <c r="DG71" s="7">
        <f>'AS400'!DE71</f>
        <v>7</v>
      </c>
      <c r="DI71" s="7">
        <f>'AS400'!DF71</f>
        <v>22</v>
      </c>
      <c r="DJ71" s="7">
        <f>'AS400'!DG71</f>
        <v>0</v>
      </c>
      <c r="DK71" s="7">
        <f>'AS400'!DH71</f>
        <v>0</v>
      </c>
      <c r="DL71" s="7">
        <f>'AS400'!DI71</f>
        <v>0</v>
      </c>
      <c r="DM71" s="7">
        <f>'AS400'!DJ71</f>
        <v>0</v>
      </c>
      <c r="DN71" s="7">
        <f>'AS400'!DK71</f>
        <v>0</v>
      </c>
      <c r="DO71" s="7">
        <f>'AS400'!DL71</f>
        <v>0</v>
      </c>
      <c r="DP71" s="7">
        <f>'AS400'!DM71</f>
        <v>0</v>
      </c>
      <c r="DQ71" s="7">
        <f>'AS400'!DN71</f>
        <v>0</v>
      </c>
      <c r="DR71" s="7">
        <f>'AS400'!DO71</f>
        <v>0</v>
      </c>
      <c r="DS71" s="7">
        <f>'AS400'!DP71</f>
        <v>0</v>
      </c>
      <c r="DT71" s="7">
        <f>'AS400'!DQ71</f>
        <v>0</v>
      </c>
      <c r="DU71" s="7">
        <f>'AS400'!DR71</f>
        <v>0</v>
      </c>
      <c r="DV71" s="7">
        <f>'AS400'!DS71</f>
        <v>0</v>
      </c>
      <c r="DW71" s="7">
        <f>'AS400'!DT71</f>
        <v>0</v>
      </c>
      <c r="DX71" s="7">
        <f>'AS400'!DU71</f>
        <v>0</v>
      </c>
      <c r="DY71" s="7">
        <f>'AS400'!DV71</f>
        <v>0</v>
      </c>
      <c r="DZ71" s="8">
        <f>'AS400'!DW71</f>
        <v>1</v>
      </c>
      <c r="EA71" s="7">
        <f>'AS400'!DX71</f>
        <v>4</v>
      </c>
      <c r="EB71" s="7" t="str">
        <f>'AS400'!DY71</f>
        <v>PUDS</v>
      </c>
      <c r="EC71" s="7">
        <f>'AS400'!DZ71</f>
        <v>100</v>
      </c>
      <c r="ED71" s="7">
        <f>'AS400'!EA71</f>
        <v>20180301</v>
      </c>
      <c r="EE71" s="7">
        <f>'AS400'!EB71</f>
        <v>20180301</v>
      </c>
      <c r="EF71" s="7" t="str">
        <f>'AS400'!EC71</f>
        <v>S</v>
      </c>
      <c r="EG71" s="7" t="str">
        <f>'AS400'!ED71</f>
        <v>MS</v>
      </c>
      <c r="EH71" s="7">
        <f>'AS400'!EE71</f>
        <v>20180301</v>
      </c>
      <c r="EI71" s="7">
        <f>'AS400'!EF71</f>
        <v>0</v>
      </c>
      <c r="EJ71" s="7">
        <f>'AS400'!EG71</f>
        <v>0</v>
      </c>
      <c r="EK71" s="7">
        <f>'AS400'!EH71</f>
        <v>0</v>
      </c>
      <c r="EL71" s="7">
        <f>'AS400'!EI71</f>
        <v>0</v>
      </c>
      <c r="EM71" s="7" t="str">
        <f>'AS400'!EJ71</f>
        <v>STLV</v>
      </c>
      <c r="EN71" s="7">
        <f>'AS400'!EK71</f>
        <v>818</v>
      </c>
      <c r="EO71" s="7">
        <f>'AS400'!EL71</f>
        <v>0</v>
      </c>
      <c r="EP71" s="7">
        <f>'AS400'!EM71</f>
        <v>12</v>
      </c>
      <c r="EQ71" s="7">
        <f>'AS400'!EN71</f>
        <v>20180201</v>
      </c>
      <c r="ER71" s="7">
        <f>'AS400'!EO71</f>
        <v>0</v>
      </c>
      <c r="ES71" s="7">
        <f>'AS400'!EP71</f>
        <v>0</v>
      </c>
      <c r="ET71" s="7">
        <f>'AS400'!EQ71</f>
        <v>4</v>
      </c>
      <c r="EV71" s="7">
        <f>'AS400'!ER71</f>
        <v>22</v>
      </c>
      <c r="EW71" s="7">
        <f>'AS400'!ES71</f>
        <v>0</v>
      </c>
      <c r="EX71" s="7">
        <f>'AS400'!ET71</f>
        <v>0</v>
      </c>
      <c r="EY71" s="7">
        <f>'AS400'!EU71</f>
        <v>0</v>
      </c>
      <c r="EZ71" s="7">
        <f>'AS400'!EV71</f>
        <v>0</v>
      </c>
      <c r="FA71" s="7">
        <f>'AS400'!EW71</f>
        <v>0</v>
      </c>
      <c r="FB71" s="7">
        <f>'AS400'!EX71</f>
        <v>0</v>
      </c>
      <c r="FC71" s="7">
        <f>'AS400'!EY71</f>
        <v>0</v>
      </c>
      <c r="FD71" s="7">
        <f>'AS400'!EZ71</f>
        <v>0</v>
      </c>
      <c r="FE71" s="7">
        <f>'AS400'!FA71</f>
        <v>0</v>
      </c>
      <c r="FF71" s="7">
        <f>'AS400'!FB71</f>
        <v>0</v>
      </c>
      <c r="FG71" s="7">
        <f>'AS400'!FC71</f>
        <v>0</v>
      </c>
      <c r="FH71" s="7">
        <f>'AS400'!FD71</f>
        <v>0</v>
      </c>
      <c r="FI71" s="7">
        <f>'AS400'!FE71</f>
        <v>0</v>
      </c>
      <c r="FJ71" s="7">
        <f>'AS400'!FF71</f>
        <v>0</v>
      </c>
      <c r="FK71" s="7">
        <f>'AS400'!FG71</f>
        <v>0</v>
      </c>
      <c r="FL71" s="7">
        <f>'AS400'!FH71</f>
        <v>0</v>
      </c>
      <c r="FM71" s="7">
        <f>'AS400'!FI71</f>
        <v>1</v>
      </c>
      <c r="FN71" s="7">
        <f>'AS400'!FJ71</f>
        <v>1</v>
      </c>
      <c r="FO71" s="7">
        <f>'AS400'!FO71</f>
        <v>0</v>
      </c>
      <c r="FP71" s="7">
        <f>'AS400'!FP71</f>
        <v>4</v>
      </c>
      <c r="FQ71" s="7">
        <f>'AS400'!FQ71</f>
        <v>1</v>
      </c>
      <c r="FR71" s="7">
        <f>'AS400'!FR71</f>
        <v>1</v>
      </c>
      <c r="FS71" s="13">
        <f>'AS400'!FO71</f>
        <v>0</v>
      </c>
    </row>
    <row r="72" spans="1:175">
      <c r="A72" s="7">
        <f>'AS400'!A72</f>
        <v>66</v>
      </c>
      <c r="B72" s="7">
        <f>'AS400'!B72</f>
        <v>20190301</v>
      </c>
      <c r="C72" s="7">
        <f>'AS400'!C72</f>
        <v>0</v>
      </c>
      <c r="D72" s="7" t="str">
        <f>'AS400'!D72</f>
        <v>N</v>
      </c>
      <c r="E72" s="7" t="str">
        <f>'AS400'!E72</f>
        <v>N</v>
      </c>
      <c r="F72" s="7" t="str">
        <f>'AS400'!F72</f>
        <v>Y</v>
      </c>
      <c r="G72" s="7">
        <f>'AS400'!G72</f>
        <v>0</v>
      </c>
      <c r="H72" s="14"/>
      <c r="I72" s="7" t="str">
        <f>'AS400'!I72</f>
        <v>RSA</v>
      </c>
      <c r="J72" s="7" t="str">
        <f>'AS400'!J72</f>
        <v>METR</v>
      </c>
      <c r="K72" s="7" t="str">
        <f>'AS400'!K72</f>
        <v>N</v>
      </c>
      <c r="L72" s="7">
        <f>'AS400'!L72</f>
        <v>4</v>
      </c>
      <c r="M72" s="8">
        <f>'AS400'!M72</f>
        <v>1</v>
      </c>
      <c r="N72" s="7">
        <f>'AS400'!N72</f>
        <v>1</v>
      </c>
      <c r="O72" s="7" t="str">
        <f>'AS400'!O72</f>
        <v>MFSP</v>
      </c>
      <c r="P72" s="7">
        <f>'AS400'!P72</f>
        <v>100</v>
      </c>
      <c r="Q72" s="7">
        <f>'AS400'!Q72</f>
        <v>20180301</v>
      </c>
      <c r="R72" s="7">
        <f>'AS400'!R72</f>
        <v>20180301</v>
      </c>
      <c r="S72" s="7" t="str">
        <f>'AS400'!S72</f>
        <v>M</v>
      </c>
      <c r="T72" s="7" t="str">
        <f>'AS400'!T72</f>
        <v>MM</v>
      </c>
      <c r="U72" s="7">
        <f>'AS400'!U72</f>
        <v>20190301</v>
      </c>
      <c r="V72" s="7">
        <f>'AS400'!V72</f>
        <v>10</v>
      </c>
      <c r="W72" s="7">
        <f>'AS400'!W72</f>
        <v>10</v>
      </c>
      <c r="X72" s="7" t="str">
        <f>'AS400'!X72</f>
        <v>MFIX</v>
      </c>
      <c r="Y72" s="7">
        <f>'AS400'!Y72</f>
        <v>0</v>
      </c>
      <c r="Z72" s="7" t="str">
        <f>'AS400'!Z72</f>
        <v>STLV</v>
      </c>
      <c r="AA72" s="7">
        <f>'AS400'!AA72</f>
        <v>818</v>
      </c>
      <c r="AB72" s="7">
        <f>'AS400'!AB72</f>
        <v>0</v>
      </c>
      <c r="AC72" s="7">
        <f>'AS400'!AC72</f>
        <v>12</v>
      </c>
      <c r="AD72" s="7">
        <f>'AS400'!AD72</f>
        <v>20180201</v>
      </c>
      <c r="AE72" s="7">
        <f>'AS400'!AE72</f>
        <v>0</v>
      </c>
      <c r="AF72" s="7">
        <f>'AS400'!AF72</f>
        <v>15000</v>
      </c>
      <c r="AG72" s="7">
        <f>'AS400'!AG72</f>
        <v>42</v>
      </c>
      <c r="AI72" s="7">
        <f>'AS400'!AH72</f>
        <v>23</v>
      </c>
      <c r="AJ72" s="7">
        <f>'AS400'!AI72</f>
        <v>0</v>
      </c>
      <c r="AK72" s="7">
        <f>'AS400'!AJ72</f>
        <v>0</v>
      </c>
      <c r="AL72" s="7">
        <f>'AS400'!AK72</f>
        <v>0</v>
      </c>
      <c r="AM72" s="7">
        <f>'AS400'!AL72</f>
        <v>0</v>
      </c>
      <c r="AN72" s="7">
        <f>'AS400'!AM72</f>
        <v>0</v>
      </c>
      <c r="AO72" s="7">
        <f>'AS400'!AN72</f>
        <v>0</v>
      </c>
      <c r="AP72" s="7">
        <f>'AS400'!AO72</f>
        <v>0</v>
      </c>
      <c r="AQ72" s="7">
        <f>'AS400'!AP72</f>
        <v>0</v>
      </c>
      <c r="AR72" s="7">
        <f>'AS400'!AQ72</f>
        <v>0</v>
      </c>
      <c r="AS72" s="7">
        <f>'AS400'!AR72</f>
        <v>0</v>
      </c>
      <c r="AT72" s="7">
        <f>'AS400'!AS72</f>
        <v>0</v>
      </c>
      <c r="AU72" s="7">
        <f>'AS400'!AT72</f>
        <v>0</v>
      </c>
      <c r="AV72" s="7">
        <f>'AS400'!AU72</f>
        <v>0</v>
      </c>
      <c r="AW72" s="7">
        <f>'AS400'!AV72</f>
        <v>0</v>
      </c>
      <c r="AX72" s="7">
        <f>'AS400'!AW72</f>
        <v>0</v>
      </c>
      <c r="AY72" s="7">
        <f>'AS400'!AX72</f>
        <v>0</v>
      </c>
      <c r="AZ72" s="8">
        <f>'AS400'!AY72</f>
        <v>1</v>
      </c>
      <c r="BA72" s="7">
        <f>'AS400'!AZ72</f>
        <v>2</v>
      </c>
      <c r="BB72" s="7" t="str">
        <f>'AS400'!BA72</f>
        <v>PURO</v>
      </c>
      <c r="BC72" s="7">
        <f>'AS400'!BB72</f>
        <v>100</v>
      </c>
      <c r="BD72" s="7">
        <f>'AS400'!BC72</f>
        <v>20180301</v>
      </c>
      <c r="BE72" s="7">
        <f>'AS400'!BD72</f>
        <v>20180301</v>
      </c>
      <c r="BF72" s="7" t="str">
        <f>'AS400'!BE72</f>
        <v>S</v>
      </c>
      <c r="BG72" s="7" t="str">
        <f>'AS400'!BF72</f>
        <v>ME</v>
      </c>
      <c r="BH72" s="7">
        <f>'AS400'!BG72</f>
        <v>20180301</v>
      </c>
      <c r="BI72" s="7">
        <f>'AS400'!BH72</f>
        <v>0</v>
      </c>
      <c r="BJ72" s="7">
        <f>'AS400'!BI72</f>
        <v>0</v>
      </c>
      <c r="BK72" s="7">
        <f>'AS400'!BJ72</f>
        <v>0</v>
      </c>
      <c r="BL72" s="7">
        <f>'AS400'!BK72</f>
        <v>0</v>
      </c>
      <c r="BM72" s="7" t="str">
        <f>'AS400'!BL72</f>
        <v>STLV</v>
      </c>
      <c r="BN72" s="7">
        <f>'AS400'!BM72</f>
        <v>818</v>
      </c>
      <c r="BO72" s="7">
        <f>'AS400'!BN72</f>
        <v>0</v>
      </c>
      <c r="BP72" s="7">
        <f>'AS400'!BO72</f>
        <v>12</v>
      </c>
      <c r="BQ72" s="7">
        <f>'AS400'!BP72</f>
        <v>20180201</v>
      </c>
      <c r="BR72" s="7">
        <f>'AS400'!BQ72</f>
        <v>0</v>
      </c>
      <c r="BS72" s="7">
        <f>'AS400'!BR72</f>
        <v>0</v>
      </c>
      <c r="BT72" s="7">
        <f>'AS400'!BS72</f>
        <v>5</v>
      </c>
      <c r="BV72" s="7">
        <f>'AS400'!BT72</f>
        <v>23</v>
      </c>
      <c r="BW72" s="7">
        <f>'AS400'!BU72</f>
        <v>0</v>
      </c>
      <c r="BX72" s="7">
        <f>'AS400'!BV72</f>
        <v>0</v>
      </c>
      <c r="BY72" s="7">
        <f>'AS400'!BW72</f>
        <v>0</v>
      </c>
      <c r="BZ72" s="7">
        <f>'AS400'!BX72</f>
        <v>0</v>
      </c>
      <c r="CA72" s="7">
        <f>'AS400'!BY72</f>
        <v>0</v>
      </c>
      <c r="CB72" s="7">
        <f>'AS400'!BZ72</f>
        <v>0</v>
      </c>
      <c r="CC72" s="7">
        <f>'AS400'!CA72</f>
        <v>0</v>
      </c>
      <c r="CD72" s="7">
        <f>'AS400'!CB72</f>
        <v>0</v>
      </c>
      <c r="CE72" s="7">
        <f>'AS400'!CC72</f>
        <v>0</v>
      </c>
      <c r="CF72" s="7">
        <f>'AS400'!CD72</f>
        <v>0</v>
      </c>
      <c r="CG72" s="7">
        <f>'AS400'!CE72</f>
        <v>0</v>
      </c>
      <c r="CH72" s="7">
        <f>'AS400'!CF72</f>
        <v>0</v>
      </c>
      <c r="CI72" s="7">
        <f>'AS400'!CG72</f>
        <v>0</v>
      </c>
      <c r="CJ72" s="7">
        <f>'AS400'!CH72</f>
        <v>0</v>
      </c>
      <c r="CK72" s="7">
        <f>'AS400'!CI72</f>
        <v>0</v>
      </c>
      <c r="CL72" s="7">
        <f>'AS400'!CJ72</f>
        <v>0</v>
      </c>
      <c r="CM72" s="8">
        <f>'AS400'!CK72</f>
        <v>1</v>
      </c>
      <c r="CN72" s="7">
        <f>'AS400'!CL72</f>
        <v>3</v>
      </c>
      <c r="CO72" s="7" t="str">
        <f>'AS400'!CM72</f>
        <v>PUDT</v>
      </c>
      <c r="CP72" s="7">
        <f>'AS400'!CN72</f>
        <v>100</v>
      </c>
      <c r="CQ72" s="7">
        <f>'AS400'!CO72</f>
        <v>20180301</v>
      </c>
      <c r="CR72" s="7">
        <f>'AS400'!CP72</f>
        <v>20180301</v>
      </c>
      <c r="CS72" s="7" t="str">
        <f>'AS400'!CQ72</f>
        <v>S</v>
      </c>
      <c r="CT72" s="7" t="str">
        <f>'AS400'!CR72</f>
        <v>MT</v>
      </c>
      <c r="CU72" s="7">
        <f>'AS400'!CS72</f>
        <v>20180301</v>
      </c>
      <c r="CV72" s="7">
        <f>'AS400'!CT72</f>
        <v>0</v>
      </c>
      <c r="CW72" s="7">
        <f>'AS400'!CU72</f>
        <v>0</v>
      </c>
      <c r="CX72" s="7">
        <f>'AS400'!CV72</f>
        <v>0</v>
      </c>
      <c r="CY72" s="7">
        <f>'AS400'!CW72</f>
        <v>0</v>
      </c>
      <c r="CZ72" s="7" t="str">
        <f>'AS400'!CX72</f>
        <v>STLV</v>
      </c>
      <c r="DA72" s="7">
        <f>'AS400'!CY72</f>
        <v>818</v>
      </c>
      <c r="DB72" s="7">
        <f>'AS400'!CZ72</f>
        <v>0</v>
      </c>
      <c r="DC72" s="7">
        <f>'AS400'!DA72</f>
        <v>12</v>
      </c>
      <c r="DD72" s="7">
        <f>'AS400'!DB72</f>
        <v>20180201</v>
      </c>
      <c r="DE72" s="7">
        <f>'AS400'!DC72</f>
        <v>0</v>
      </c>
      <c r="DF72" s="7">
        <f>'AS400'!DD72</f>
        <v>0</v>
      </c>
      <c r="DG72" s="7">
        <f>'AS400'!DE72</f>
        <v>7</v>
      </c>
      <c r="DI72" s="7">
        <f>'AS400'!DF72</f>
        <v>23</v>
      </c>
      <c r="DJ72" s="7">
        <f>'AS400'!DG72</f>
        <v>0</v>
      </c>
      <c r="DK72" s="7">
        <f>'AS400'!DH72</f>
        <v>0</v>
      </c>
      <c r="DL72" s="7">
        <f>'AS400'!DI72</f>
        <v>0</v>
      </c>
      <c r="DM72" s="7">
        <f>'AS400'!DJ72</f>
        <v>0</v>
      </c>
      <c r="DN72" s="7">
        <f>'AS400'!DK72</f>
        <v>0</v>
      </c>
      <c r="DO72" s="7">
        <f>'AS400'!DL72</f>
        <v>0</v>
      </c>
      <c r="DP72" s="7">
        <f>'AS400'!DM72</f>
        <v>0</v>
      </c>
      <c r="DQ72" s="7">
        <f>'AS400'!DN72</f>
        <v>0</v>
      </c>
      <c r="DR72" s="7">
        <f>'AS400'!DO72</f>
        <v>0</v>
      </c>
      <c r="DS72" s="7">
        <f>'AS400'!DP72</f>
        <v>0</v>
      </c>
      <c r="DT72" s="7">
        <f>'AS400'!DQ72</f>
        <v>0</v>
      </c>
      <c r="DU72" s="7">
        <f>'AS400'!DR72</f>
        <v>0</v>
      </c>
      <c r="DV72" s="7">
        <f>'AS400'!DS72</f>
        <v>0</v>
      </c>
      <c r="DW72" s="7">
        <f>'AS400'!DT72</f>
        <v>0</v>
      </c>
      <c r="DX72" s="7">
        <f>'AS400'!DU72</f>
        <v>0</v>
      </c>
      <c r="DY72" s="7">
        <f>'AS400'!DV72</f>
        <v>0</v>
      </c>
      <c r="DZ72" s="8">
        <f>'AS400'!DW72</f>
        <v>1</v>
      </c>
      <c r="EA72" s="7">
        <f>'AS400'!DX72</f>
        <v>4</v>
      </c>
      <c r="EB72" s="7" t="str">
        <f>'AS400'!DY72</f>
        <v>PUDS</v>
      </c>
      <c r="EC72" s="7">
        <f>'AS400'!DZ72</f>
        <v>100</v>
      </c>
      <c r="ED72" s="7">
        <f>'AS400'!EA72</f>
        <v>20180301</v>
      </c>
      <c r="EE72" s="7">
        <f>'AS400'!EB72</f>
        <v>20180301</v>
      </c>
      <c r="EF72" s="7" t="str">
        <f>'AS400'!EC72</f>
        <v>S</v>
      </c>
      <c r="EG72" s="7" t="str">
        <f>'AS400'!ED72</f>
        <v>MS</v>
      </c>
      <c r="EH72" s="7">
        <f>'AS400'!EE72</f>
        <v>20180301</v>
      </c>
      <c r="EI72" s="7">
        <f>'AS400'!EF72</f>
        <v>0</v>
      </c>
      <c r="EJ72" s="7">
        <f>'AS400'!EG72</f>
        <v>0</v>
      </c>
      <c r="EK72" s="7">
        <f>'AS400'!EH72</f>
        <v>0</v>
      </c>
      <c r="EL72" s="7">
        <f>'AS400'!EI72</f>
        <v>0</v>
      </c>
      <c r="EM72" s="7" t="str">
        <f>'AS400'!EJ72</f>
        <v>STLV</v>
      </c>
      <c r="EN72" s="7">
        <f>'AS400'!EK72</f>
        <v>818</v>
      </c>
      <c r="EO72" s="7">
        <f>'AS400'!EL72</f>
        <v>0</v>
      </c>
      <c r="EP72" s="7">
        <f>'AS400'!EM72</f>
        <v>12</v>
      </c>
      <c r="EQ72" s="7">
        <f>'AS400'!EN72</f>
        <v>20180201</v>
      </c>
      <c r="ER72" s="7">
        <f>'AS400'!EO72</f>
        <v>0</v>
      </c>
      <c r="ES72" s="7">
        <f>'AS400'!EP72</f>
        <v>0</v>
      </c>
      <c r="ET72" s="7">
        <f>'AS400'!EQ72</f>
        <v>4</v>
      </c>
      <c r="EV72" s="7">
        <f>'AS400'!ER72</f>
        <v>23</v>
      </c>
      <c r="EW72" s="7">
        <f>'AS400'!ES72</f>
        <v>0</v>
      </c>
      <c r="EX72" s="7">
        <f>'AS400'!ET72</f>
        <v>0</v>
      </c>
      <c r="EY72" s="7">
        <f>'AS400'!EU72</f>
        <v>0</v>
      </c>
      <c r="EZ72" s="7">
        <f>'AS400'!EV72</f>
        <v>0</v>
      </c>
      <c r="FA72" s="7">
        <f>'AS400'!EW72</f>
        <v>0</v>
      </c>
      <c r="FB72" s="7">
        <f>'AS400'!EX72</f>
        <v>0</v>
      </c>
      <c r="FC72" s="7">
        <f>'AS400'!EY72</f>
        <v>0</v>
      </c>
      <c r="FD72" s="7">
        <f>'AS400'!EZ72</f>
        <v>0</v>
      </c>
      <c r="FE72" s="7">
        <f>'AS400'!FA72</f>
        <v>0</v>
      </c>
      <c r="FF72" s="7">
        <f>'AS400'!FB72</f>
        <v>0</v>
      </c>
      <c r="FG72" s="7">
        <f>'AS400'!FC72</f>
        <v>0</v>
      </c>
      <c r="FH72" s="7">
        <f>'AS400'!FD72</f>
        <v>0</v>
      </c>
      <c r="FI72" s="7">
        <f>'AS400'!FE72</f>
        <v>0</v>
      </c>
      <c r="FJ72" s="7">
        <f>'AS400'!FF72</f>
        <v>0</v>
      </c>
      <c r="FK72" s="7">
        <f>'AS400'!FG72</f>
        <v>0</v>
      </c>
      <c r="FL72" s="7">
        <f>'AS400'!FH72</f>
        <v>0</v>
      </c>
      <c r="FM72" s="7">
        <f>'AS400'!FI72</f>
        <v>1</v>
      </c>
      <c r="FN72" s="7">
        <f>'AS400'!FJ72</f>
        <v>1</v>
      </c>
      <c r="FO72" s="7">
        <f>'AS400'!FO72</f>
        <v>0</v>
      </c>
      <c r="FP72" s="7">
        <f>'AS400'!FP72</f>
        <v>4</v>
      </c>
      <c r="FQ72" s="7">
        <f>'AS400'!FQ72</f>
        <v>1</v>
      </c>
      <c r="FR72" s="7">
        <f>'AS400'!FR72</f>
        <v>1</v>
      </c>
      <c r="FS72" s="13">
        <f>'AS400'!FO72</f>
        <v>0</v>
      </c>
    </row>
    <row r="73" spans="1:175">
      <c r="A73" s="7">
        <f>'AS400'!A73</f>
        <v>67</v>
      </c>
      <c r="B73" s="7">
        <f>'AS400'!B73</f>
        <v>20190301</v>
      </c>
      <c r="C73" s="7">
        <f>'AS400'!C73</f>
        <v>0</v>
      </c>
      <c r="D73" s="7" t="str">
        <f>'AS400'!D73</f>
        <v>N</v>
      </c>
      <c r="E73" s="7" t="str">
        <f>'AS400'!E73</f>
        <v>N</v>
      </c>
      <c r="F73" s="7" t="str">
        <f>'AS400'!F73</f>
        <v>Y</v>
      </c>
      <c r="G73" s="7">
        <f>'AS400'!G73</f>
        <v>0</v>
      </c>
      <c r="H73" s="14"/>
      <c r="I73" s="7" t="str">
        <f>'AS400'!I73</f>
        <v>RSA</v>
      </c>
      <c r="J73" s="7" t="str">
        <f>'AS400'!J73</f>
        <v>METR</v>
      </c>
      <c r="K73" s="7" t="str">
        <f>'AS400'!K73</f>
        <v>N</v>
      </c>
      <c r="L73" s="7">
        <f>'AS400'!L73</f>
        <v>4</v>
      </c>
      <c r="M73" s="8">
        <f>'AS400'!M73</f>
        <v>1</v>
      </c>
      <c r="N73" s="7">
        <f>'AS400'!N73</f>
        <v>1</v>
      </c>
      <c r="O73" s="7" t="str">
        <f>'AS400'!O73</f>
        <v>MFSP</v>
      </c>
      <c r="P73" s="7">
        <f>'AS400'!P73</f>
        <v>100</v>
      </c>
      <c r="Q73" s="7">
        <f>'AS400'!Q73</f>
        <v>20180301</v>
      </c>
      <c r="R73" s="7">
        <f>'AS400'!R73</f>
        <v>20180301</v>
      </c>
      <c r="S73" s="7" t="str">
        <f>'AS400'!S73</f>
        <v>M</v>
      </c>
      <c r="T73" s="7" t="str">
        <f>'AS400'!T73</f>
        <v>MM</v>
      </c>
      <c r="U73" s="7">
        <f>'AS400'!U73</f>
        <v>20190301</v>
      </c>
      <c r="V73" s="7">
        <f>'AS400'!V73</f>
        <v>10</v>
      </c>
      <c r="W73" s="7">
        <f>'AS400'!W73</f>
        <v>10</v>
      </c>
      <c r="X73" s="7" t="str">
        <f>'AS400'!X73</f>
        <v>MFIX</v>
      </c>
      <c r="Y73" s="7">
        <f>'AS400'!Y73</f>
        <v>0</v>
      </c>
      <c r="Z73" s="7" t="str">
        <f>'AS400'!Z73</f>
        <v>STLV</v>
      </c>
      <c r="AA73" s="7">
        <f>'AS400'!AA73</f>
        <v>818</v>
      </c>
      <c r="AB73" s="7">
        <f>'AS400'!AB73</f>
        <v>0</v>
      </c>
      <c r="AC73" s="7">
        <f>'AS400'!AC73</f>
        <v>12</v>
      </c>
      <c r="AD73" s="7">
        <f>'AS400'!AD73</f>
        <v>20180201</v>
      </c>
      <c r="AE73" s="7">
        <f>'AS400'!AE73</f>
        <v>0</v>
      </c>
      <c r="AF73" s="7">
        <f>'AS400'!AF73</f>
        <v>20000</v>
      </c>
      <c r="AG73" s="7">
        <f>'AS400'!AG73</f>
        <v>46</v>
      </c>
      <c r="AI73" s="7">
        <f>'AS400'!AH73</f>
        <v>24</v>
      </c>
      <c r="AJ73" s="7">
        <f>'AS400'!AI73</f>
        <v>0</v>
      </c>
      <c r="AK73" s="7">
        <f>'AS400'!AJ73</f>
        <v>0</v>
      </c>
      <c r="AL73" s="7">
        <f>'AS400'!AK73</f>
        <v>0</v>
      </c>
      <c r="AM73" s="7">
        <f>'AS400'!AL73</f>
        <v>0</v>
      </c>
      <c r="AN73" s="7">
        <f>'AS400'!AM73</f>
        <v>0</v>
      </c>
      <c r="AO73" s="7">
        <f>'AS400'!AN73</f>
        <v>0</v>
      </c>
      <c r="AP73" s="7">
        <f>'AS400'!AO73</f>
        <v>0</v>
      </c>
      <c r="AQ73" s="7">
        <f>'AS400'!AP73</f>
        <v>0</v>
      </c>
      <c r="AR73" s="7">
        <f>'AS400'!AQ73</f>
        <v>0</v>
      </c>
      <c r="AS73" s="7">
        <f>'AS400'!AR73</f>
        <v>0</v>
      </c>
      <c r="AT73" s="7">
        <f>'AS400'!AS73</f>
        <v>0</v>
      </c>
      <c r="AU73" s="7">
        <f>'AS400'!AT73</f>
        <v>0</v>
      </c>
      <c r="AV73" s="7">
        <f>'AS400'!AU73</f>
        <v>0</v>
      </c>
      <c r="AW73" s="7">
        <f>'AS400'!AV73</f>
        <v>0</v>
      </c>
      <c r="AX73" s="7">
        <f>'AS400'!AW73</f>
        <v>0</v>
      </c>
      <c r="AY73" s="7">
        <f>'AS400'!AX73</f>
        <v>0</v>
      </c>
      <c r="AZ73" s="8">
        <f>'AS400'!AY73</f>
        <v>1</v>
      </c>
      <c r="BA73" s="7">
        <f>'AS400'!AZ73</f>
        <v>2</v>
      </c>
      <c r="BB73" s="7" t="str">
        <f>'AS400'!BA73</f>
        <v>PURO</v>
      </c>
      <c r="BC73" s="7">
        <f>'AS400'!BB73</f>
        <v>100</v>
      </c>
      <c r="BD73" s="7">
        <f>'AS400'!BC73</f>
        <v>20180301</v>
      </c>
      <c r="BE73" s="7">
        <f>'AS400'!BD73</f>
        <v>20180301</v>
      </c>
      <c r="BF73" s="7" t="str">
        <f>'AS400'!BE73</f>
        <v>S</v>
      </c>
      <c r="BG73" s="7" t="str">
        <f>'AS400'!BF73</f>
        <v>ME</v>
      </c>
      <c r="BH73" s="7">
        <f>'AS400'!BG73</f>
        <v>20180301</v>
      </c>
      <c r="BI73" s="7">
        <f>'AS400'!BH73</f>
        <v>0</v>
      </c>
      <c r="BJ73" s="7">
        <f>'AS400'!BI73</f>
        <v>0</v>
      </c>
      <c r="BK73" s="7">
        <f>'AS400'!BJ73</f>
        <v>0</v>
      </c>
      <c r="BL73" s="7">
        <f>'AS400'!BK73</f>
        <v>0</v>
      </c>
      <c r="BM73" s="7" t="str">
        <f>'AS400'!BL73</f>
        <v>STLV</v>
      </c>
      <c r="BN73" s="7">
        <f>'AS400'!BM73</f>
        <v>818</v>
      </c>
      <c r="BO73" s="7">
        <f>'AS400'!BN73</f>
        <v>0</v>
      </c>
      <c r="BP73" s="7">
        <f>'AS400'!BO73</f>
        <v>12</v>
      </c>
      <c r="BQ73" s="7">
        <f>'AS400'!BP73</f>
        <v>20180201</v>
      </c>
      <c r="BR73" s="7">
        <f>'AS400'!BQ73</f>
        <v>0</v>
      </c>
      <c r="BS73" s="7">
        <f>'AS400'!BR73</f>
        <v>0</v>
      </c>
      <c r="BT73" s="7">
        <f>'AS400'!BS73</f>
        <v>5</v>
      </c>
      <c r="BV73" s="7">
        <f>'AS400'!BT73</f>
        <v>24</v>
      </c>
      <c r="BW73" s="7">
        <f>'AS400'!BU73</f>
        <v>0</v>
      </c>
      <c r="BX73" s="7">
        <f>'AS400'!BV73</f>
        <v>0</v>
      </c>
      <c r="BY73" s="7">
        <f>'AS400'!BW73</f>
        <v>0</v>
      </c>
      <c r="BZ73" s="7">
        <f>'AS400'!BX73</f>
        <v>0</v>
      </c>
      <c r="CA73" s="7">
        <f>'AS400'!BY73</f>
        <v>0</v>
      </c>
      <c r="CB73" s="7">
        <f>'AS400'!BZ73</f>
        <v>0</v>
      </c>
      <c r="CC73" s="7">
        <f>'AS400'!CA73</f>
        <v>0</v>
      </c>
      <c r="CD73" s="7">
        <f>'AS400'!CB73</f>
        <v>0</v>
      </c>
      <c r="CE73" s="7">
        <f>'AS400'!CC73</f>
        <v>0</v>
      </c>
      <c r="CF73" s="7">
        <f>'AS400'!CD73</f>
        <v>0</v>
      </c>
      <c r="CG73" s="7">
        <f>'AS400'!CE73</f>
        <v>0</v>
      </c>
      <c r="CH73" s="7">
        <f>'AS400'!CF73</f>
        <v>0</v>
      </c>
      <c r="CI73" s="7">
        <f>'AS400'!CG73</f>
        <v>0</v>
      </c>
      <c r="CJ73" s="7">
        <f>'AS400'!CH73</f>
        <v>0</v>
      </c>
      <c r="CK73" s="7">
        <f>'AS400'!CI73</f>
        <v>0</v>
      </c>
      <c r="CL73" s="7">
        <f>'AS400'!CJ73</f>
        <v>0</v>
      </c>
      <c r="CM73" s="8">
        <f>'AS400'!CK73</f>
        <v>1</v>
      </c>
      <c r="CN73" s="7">
        <f>'AS400'!CL73</f>
        <v>3</v>
      </c>
      <c r="CO73" s="7" t="str">
        <f>'AS400'!CM73</f>
        <v>PUDT</v>
      </c>
      <c r="CP73" s="7">
        <f>'AS400'!CN73</f>
        <v>100</v>
      </c>
      <c r="CQ73" s="7">
        <f>'AS400'!CO73</f>
        <v>20180301</v>
      </c>
      <c r="CR73" s="7">
        <f>'AS400'!CP73</f>
        <v>20180301</v>
      </c>
      <c r="CS73" s="7" t="str">
        <f>'AS400'!CQ73</f>
        <v>S</v>
      </c>
      <c r="CT73" s="7" t="str">
        <f>'AS400'!CR73</f>
        <v>MT</v>
      </c>
      <c r="CU73" s="7">
        <f>'AS400'!CS73</f>
        <v>20180301</v>
      </c>
      <c r="CV73" s="7">
        <f>'AS400'!CT73</f>
        <v>0</v>
      </c>
      <c r="CW73" s="7">
        <f>'AS400'!CU73</f>
        <v>0</v>
      </c>
      <c r="CX73" s="7">
        <f>'AS400'!CV73</f>
        <v>0</v>
      </c>
      <c r="CY73" s="7">
        <f>'AS400'!CW73</f>
        <v>0</v>
      </c>
      <c r="CZ73" s="7" t="str">
        <f>'AS400'!CX73</f>
        <v>STLV</v>
      </c>
      <c r="DA73" s="7">
        <f>'AS400'!CY73</f>
        <v>818</v>
      </c>
      <c r="DB73" s="7">
        <f>'AS400'!CZ73</f>
        <v>0</v>
      </c>
      <c r="DC73" s="7">
        <f>'AS400'!DA73</f>
        <v>12</v>
      </c>
      <c r="DD73" s="7">
        <f>'AS400'!DB73</f>
        <v>20180201</v>
      </c>
      <c r="DE73" s="7">
        <f>'AS400'!DC73</f>
        <v>0</v>
      </c>
      <c r="DF73" s="7">
        <f>'AS400'!DD73</f>
        <v>0</v>
      </c>
      <c r="DG73" s="7">
        <f>'AS400'!DE73</f>
        <v>8</v>
      </c>
      <c r="DI73" s="7">
        <f>'AS400'!DF73</f>
        <v>24</v>
      </c>
      <c r="DJ73" s="7">
        <f>'AS400'!DG73</f>
        <v>0</v>
      </c>
      <c r="DK73" s="7">
        <f>'AS400'!DH73</f>
        <v>0</v>
      </c>
      <c r="DL73" s="7">
        <f>'AS400'!DI73</f>
        <v>0</v>
      </c>
      <c r="DM73" s="7">
        <f>'AS400'!DJ73</f>
        <v>0</v>
      </c>
      <c r="DN73" s="7">
        <f>'AS400'!DK73</f>
        <v>0</v>
      </c>
      <c r="DO73" s="7">
        <f>'AS400'!DL73</f>
        <v>0</v>
      </c>
      <c r="DP73" s="7">
        <f>'AS400'!DM73</f>
        <v>0</v>
      </c>
      <c r="DQ73" s="7">
        <f>'AS400'!DN73</f>
        <v>0</v>
      </c>
      <c r="DR73" s="7">
        <f>'AS400'!DO73</f>
        <v>0</v>
      </c>
      <c r="DS73" s="7">
        <f>'AS400'!DP73</f>
        <v>0</v>
      </c>
      <c r="DT73" s="7">
        <f>'AS400'!DQ73</f>
        <v>0</v>
      </c>
      <c r="DU73" s="7">
        <f>'AS400'!DR73</f>
        <v>0</v>
      </c>
      <c r="DV73" s="7">
        <f>'AS400'!DS73</f>
        <v>0</v>
      </c>
      <c r="DW73" s="7">
        <f>'AS400'!DT73</f>
        <v>0</v>
      </c>
      <c r="DX73" s="7">
        <f>'AS400'!DU73</f>
        <v>0</v>
      </c>
      <c r="DY73" s="7">
        <f>'AS400'!DV73</f>
        <v>0</v>
      </c>
      <c r="DZ73" s="8">
        <f>'AS400'!DW73</f>
        <v>1</v>
      </c>
      <c r="EA73" s="7">
        <f>'AS400'!DX73</f>
        <v>4</v>
      </c>
      <c r="EB73" s="7" t="str">
        <f>'AS400'!DY73</f>
        <v>PUDS</v>
      </c>
      <c r="EC73" s="7">
        <f>'AS400'!DZ73</f>
        <v>100</v>
      </c>
      <c r="ED73" s="7">
        <f>'AS400'!EA73</f>
        <v>20180301</v>
      </c>
      <c r="EE73" s="7">
        <f>'AS400'!EB73</f>
        <v>20180301</v>
      </c>
      <c r="EF73" s="7" t="str">
        <f>'AS400'!EC73</f>
        <v>S</v>
      </c>
      <c r="EG73" s="7" t="str">
        <f>'AS400'!ED73</f>
        <v>MS</v>
      </c>
      <c r="EH73" s="7">
        <f>'AS400'!EE73</f>
        <v>20180301</v>
      </c>
      <c r="EI73" s="7">
        <f>'AS400'!EF73</f>
        <v>0</v>
      </c>
      <c r="EJ73" s="7">
        <f>'AS400'!EG73</f>
        <v>0</v>
      </c>
      <c r="EK73" s="7">
        <f>'AS400'!EH73</f>
        <v>0</v>
      </c>
      <c r="EL73" s="7">
        <f>'AS400'!EI73</f>
        <v>0</v>
      </c>
      <c r="EM73" s="7" t="str">
        <f>'AS400'!EJ73</f>
        <v>STLV</v>
      </c>
      <c r="EN73" s="7">
        <f>'AS400'!EK73</f>
        <v>818</v>
      </c>
      <c r="EO73" s="7">
        <f>'AS400'!EL73</f>
        <v>0</v>
      </c>
      <c r="EP73" s="7">
        <f>'AS400'!EM73</f>
        <v>12</v>
      </c>
      <c r="EQ73" s="7">
        <f>'AS400'!EN73</f>
        <v>20180201</v>
      </c>
      <c r="ER73" s="7">
        <f>'AS400'!EO73</f>
        <v>0</v>
      </c>
      <c r="ES73" s="7">
        <f>'AS400'!EP73</f>
        <v>0</v>
      </c>
      <c r="ET73" s="7">
        <f>'AS400'!EQ73</f>
        <v>4</v>
      </c>
      <c r="EV73" s="7">
        <f>'AS400'!ER73</f>
        <v>24</v>
      </c>
      <c r="EW73" s="7">
        <f>'AS400'!ES73</f>
        <v>0</v>
      </c>
      <c r="EX73" s="7">
        <f>'AS400'!ET73</f>
        <v>0</v>
      </c>
      <c r="EY73" s="7">
        <f>'AS400'!EU73</f>
        <v>0</v>
      </c>
      <c r="EZ73" s="7">
        <f>'AS400'!EV73</f>
        <v>0</v>
      </c>
      <c r="FA73" s="7">
        <f>'AS400'!EW73</f>
        <v>0</v>
      </c>
      <c r="FB73" s="7">
        <f>'AS400'!EX73</f>
        <v>0</v>
      </c>
      <c r="FC73" s="7">
        <f>'AS400'!EY73</f>
        <v>0</v>
      </c>
      <c r="FD73" s="7">
        <f>'AS400'!EZ73</f>
        <v>0</v>
      </c>
      <c r="FE73" s="7">
        <f>'AS400'!FA73</f>
        <v>0</v>
      </c>
      <c r="FF73" s="7">
        <f>'AS400'!FB73</f>
        <v>0</v>
      </c>
      <c r="FG73" s="7">
        <f>'AS400'!FC73</f>
        <v>0</v>
      </c>
      <c r="FH73" s="7">
        <f>'AS400'!FD73</f>
        <v>0</v>
      </c>
      <c r="FI73" s="7">
        <f>'AS400'!FE73</f>
        <v>0</v>
      </c>
      <c r="FJ73" s="7">
        <f>'AS400'!FF73</f>
        <v>0</v>
      </c>
      <c r="FK73" s="7">
        <f>'AS400'!FG73</f>
        <v>0</v>
      </c>
      <c r="FL73" s="7">
        <f>'AS400'!FH73</f>
        <v>0</v>
      </c>
      <c r="FM73" s="7">
        <f>'AS400'!FI73</f>
        <v>1</v>
      </c>
      <c r="FN73" s="7">
        <f>'AS400'!FJ73</f>
        <v>1</v>
      </c>
      <c r="FO73" s="7">
        <f>'AS400'!FO73</f>
        <v>0</v>
      </c>
      <c r="FP73" s="7">
        <f>'AS400'!FP73</f>
        <v>4</v>
      </c>
      <c r="FQ73" s="7">
        <f>'AS400'!FQ73</f>
        <v>1</v>
      </c>
      <c r="FR73" s="7">
        <f>'AS400'!FR73</f>
        <v>1</v>
      </c>
      <c r="FS73" s="13">
        <f>'AS400'!FO73</f>
        <v>0</v>
      </c>
    </row>
    <row r="74" spans="1:175">
      <c r="A74" s="7">
        <f>'AS400'!A74</f>
        <v>68</v>
      </c>
      <c r="B74" s="7">
        <f>'AS400'!B74</f>
        <v>20190301</v>
      </c>
      <c r="C74" s="7">
        <f>'AS400'!C74</f>
        <v>0</v>
      </c>
      <c r="D74" s="7" t="str">
        <f>'AS400'!D74</f>
        <v>N</v>
      </c>
      <c r="E74" s="7" t="str">
        <f>'AS400'!E74</f>
        <v>N</v>
      </c>
      <c r="F74" s="7" t="str">
        <f>'AS400'!F74</f>
        <v>Y</v>
      </c>
      <c r="G74" s="7">
        <f>'AS400'!G74</f>
        <v>0</v>
      </c>
      <c r="H74" s="14"/>
      <c r="I74" s="7" t="str">
        <f>'AS400'!I74</f>
        <v>RSA</v>
      </c>
      <c r="J74" s="7" t="str">
        <f>'AS400'!J74</f>
        <v>METR</v>
      </c>
      <c r="K74" s="7" t="str">
        <f>'AS400'!K74</f>
        <v>N</v>
      </c>
      <c r="L74" s="7">
        <f>'AS400'!L74</f>
        <v>4</v>
      </c>
      <c r="M74" s="8">
        <f>'AS400'!M74</f>
        <v>1</v>
      </c>
      <c r="N74" s="7">
        <f>'AS400'!N74</f>
        <v>1</v>
      </c>
      <c r="O74" s="7" t="str">
        <f>'AS400'!O74</f>
        <v>MFSP</v>
      </c>
      <c r="P74" s="7">
        <f>'AS400'!P74</f>
        <v>100</v>
      </c>
      <c r="Q74" s="7">
        <f>'AS400'!Q74</f>
        <v>20180301</v>
      </c>
      <c r="R74" s="7">
        <f>'AS400'!R74</f>
        <v>20180301</v>
      </c>
      <c r="S74" s="7" t="str">
        <f>'AS400'!S74</f>
        <v>M</v>
      </c>
      <c r="T74" s="7" t="str">
        <f>'AS400'!T74</f>
        <v>MM</v>
      </c>
      <c r="U74" s="7">
        <f>'AS400'!U74</f>
        <v>20190301</v>
      </c>
      <c r="V74" s="7">
        <f>'AS400'!V74</f>
        <v>10</v>
      </c>
      <c r="W74" s="7">
        <f>'AS400'!W74</f>
        <v>10</v>
      </c>
      <c r="X74" s="7" t="str">
        <f>'AS400'!X74</f>
        <v>MFIX</v>
      </c>
      <c r="Y74" s="7">
        <f>'AS400'!Y74</f>
        <v>0</v>
      </c>
      <c r="Z74" s="7" t="str">
        <f>'AS400'!Z74</f>
        <v>STLV</v>
      </c>
      <c r="AA74" s="7">
        <f>'AS400'!AA74</f>
        <v>818</v>
      </c>
      <c r="AB74" s="7">
        <f>'AS400'!AB74</f>
        <v>0</v>
      </c>
      <c r="AC74" s="7">
        <f>'AS400'!AC74</f>
        <v>12</v>
      </c>
      <c r="AD74" s="7">
        <f>'AS400'!AD74</f>
        <v>20180201</v>
      </c>
      <c r="AE74" s="7">
        <f>'AS400'!AE74</f>
        <v>0</v>
      </c>
      <c r="AF74" s="7">
        <f>'AS400'!AF74</f>
        <v>25000</v>
      </c>
      <c r="AG74" s="7">
        <f>'AS400'!AG74</f>
        <v>51</v>
      </c>
      <c r="AI74" s="7">
        <f>'AS400'!AH74</f>
        <v>25</v>
      </c>
      <c r="AJ74" s="7">
        <f>'AS400'!AI74</f>
        <v>0</v>
      </c>
      <c r="AK74" s="7">
        <f>'AS400'!AJ74</f>
        <v>0</v>
      </c>
      <c r="AL74" s="7">
        <f>'AS400'!AK74</f>
        <v>0</v>
      </c>
      <c r="AM74" s="7">
        <f>'AS400'!AL74</f>
        <v>0</v>
      </c>
      <c r="AN74" s="7">
        <f>'AS400'!AM74</f>
        <v>0</v>
      </c>
      <c r="AO74" s="7">
        <f>'AS400'!AN74</f>
        <v>0</v>
      </c>
      <c r="AP74" s="7">
        <f>'AS400'!AO74</f>
        <v>0</v>
      </c>
      <c r="AQ74" s="7">
        <f>'AS400'!AP74</f>
        <v>0</v>
      </c>
      <c r="AR74" s="7">
        <f>'AS400'!AQ74</f>
        <v>0</v>
      </c>
      <c r="AS74" s="7">
        <f>'AS400'!AR74</f>
        <v>0</v>
      </c>
      <c r="AT74" s="7">
        <f>'AS400'!AS74</f>
        <v>0</v>
      </c>
      <c r="AU74" s="7">
        <f>'AS400'!AT74</f>
        <v>0</v>
      </c>
      <c r="AV74" s="7">
        <f>'AS400'!AU74</f>
        <v>0</v>
      </c>
      <c r="AW74" s="7">
        <f>'AS400'!AV74</f>
        <v>0</v>
      </c>
      <c r="AX74" s="7">
        <f>'AS400'!AW74</f>
        <v>0</v>
      </c>
      <c r="AY74" s="7">
        <f>'AS400'!AX74</f>
        <v>0</v>
      </c>
      <c r="AZ74" s="8">
        <f>'AS400'!AY74</f>
        <v>1</v>
      </c>
      <c r="BA74" s="7">
        <f>'AS400'!AZ74</f>
        <v>2</v>
      </c>
      <c r="BB74" s="7" t="str">
        <f>'AS400'!BA74</f>
        <v>PURO</v>
      </c>
      <c r="BC74" s="7">
        <f>'AS400'!BB74</f>
        <v>100</v>
      </c>
      <c r="BD74" s="7">
        <f>'AS400'!BC74</f>
        <v>20180301</v>
      </c>
      <c r="BE74" s="7">
        <f>'AS400'!BD74</f>
        <v>20180301</v>
      </c>
      <c r="BF74" s="7" t="str">
        <f>'AS400'!BE74</f>
        <v>S</v>
      </c>
      <c r="BG74" s="7" t="str">
        <f>'AS400'!BF74</f>
        <v>ME</v>
      </c>
      <c r="BH74" s="7">
        <f>'AS400'!BG74</f>
        <v>20180301</v>
      </c>
      <c r="BI74" s="7">
        <f>'AS400'!BH74</f>
        <v>0</v>
      </c>
      <c r="BJ74" s="7">
        <f>'AS400'!BI74</f>
        <v>0</v>
      </c>
      <c r="BK74" s="7">
        <f>'AS400'!BJ74</f>
        <v>0</v>
      </c>
      <c r="BL74" s="7">
        <f>'AS400'!BK74</f>
        <v>0</v>
      </c>
      <c r="BM74" s="7" t="str">
        <f>'AS400'!BL74</f>
        <v>STLV</v>
      </c>
      <c r="BN74" s="7">
        <f>'AS400'!BM74</f>
        <v>818</v>
      </c>
      <c r="BO74" s="7">
        <f>'AS400'!BN74</f>
        <v>0</v>
      </c>
      <c r="BP74" s="7">
        <f>'AS400'!BO74</f>
        <v>12</v>
      </c>
      <c r="BQ74" s="7">
        <f>'AS400'!BP74</f>
        <v>20180201</v>
      </c>
      <c r="BR74" s="7">
        <f>'AS400'!BQ74</f>
        <v>0</v>
      </c>
      <c r="BS74" s="7">
        <f>'AS400'!BR74</f>
        <v>0</v>
      </c>
      <c r="BT74" s="7">
        <f>'AS400'!BS74</f>
        <v>5</v>
      </c>
      <c r="BV74" s="7">
        <f>'AS400'!BT74</f>
        <v>25</v>
      </c>
      <c r="BW74" s="7">
        <f>'AS400'!BU74</f>
        <v>0</v>
      </c>
      <c r="BX74" s="7">
        <f>'AS400'!BV74</f>
        <v>0</v>
      </c>
      <c r="BY74" s="7">
        <f>'AS400'!BW74</f>
        <v>0</v>
      </c>
      <c r="BZ74" s="7">
        <f>'AS400'!BX74</f>
        <v>0</v>
      </c>
      <c r="CA74" s="7">
        <f>'AS400'!BY74</f>
        <v>0</v>
      </c>
      <c r="CB74" s="7">
        <f>'AS400'!BZ74</f>
        <v>0</v>
      </c>
      <c r="CC74" s="7">
        <f>'AS400'!CA74</f>
        <v>0</v>
      </c>
      <c r="CD74" s="7">
        <f>'AS400'!CB74</f>
        <v>0</v>
      </c>
      <c r="CE74" s="7">
        <f>'AS400'!CC74</f>
        <v>0</v>
      </c>
      <c r="CF74" s="7">
        <f>'AS400'!CD74</f>
        <v>0</v>
      </c>
      <c r="CG74" s="7">
        <f>'AS400'!CE74</f>
        <v>0</v>
      </c>
      <c r="CH74" s="7">
        <f>'AS400'!CF74</f>
        <v>0</v>
      </c>
      <c r="CI74" s="7">
        <f>'AS400'!CG74</f>
        <v>0</v>
      </c>
      <c r="CJ74" s="7">
        <f>'AS400'!CH74</f>
        <v>0</v>
      </c>
      <c r="CK74" s="7">
        <f>'AS400'!CI74</f>
        <v>0</v>
      </c>
      <c r="CL74" s="7">
        <f>'AS400'!CJ74</f>
        <v>0</v>
      </c>
      <c r="CM74" s="8">
        <f>'AS400'!CK74</f>
        <v>1</v>
      </c>
      <c r="CN74" s="7">
        <f>'AS400'!CL74</f>
        <v>3</v>
      </c>
      <c r="CO74" s="7" t="str">
        <f>'AS400'!CM74</f>
        <v>PUDT</v>
      </c>
      <c r="CP74" s="7">
        <f>'AS400'!CN74</f>
        <v>100</v>
      </c>
      <c r="CQ74" s="7">
        <f>'AS400'!CO74</f>
        <v>20180301</v>
      </c>
      <c r="CR74" s="7">
        <f>'AS400'!CP74</f>
        <v>20180301</v>
      </c>
      <c r="CS74" s="7" t="str">
        <f>'AS400'!CQ74</f>
        <v>S</v>
      </c>
      <c r="CT74" s="7" t="str">
        <f>'AS400'!CR74</f>
        <v>MT</v>
      </c>
      <c r="CU74" s="7">
        <f>'AS400'!CS74</f>
        <v>20180301</v>
      </c>
      <c r="CV74" s="7">
        <f>'AS400'!CT74</f>
        <v>0</v>
      </c>
      <c r="CW74" s="7">
        <f>'AS400'!CU74</f>
        <v>0</v>
      </c>
      <c r="CX74" s="7">
        <f>'AS400'!CV74</f>
        <v>0</v>
      </c>
      <c r="CY74" s="7">
        <f>'AS400'!CW74</f>
        <v>0</v>
      </c>
      <c r="CZ74" s="7" t="str">
        <f>'AS400'!CX74</f>
        <v>STLV</v>
      </c>
      <c r="DA74" s="7">
        <f>'AS400'!CY74</f>
        <v>818</v>
      </c>
      <c r="DB74" s="7">
        <f>'AS400'!CZ74</f>
        <v>0</v>
      </c>
      <c r="DC74" s="7">
        <f>'AS400'!DA74</f>
        <v>12</v>
      </c>
      <c r="DD74" s="7">
        <f>'AS400'!DB74</f>
        <v>20180201</v>
      </c>
      <c r="DE74" s="7">
        <f>'AS400'!DC74</f>
        <v>0</v>
      </c>
      <c r="DF74" s="7">
        <f>'AS400'!DD74</f>
        <v>0</v>
      </c>
      <c r="DG74" s="7">
        <f>'AS400'!DE74</f>
        <v>8</v>
      </c>
      <c r="DI74" s="7">
        <f>'AS400'!DF74</f>
        <v>25</v>
      </c>
      <c r="DJ74" s="7">
        <f>'AS400'!DG74</f>
        <v>0</v>
      </c>
      <c r="DK74" s="7">
        <f>'AS400'!DH74</f>
        <v>0</v>
      </c>
      <c r="DL74" s="7">
        <f>'AS400'!DI74</f>
        <v>0</v>
      </c>
      <c r="DM74" s="7">
        <f>'AS400'!DJ74</f>
        <v>0</v>
      </c>
      <c r="DN74" s="7">
        <f>'AS400'!DK74</f>
        <v>0</v>
      </c>
      <c r="DO74" s="7">
        <f>'AS400'!DL74</f>
        <v>0</v>
      </c>
      <c r="DP74" s="7">
        <f>'AS400'!DM74</f>
        <v>0</v>
      </c>
      <c r="DQ74" s="7">
        <f>'AS400'!DN74</f>
        <v>0</v>
      </c>
      <c r="DR74" s="7">
        <f>'AS400'!DO74</f>
        <v>0</v>
      </c>
      <c r="DS74" s="7">
        <f>'AS400'!DP74</f>
        <v>0</v>
      </c>
      <c r="DT74" s="7">
        <f>'AS400'!DQ74</f>
        <v>0</v>
      </c>
      <c r="DU74" s="7">
        <f>'AS400'!DR74</f>
        <v>0</v>
      </c>
      <c r="DV74" s="7">
        <f>'AS400'!DS74</f>
        <v>0</v>
      </c>
      <c r="DW74" s="7">
        <f>'AS400'!DT74</f>
        <v>0</v>
      </c>
      <c r="DX74" s="7">
        <f>'AS400'!DU74</f>
        <v>0</v>
      </c>
      <c r="DY74" s="7">
        <f>'AS400'!DV74</f>
        <v>0</v>
      </c>
      <c r="DZ74" s="8">
        <f>'AS400'!DW74</f>
        <v>1</v>
      </c>
      <c r="EA74" s="7">
        <f>'AS400'!DX74</f>
        <v>4</v>
      </c>
      <c r="EB74" s="7" t="str">
        <f>'AS400'!DY74</f>
        <v>PUDS</v>
      </c>
      <c r="EC74" s="7">
        <f>'AS400'!DZ74</f>
        <v>100</v>
      </c>
      <c r="ED74" s="7">
        <f>'AS400'!EA74</f>
        <v>20180301</v>
      </c>
      <c r="EE74" s="7">
        <f>'AS400'!EB74</f>
        <v>20180301</v>
      </c>
      <c r="EF74" s="7" t="str">
        <f>'AS400'!EC74</f>
        <v>S</v>
      </c>
      <c r="EG74" s="7" t="str">
        <f>'AS400'!ED74</f>
        <v>MS</v>
      </c>
      <c r="EH74" s="7">
        <f>'AS400'!EE74</f>
        <v>20180301</v>
      </c>
      <c r="EI74" s="7">
        <f>'AS400'!EF74</f>
        <v>0</v>
      </c>
      <c r="EJ74" s="7">
        <f>'AS400'!EG74</f>
        <v>0</v>
      </c>
      <c r="EK74" s="7">
        <f>'AS400'!EH74</f>
        <v>0</v>
      </c>
      <c r="EL74" s="7">
        <f>'AS400'!EI74</f>
        <v>0</v>
      </c>
      <c r="EM74" s="7" t="str">
        <f>'AS400'!EJ74</f>
        <v>STLV</v>
      </c>
      <c r="EN74" s="7">
        <f>'AS400'!EK74</f>
        <v>818</v>
      </c>
      <c r="EO74" s="7">
        <f>'AS400'!EL74</f>
        <v>0</v>
      </c>
      <c r="EP74" s="7">
        <f>'AS400'!EM74</f>
        <v>12</v>
      </c>
      <c r="EQ74" s="7">
        <f>'AS400'!EN74</f>
        <v>20180201</v>
      </c>
      <c r="ER74" s="7">
        <f>'AS400'!EO74</f>
        <v>0</v>
      </c>
      <c r="ES74" s="7">
        <f>'AS400'!EP74</f>
        <v>0</v>
      </c>
      <c r="ET74" s="7">
        <f>'AS400'!EQ74</f>
        <v>5</v>
      </c>
      <c r="EV74" s="7">
        <f>'AS400'!ER74</f>
        <v>25</v>
      </c>
      <c r="EW74" s="7">
        <f>'AS400'!ES74</f>
        <v>0</v>
      </c>
      <c r="EX74" s="7">
        <f>'AS400'!ET74</f>
        <v>0</v>
      </c>
      <c r="EY74" s="7">
        <f>'AS400'!EU74</f>
        <v>0</v>
      </c>
      <c r="EZ74" s="7">
        <f>'AS400'!EV74</f>
        <v>0</v>
      </c>
      <c r="FA74" s="7">
        <f>'AS400'!EW74</f>
        <v>0</v>
      </c>
      <c r="FB74" s="7">
        <f>'AS400'!EX74</f>
        <v>0</v>
      </c>
      <c r="FC74" s="7">
        <f>'AS400'!EY74</f>
        <v>0</v>
      </c>
      <c r="FD74" s="7">
        <f>'AS400'!EZ74</f>
        <v>0</v>
      </c>
      <c r="FE74" s="7">
        <f>'AS400'!FA74</f>
        <v>0</v>
      </c>
      <c r="FF74" s="7">
        <f>'AS400'!FB74</f>
        <v>0</v>
      </c>
      <c r="FG74" s="7">
        <f>'AS400'!FC74</f>
        <v>0</v>
      </c>
      <c r="FH74" s="7">
        <f>'AS400'!FD74</f>
        <v>0</v>
      </c>
      <c r="FI74" s="7">
        <f>'AS400'!FE74</f>
        <v>0</v>
      </c>
      <c r="FJ74" s="7">
        <f>'AS400'!FF74</f>
        <v>0</v>
      </c>
      <c r="FK74" s="7">
        <f>'AS400'!FG74</f>
        <v>0</v>
      </c>
      <c r="FL74" s="7">
        <f>'AS400'!FH74</f>
        <v>0</v>
      </c>
      <c r="FM74" s="7">
        <f>'AS400'!FI74</f>
        <v>1</v>
      </c>
      <c r="FN74" s="7">
        <f>'AS400'!FJ74</f>
        <v>1</v>
      </c>
      <c r="FO74" s="7">
        <f>'AS400'!FO74</f>
        <v>0</v>
      </c>
      <c r="FP74" s="7">
        <f>'AS400'!FP74</f>
        <v>4</v>
      </c>
      <c r="FQ74" s="7">
        <f>'AS400'!FQ74</f>
        <v>1</v>
      </c>
      <c r="FR74" s="7">
        <f>'AS400'!FR74</f>
        <v>1</v>
      </c>
      <c r="FS74" s="13">
        <f>'AS400'!FO74</f>
        <v>0</v>
      </c>
    </row>
    <row r="75" spans="1:175">
      <c r="A75" s="7">
        <f>'AS400'!A75</f>
        <v>69</v>
      </c>
      <c r="B75" s="7">
        <f>'AS400'!B75</f>
        <v>20190301</v>
      </c>
      <c r="C75" s="7">
        <f>'AS400'!C75</f>
        <v>0</v>
      </c>
      <c r="D75" s="7" t="str">
        <f>'AS400'!D75</f>
        <v>N</v>
      </c>
      <c r="E75" s="7" t="str">
        <f>'AS400'!E75</f>
        <v>N</v>
      </c>
      <c r="F75" s="7" t="str">
        <f>'AS400'!F75</f>
        <v>Y</v>
      </c>
      <c r="G75" s="7">
        <f>'AS400'!G75</f>
        <v>0</v>
      </c>
      <c r="H75" s="14"/>
      <c r="I75" s="7" t="str">
        <f>'AS400'!I75</f>
        <v>RSA</v>
      </c>
      <c r="J75" s="7" t="str">
        <f>'AS400'!J75</f>
        <v>METR</v>
      </c>
      <c r="K75" s="7" t="str">
        <f>'AS400'!K75</f>
        <v>N</v>
      </c>
      <c r="L75" s="7">
        <f>'AS400'!L75</f>
        <v>4</v>
      </c>
      <c r="M75" s="8">
        <f>'AS400'!M75</f>
        <v>1</v>
      </c>
      <c r="N75" s="7">
        <f>'AS400'!N75</f>
        <v>1</v>
      </c>
      <c r="O75" s="7" t="str">
        <f>'AS400'!O75</f>
        <v>MFSP</v>
      </c>
      <c r="P75" s="7">
        <f>'AS400'!P75</f>
        <v>100</v>
      </c>
      <c r="Q75" s="7">
        <f>'AS400'!Q75</f>
        <v>20180301</v>
      </c>
      <c r="R75" s="7">
        <f>'AS400'!R75</f>
        <v>20180301</v>
      </c>
      <c r="S75" s="7" t="str">
        <f>'AS400'!S75</f>
        <v>M</v>
      </c>
      <c r="T75" s="7" t="str">
        <f>'AS400'!T75</f>
        <v>MN</v>
      </c>
      <c r="U75" s="7">
        <f>'AS400'!U75</f>
        <v>20190301</v>
      </c>
      <c r="V75" s="7">
        <f>'AS400'!V75</f>
        <v>10</v>
      </c>
      <c r="W75" s="7">
        <f>'AS400'!W75</f>
        <v>10</v>
      </c>
      <c r="X75" s="7" t="str">
        <f>'AS400'!X75</f>
        <v>MFIX</v>
      </c>
      <c r="Y75" s="7">
        <f>'AS400'!Y75</f>
        <v>0</v>
      </c>
      <c r="Z75" s="7" t="str">
        <f>'AS400'!Z75</f>
        <v>STLV</v>
      </c>
      <c r="AA75" s="7">
        <f>'AS400'!AA75</f>
        <v>818</v>
      </c>
      <c r="AB75" s="7">
        <f>'AS400'!AB75</f>
        <v>0</v>
      </c>
      <c r="AC75" s="7">
        <f>'AS400'!AC75</f>
        <v>12</v>
      </c>
      <c r="AD75" s="7">
        <f>'AS400'!AD75</f>
        <v>20180201</v>
      </c>
      <c r="AE75" s="7">
        <f>'AS400'!AE75</f>
        <v>0</v>
      </c>
      <c r="AF75" s="7">
        <f>'AS400'!AF75</f>
        <v>30000</v>
      </c>
      <c r="AG75" s="7">
        <f>'AS400'!AG75</f>
        <v>55</v>
      </c>
      <c r="AI75" s="7">
        <f>'AS400'!AH75</f>
        <v>26</v>
      </c>
      <c r="AJ75" s="7">
        <f>'AS400'!AI75</f>
        <v>0</v>
      </c>
      <c r="AK75" s="7">
        <f>'AS400'!AJ75</f>
        <v>0</v>
      </c>
      <c r="AL75" s="7">
        <f>'AS400'!AK75</f>
        <v>0</v>
      </c>
      <c r="AM75" s="7">
        <f>'AS400'!AL75</f>
        <v>0</v>
      </c>
      <c r="AN75" s="7">
        <f>'AS400'!AM75</f>
        <v>0</v>
      </c>
      <c r="AO75" s="7">
        <f>'AS400'!AN75</f>
        <v>0</v>
      </c>
      <c r="AP75" s="7">
        <f>'AS400'!AO75</f>
        <v>0</v>
      </c>
      <c r="AQ75" s="7">
        <f>'AS400'!AP75</f>
        <v>0</v>
      </c>
      <c r="AR75" s="7">
        <f>'AS400'!AQ75</f>
        <v>0</v>
      </c>
      <c r="AS75" s="7">
        <f>'AS400'!AR75</f>
        <v>0</v>
      </c>
      <c r="AT75" s="7">
        <f>'AS400'!AS75</f>
        <v>0</v>
      </c>
      <c r="AU75" s="7">
        <f>'AS400'!AT75</f>
        <v>0</v>
      </c>
      <c r="AV75" s="7">
        <f>'AS400'!AU75</f>
        <v>0</v>
      </c>
      <c r="AW75" s="7">
        <f>'AS400'!AV75</f>
        <v>0</v>
      </c>
      <c r="AX75" s="7">
        <f>'AS400'!AW75</f>
        <v>0</v>
      </c>
      <c r="AY75" s="7">
        <f>'AS400'!AX75</f>
        <v>0</v>
      </c>
      <c r="AZ75" s="8">
        <f>'AS400'!AY75</f>
        <v>1</v>
      </c>
      <c r="BA75" s="7">
        <f>'AS400'!AZ75</f>
        <v>2</v>
      </c>
      <c r="BB75" s="7" t="str">
        <f>'AS400'!BA75</f>
        <v>PURO</v>
      </c>
      <c r="BC75" s="7">
        <f>'AS400'!BB75</f>
        <v>100</v>
      </c>
      <c r="BD75" s="7">
        <f>'AS400'!BC75</f>
        <v>20180301</v>
      </c>
      <c r="BE75" s="7">
        <f>'AS400'!BD75</f>
        <v>20180301</v>
      </c>
      <c r="BF75" s="7" t="str">
        <f>'AS400'!BE75</f>
        <v>S</v>
      </c>
      <c r="BG75" s="7" t="str">
        <f>'AS400'!BF75</f>
        <v>ME</v>
      </c>
      <c r="BH75" s="7">
        <f>'AS400'!BG75</f>
        <v>20180301</v>
      </c>
      <c r="BI75" s="7">
        <f>'AS400'!BH75</f>
        <v>0</v>
      </c>
      <c r="BJ75" s="7">
        <f>'AS400'!BI75</f>
        <v>0</v>
      </c>
      <c r="BK75" s="7">
        <f>'AS400'!BJ75</f>
        <v>0</v>
      </c>
      <c r="BL75" s="7">
        <f>'AS400'!BK75</f>
        <v>0</v>
      </c>
      <c r="BM75" s="7" t="str">
        <f>'AS400'!BL75</f>
        <v>STLV</v>
      </c>
      <c r="BN75" s="7">
        <f>'AS400'!BM75</f>
        <v>818</v>
      </c>
      <c r="BO75" s="7">
        <f>'AS400'!BN75</f>
        <v>0</v>
      </c>
      <c r="BP75" s="7">
        <f>'AS400'!BO75</f>
        <v>12</v>
      </c>
      <c r="BQ75" s="7">
        <f>'AS400'!BP75</f>
        <v>20180201</v>
      </c>
      <c r="BR75" s="7">
        <f>'AS400'!BQ75</f>
        <v>0</v>
      </c>
      <c r="BS75" s="7">
        <f>'AS400'!BR75</f>
        <v>0</v>
      </c>
      <c r="BT75" s="7">
        <f>'AS400'!BS75</f>
        <v>6</v>
      </c>
      <c r="BV75" s="7">
        <f>'AS400'!BT75</f>
        <v>26</v>
      </c>
      <c r="BW75" s="7">
        <f>'AS400'!BU75</f>
        <v>0</v>
      </c>
      <c r="BX75" s="7">
        <f>'AS400'!BV75</f>
        <v>0</v>
      </c>
      <c r="BY75" s="7">
        <f>'AS400'!BW75</f>
        <v>0</v>
      </c>
      <c r="BZ75" s="7">
        <f>'AS400'!BX75</f>
        <v>0</v>
      </c>
      <c r="CA75" s="7">
        <f>'AS400'!BY75</f>
        <v>0</v>
      </c>
      <c r="CB75" s="7">
        <f>'AS400'!BZ75</f>
        <v>0</v>
      </c>
      <c r="CC75" s="7">
        <f>'AS400'!CA75</f>
        <v>0</v>
      </c>
      <c r="CD75" s="7">
        <f>'AS400'!CB75</f>
        <v>0</v>
      </c>
      <c r="CE75" s="7">
        <f>'AS400'!CC75</f>
        <v>0</v>
      </c>
      <c r="CF75" s="7">
        <f>'AS400'!CD75</f>
        <v>0</v>
      </c>
      <c r="CG75" s="7">
        <f>'AS400'!CE75</f>
        <v>0</v>
      </c>
      <c r="CH75" s="7">
        <f>'AS400'!CF75</f>
        <v>0</v>
      </c>
      <c r="CI75" s="7">
        <f>'AS400'!CG75</f>
        <v>0</v>
      </c>
      <c r="CJ75" s="7">
        <f>'AS400'!CH75</f>
        <v>0</v>
      </c>
      <c r="CK75" s="7">
        <f>'AS400'!CI75</f>
        <v>0</v>
      </c>
      <c r="CL75" s="7">
        <f>'AS400'!CJ75</f>
        <v>0</v>
      </c>
      <c r="CM75" s="8">
        <f>'AS400'!CK75</f>
        <v>1</v>
      </c>
      <c r="CN75" s="7">
        <f>'AS400'!CL75</f>
        <v>3</v>
      </c>
      <c r="CO75" s="7" t="str">
        <f>'AS400'!CM75</f>
        <v>PUDT</v>
      </c>
      <c r="CP75" s="7">
        <f>'AS400'!CN75</f>
        <v>100</v>
      </c>
      <c r="CQ75" s="7">
        <f>'AS400'!CO75</f>
        <v>20180301</v>
      </c>
      <c r="CR75" s="7">
        <f>'AS400'!CP75</f>
        <v>20180301</v>
      </c>
      <c r="CS75" s="7" t="str">
        <f>'AS400'!CQ75</f>
        <v>S</v>
      </c>
      <c r="CT75" s="7" t="str">
        <f>'AS400'!CR75</f>
        <v>MT</v>
      </c>
      <c r="CU75" s="7">
        <f>'AS400'!CS75</f>
        <v>20180301</v>
      </c>
      <c r="CV75" s="7">
        <f>'AS400'!CT75</f>
        <v>0</v>
      </c>
      <c r="CW75" s="7">
        <f>'AS400'!CU75</f>
        <v>0</v>
      </c>
      <c r="CX75" s="7">
        <f>'AS400'!CV75</f>
        <v>0</v>
      </c>
      <c r="CY75" s="7">
        <f>'AS400'!CW75</f>
        <v>0</v>
      </c>
      <c r="CZ75" s="7" t="str">
        <f>'AS400'!CX75</f>
        <v>STLV</v>
      </c>
      <c r="DA75" s="7">
        <f>'AS400'!CY75</f>
        <v>818</v>
      </c>
      <c r="DB75" s="7">
        <f>'AS400'!CZ75</f>
        <v>0</v>
      </c>
      <c r="DC75" s="7">
        <f>'AS400'!DA75</f>
        <v>12</v>
      </c>
      <c r="DD75" s="7">
        <f>'AS400'!DB75</f>
        <v>20180201</v>
      </c>
      <c r="DE75" s="7">
        <f>'AS400'!DC75</f>
        <v>0</v>
      </c>
      <c r="DF75" s="7">
        <f>'AS400'!DD75</f>
        <v>0</v>
      </c>
      <c r="DG75" s="7">
        <f>'AS400'!DE75</f>
        <v>9</v>
      </c>
      <c r="DI75" s="7">
        <f>'AS400'!DF75</f>
        <v>26</v>
      </c>
      <c r="DJ75" s="7">
        <f>'AS400'!DG75</f>
        <v>0</v>
      </c>
      <c r="DK75" s="7">
        <f>'AS400'!DH75</f>
        <v>0</v>
      </c>
      <c r="DL75" s="7">
        <f>'AS400'!DI75</f>
        <v>0</v>
      </c>
      <c r="DM75" s="7">
        <f>'AS400'!DJ75</f>
        <v>0</v>
      </c>
      <c r="DN75" s="7">
        <f>'AS400'!DK75</f>
        <v>0</v>
      </c>
      <c r="DO75" s="7">
        <f>'AS400'!DL75</f>
        <v>0</v>
      </c>
      <c r="DP75" s="7">
        <f>'AS400'!DM75</f>
        <v>0</v>
      </c>
      <c r="DQ75" s="7">
        <f>'AS400'!DN75</f>
        <v>0</v>
      </c>
      <c r="DR75" s="7">
        <f>'AS400'!DO75</f>
        <v>0</v>
      </c>
      <c r="DS75" s="7">
        <f>'AS400'!DP75</f>
        <v>0</v>
      </c>
      <c r="DT75" s="7">
        <f>'AS400'!DQ75</f>
        <v>0</v>
      </c>
      <c r="DU75" s="7">
        <f>'AS400'!DR75</f>
        <v>0</v>
      </c>
      <c r="DV75" s="7">
        <f>'AS400'!DS75</f>
        <v>0</v>
      </c>
      <c r="DW75" s="7">
        <f>'AS400'!DT75</f>
        <v>0</v>
      </c>
      <c r="DX75" s="7">
        <f>'AS400'!DU75</f>
        <v>0</v>
      </c>
      <c r="DY75" s="7">
        <f>'AS400'!DV75</f>
        <v>0</v>
      </c>
      <c r="DZ75" s="8">
        <f>'AS400'!DW75</f>
        <v>1</v>
      </c>
      <c r="EA75" s="7">
        <f>'AS400'!DX75</f>
        <v>4</v>
      </c>
      <c r="EB75" s="7" t="str">
        <f>'AS400'!DY75</f>
        <v>PUDS</v>
      </c>
      <c r="EC75" s="7">
        <f>'AS400'!DZ75</f>
        <v>100</v>
      </c>
      <c r="ED75" s="7">
        <f>'AS400'!EA75</f>
        <v>20180301</v>
      </c>
      <c r="EE75" s="7">
        <f>'AS400'!EB75</f>
        <v>20180301</v>
      </c>
      <c r="EF75" s="7" t="str">
        <f>'AS400'!EC75</f>
        <v>S</v>
      </c>
      <c r="EG75" s="7" t="str">
        <f>'AS400'!ED75</f>
        <v>MS</v>
      </c>
      <c r="EH75" s="7">
        <f>'AS400'!EE75</f>
        <v>20180301</v>
      </c>
      <c r="EI75" s="7">
        <f>'AS400'!EF75</f>
        <v>0</v>
      </c>
      <c r="EJ75" s="7">
        <f>'AS400'!EG75</f>
        <v>0</v>
      </c>
      <c r="EK75" s="7">
        <f>'AS400'!EH75</f>
        <v>0</v>
      </c>
      <c r="EL75" s="7">
        <f>'AS400'!EI75</f>
        <v>0</v>
      </c>
      <c r="EM75" s="7" t="str">
        <f>'AS400'!EJ75</f>
        <v>STLV</v>
      </c>
      <c r="EN75" s="7">
        <f>'AS400'!EK75</f>
        <v>818</v>
      </c>
      <c r="EO75" s="7">
        <f>'AS400'!EL75</f>
        <v>0</v>
      </c>
      <c r="EP75" s="7">
        <f>'AS400'!EM75</f>
        <v>12</v>
      </c>
      <c r="EQ75" s="7">
        <f>'AS400'!EN75</f>
        <v>20180201</v>
      </c>
      <c r="ER75" s="7">
        <f>'AS400'!EO75</f>
        <v>0</v>
      </c>
      <c r="ES75" s="7">
        <f>'AS400'!EP75</f>
        <v>0</v>
      </c>
      <c r="ET75" s="7">
        <f>'AS400'!EQ75</f>
        <v>5</v>
      </c>
      <c r="EV75" s="7">
        <f>'AS400'!ER75</f>
        <v>26</v>
      </c>
      <c r="EW75" s="7">
        <f>'AS400'!ES75</f>
        <v>0</v>
      </c>
      <c r="EX75" s="7">
        <f>'AS400'!ET75</f>
        <v>0</v>
      </c>
      <c r="EY75" s="7">
        <f>'AS400'!EU75</f>
        <v>0</v>
      </c>
      <c r="EZ75" s="7">
        <f>'AS400'!EV75</f>
        <v>0</v>
      </c>
      <c r="FA75" s="7">
        <f>'AS400'!EW75</f>
        <v>0</v>
      </c>
      <c r="FB75" s="7">
        <f>'AS400'!EX75</f>
        <v>0</v>
      </c>
      <c r="FC75" s="7">
        <f>'AS400'!EY75</f>
        <v>0</v>
      </c>
      <c r="FD75" s="7">
        <f>'AS400'!EZ75</f>
        <v>0</v>
      </c>
      <c r="FE75" s="7">
        <f>'AS400'!FA75</f>
        <v>0</v>
      </c>
      <c r="FF75" s="7">
        <f>'AS400'!FB75</f>
        <v>0</v>
      </c>
      <c r="FG75" s="7">
        <f>'AS400'!FC75</f>
        <v>0</v>
      </c>
      <c r="FH75" s="7">
        <f>'AS400'!FD75</f>
        <v>0</v>
      </c>
      <c r="FI75" s="7">
        <f>'AS400'!FE75</f>
        <v>0</v>
      </c>
      <c r="FJ75" s="7">
        <f>'AS400'!FF75</f>
        <v>0</v>
      </c>
      <c r="FK75" s="7">
        <f>'AS400'!FG75</f>
        <v>0</v>
      </c>
      <c r="FL75" s="7">
        <f>'AS400'!FH75</f>
        <v>0</v>
      </c>
      <c r="FM75" s="7">
        <f>'AS400'!FI75</f>
        <v>1</v>
      </c>
      <c r="FN75" s="7">
        <f>'AS400'!FJ75</f>
        <v>1</v>
      </c>
      <c r="FO75" s="7">
        <f>'AS400'!FO75</f>
        <v>0</v>
      </c>
      <c r="FP75" s="7">
        <f>'AS400'!FP75</f>
        <v>4</v>
      </c>
      <c r="FQ75" s="7">
        <f>'AS400'!FQ75</f>
        <v>1</v>
      </c>
      <c r="FR75" s="7">
        <f>'AS400'!FR75</f>
        <v>1</v>
      </c>
      <c r="FS75" s="13">
        <f>'AS400'!FO75</f>
        <v>0</v>
      </c>
    </row>
    <row r="76" spans="1:175">
      <c r="A76" s="7">
        <f>'AS400'!A76</f>
        <v>70</v>
      </c>
      <c r="B76" s="7">
        <f>'AS400'!B76</f>
        <v>20190301</v>
      </c>
      <c r="C76" s="7">
        <f>'AS400'!C76</f>
        <v>0</v>
      </c>
      <c r="D76" s="7" t="str">
        <f>'AS400'!D76</f>
        <v>N</v>
      </c>
      <c r="E76" s="7" t="str">
        <f>'AS400'!E76</f>
        <v>N</v>
      </c>
      <c r="F76" s="7" t="str">
        <f>'AS400'!F76</f>
        <v>Y</v>
      </c>
      <c r="G76" s="7">
        <f>'AS400'!G76</f>
        <v>0</v>
      </c>
      <c r="H76" s="14"/>
      <c r="I76" s="7" t="str">
        <f>'AS400'!I76</f>
        <v>RSA</v>
      </c>
      <c r="J76" s="7" t="str">
        <f>'AS400'!J76</f>
        <v>METR</v>
      </c>
      <c r="K76" s="7" t="str">
        <f>'AS400'!K76</f>
        <v>N</v>
      </c>
      <c r="L76" s="7">
        <f>'AS400'!L76</f>
        <v>4</v>
      </c>
      <c r="M76" s="8">
        <f>'AS400'!M76</f>
        <v>1</v>
      </c>
      <c r="N76" s="7">
        <f>'AS400'!N76</f>
        <v>1</v>
      </c>
      <c r="O76" s="7" t="str">
        <f>'AS400'!O76</f>
        <v>MFSP</v>
      </c>
      <c r="P76" s="7">
        <f>'AS400'!P76</f>
        <v>100</v>
      </c>
      <c r="Q76" s="7">
        <f>'AS400'!Q76</f>
        <v>20180301</v>
      </c>
      <c r="R76" s="7">
        <f>'AS400'!R76</f>
        <v>20180301</v>
      </c>
      <c r="S76" s="7" t="str">
        <f>'AS400'!S76</f>
        <v>M</v>
      </c>
      <c r="T76" s="7" t="str">
        <f>'AS400'!T76</f>
        <v>MN</v>
      </c>
      <c r="U76" s="7">
        <f>'AS400'!U76</f>
        <v>20190301</v>
      </c>
      <c r="V76" s="7">
        <f>'AS400'!V76</f>
        <v>10</v>
      </c>
      <c r="W76" s="7">
        <f>'AS400'!W76</f>
        <v>10</v>
      </c>
      <c r="X76" s="7" t="str">
        <f>'AS400'!X76</f>
        <v>MFIX</v>
      </c>
      <c r="Y76" s="7">
        <f>'AS400'!Y76</f>
        <v>0</v>
      </c>
      <c r="Z76" s="7" t="str">
        <f>'AS400'!Z76</f>
        <v>STLV</v>
      </c>
      <c r="AA76" s="7">
        <f>'AS400'!AA76</f>
        <v>818</v>
      </c>
      <c r="AB76" s="7">
        <f>'AS400'!AB76</f>
        <v>0</v>
      </c>
      <c r="AC76" s="7">
        <f>'AS400'!AC76</f>
        <v>12</v>
      </c>
      <c r="AD76" s="7">
        <f>'AS400'!AD76</f>
        <v>20180201</v>
      </c>
      <c r="AE76" s="7">
        <f>'AS400'!AE76</f>
        <v>0</v>
      </c>
      <c r="AF76" s="7">
        <f>'AS400'!AF76</f>
        <v>35000</v>
      </c>
      <c r="AG76" s="7">
        <f>'AS400'!AG76</f>
        <v>60</v>
      </c>
      <c r="AI76" s="7">
        <f>'AS400'!AH76</f>
        <v>27</v>
      </c>
      <c r="AJ76" s="7">
        <f>'AS400'!AI76</f>
        <v>0</v>
      </c>
      <c r="AK76" s="7">
        <f>'AS400'!AJ76</f>
        <v>0</v>
      </c>
      <c r="AL76" s="7">
        <f>'AS400'!AK76</f>
        <v>0</v>
      </c>
      <c r="AM76" s="7">
        <f>'AS400'!AL76</f>
        <v>0</v>
      </c>
      <c r="AN76" s="7">
        <f>'AS400'!AM76</f>
        <v>0</v>
      </c>
      <c r="AO76" s="7">
        <f>'AS400'!AN76</f>
        <v>0</v>
      </c>
      <c r="AP76" s="7">
        <f>'AS400'!AO76</f>
        <v>0</v>
      </c>
      <c r="AQ76" s="7">
        <f>'AS400'!AP76</f>
        <v>0</v>
      </c>
      <c r="AR76" s="7">
        <f>'AS400'!AQ76</f>
        <v>0</v>
      </c>
      <c r="AS76" s="7">
        <f>'AS400'!AR76</f>
        <v>0</v>
      </c>
      <c r="AT76" s="7">
        <f>'AS400'!AS76</f>
        <v>0</v>
      </c>
      <c r="AU76" s="7">
        <f>'AS400'!AT76</f>
        <v>0</v>
      </c>
      <c r="AV76" s="7">
        <f>'AS400'!AU76</f>
        <v>0</v>
      </c>
      <c r="AW76" s="7">
        <f>'AS400'!AV76</f>
        <v>0</v>
      </c>
      <c r="AX76" s="7">
        <f>'AS400'!AW76</f>
        <v>0</v>
      </c>
      <c r="AY76" s="7">
        <f>'AS400'!AX76</f>
        <v>0</v>
      </c>
      <c r="AZ76" s="8">
        <f>'AS400'!AY76</f>
        <v>1</v>
      </c>
      <c r="BA76" s="7">
        <f>'AS400'!AZ76</f>
        <v>2</v>
      </c>
      <c r="BB76" s="7" t="str">
        <f>'AS400'!BA76</f>
        <v>PURO</v>
      </c>
      <c r="BC76" s="7">
        <f>'AS400'!BB76</f>
        <v>100</v>
      </c>
      <c r="BD76" s="7">
        <f>'AS400'!BC76</f>
        <v>20180301</v>
      </c>
      <c r="BE76" s="7">
        <f>'AS400'!BD76</f>
        <v>20180301</v>
      </c>
      <c r="BF76" s="7" t="str">
        <f>'AS400'!BE76</f>
        <v>S</v>
      </c>
      <c r="BG76" s="7" t="str">
        <f>'AS400'!BF76</f>
        <v>ME</v>
      </c>
      <c r="BH76" s="7">
        <f>'AS400'!BG76</f>
        <v>20180301</v>
      </c>
      <c r="BI76" s="7">
        <f>'AS400'!BH76</f>
        <v>0</v>
      </c>
      <c r="BJ76" s="7">
        <f>'AS400'!BI76</f>
        <v>0</v>
      </c>
      <c r="BK76" s="7">
        <f>'AS400'!BJ76</f>
        <v>0</v>
      </c>
      <c r="BL76" s="7">
        <f>'AS400'!BK76</f>
        <v>0</v>
      </c>
      <c r="BM76" s="7" t="str">
        <f>'AS400'!BL76</f>
        <v>STLV</v>
      </c>
      <c r="BN76" s="7">
        <f>'AS400'!BM76</f>
        <v>818</v>
      </c>
      <c r="BO76" s="7">
        <f>'AS400'!BN76</f>
        <v>0</v>
      </c>
      <c r="BP76" s="7">
        <f>'AS400'!BO76</f>
        <v>12</v>
      </c>
      <c r="BQ76" s="7">
        <f>'AS400'!BP76</f>
        <v>20180201</v>
      </c>
      <c r="BR76" s="7">
        <f>'AS400'!BQ76</f>
        <v>0</v>
      </c>
      <c r="BS76" s="7">
        <f>'AS400'!BR76</f>
        <v>0</v>
      </c>
      <c r="BT76" s="7">
        <f>'AS400'!BS76</f>
        <v>6</v>
      </c>
      <c r="BV76" s="7">
        <f>'AS400'!BT76</f>
        <v>27</v>
      </c>
      <c r="BW76" s="7">
        <f>'AS400'!BU76</f>
        <v>0</v>
      </c>
      <c r="BX76" s="7">
        <f>'AS400'!BV76</f>
        <v>0</v>
      </c>
      <c r="BY76" s="7">
        <f>'AS400'!BW76</f>
        <v>0</v>
      </c>
      <c r="BZ76" s="7">
        <f>'AS400'!BX76</f>
        <v>0</v>
      </c>
      <c r="CA76" s="7">
        <f>'AS400'!BY76</f>
        <v>0</v>
      </c>
      <c r="CB76" s="7">
        <f>'AS400'!BZ76</f>
        <v>0</v>
      </c>
      <c r="CC76" s="7">
        <f>'AS400'!CA76</f>
        <v>0</v>
      </c>
      <c r="CD76" s="7">
        <f>'AS400'!CB76</f>
        <v>0</v>
      </c>
      <c r="CE76" s="7">
        <f>'AS400'!CC76</f>
        <v>0</v>
      </c>
      <c r="CF76" s="7">
        <f>'AS400'!CD76</f>
        <v>0</v>
      </c>
      <c r="CG76" s="7">
        <f>'AS400'!CE76</f>
        <v>0</v>
      </c>
      <c r="CH76" s="7">
        <f>'AS400'!CF76</f>
        <v>0</v>
      </c>
      <c r="CI76" s="7">
        <f>'AS400'!CG76</f>
        <v>0</v>
      </c>
      <c r="CJ76" s="7">
        <f>'AS400'!CH76</f>
        <v>0</v>
      </c>
      <c r="CK76" s="7">
        <f>'AS400'!CI76</f>
        <v>0</v>
      </c>
      <c r="CL76" s="7">
        <f>'AS400'!CJ76</f>
        <v>0</v>
      </c>
      <c r="CM76" s="8">
        <f>'AS400'!CK76</f>
        <v>1</v>
      </c>
      <c r="CN76" s="7">
        <f>'AS400'!CL76</f>
        <v>3</v>
      </c>
      <c r="CO76" s="7" t="str">
        <f>'AS400'!CM76</f>
        <v>PUDT</v>
      </c>
      <c r="CP76" s="7">
        <f>'AS400'!CN76</f>
        <v>100</v>
      </c>
      <c r="CQ76" s="7">
        <f>'AS400'!CO76</f>
        <v>20180301</v>
      </c>
      <c r="CR76" s="7">
        <f>'AS400'!CP76</f>
        <v>20180301</v>
      </c>
      <c r="CS76" s="7" t="str">
        <f>'AS400'!CQ76</f>
        <v>S</v>
      </c>
      <c r="CT76" s="7" t="str">
        <f>'AS400'!CR76</f>
        <v>MT</v>
      </c>
      <c r="CU76" s="7">
        <f>'AS400'!CS76</f>
        <v>20180301</v>
      </c>
      <c r="CV76" s="7">
        <f>'AS400'!CT76</f>
        <v>0</v>
      </c>
      <c r="CW76" s="7">
        <f>'AS400'!CU76</f>
        <v>0</v>
      </c>
      <c r="CX76" s="7">
        <f>'AS400'!CV76</f>
        <v>0</v>
      </c>
      <c r="CY76" s="7">
        <f>'AS400'!CW76</f>
        <v>0</v>
      </c>
      <c r="CZ76" s="7" t="str">
        <f>'AS400'!CX76</f>
        <v>STLV</v>
      </c>
      <c r="DA76" s="7">
        <f>'AS400'!CY76</f>
        <v>818</v>
      </c>
      <c r="DB76" s="7">
        <f>'AS400'!CZ76</f>
        <v>0</v>
      </c>
      <c r="DC76" s="7">
        <f>'AS400'!DA76</f>
        <v>12</v>
      </c>
      <c r="DD76" s="7">
        <f>'AS400'!DB76</f>
        <v>20180201</v>
      </c>
      <c r="DE76" s="7">
        <f>'AS400'!DC76</f>
        <v>0</v>
      </c>
      <c r="DF76" s="7">
        <f>'AS400'!DD76</f>
        <v>0</v>
      </c>
      <c r="DG76" s="7">
        <f>'AS400'!DE76</f>
        <v>9</v>
      </c>
      <c r="DI76" s="7">
        <f>'AS400'!DF76</f>
        <v>27</v>
      </c>
      <c r="DJ76" s="7">
        <f>'AS400'!DG76</f>
        <v>0</v>
      </c>
      <c r="DK76" s="7">
        <f>'AS400'!DH76</f>
        <v>0</v>
      </c>
      <c r="DL76" s="7">
        <f>'AS400'!DI76</f>
        <v>0</v>
      </c>
      <c r="DM76" s="7">
        <f>'AS400'!DJ76</f>
        <v>0</v>
      </c>
      <c r="DN76" s="7">
        <f>'AS400'!DK76</f>
        <v>0</v>
      </c>
      <c r="DO76" s="7">
        <f>'AS400'!DL76</f>
        <v>0</v>
      </c>
      <c r="DP76" s="7">
        <f>'AS400'!DM76</f>
        <v>0</v>
      </c>
      <c r="DQ76" s="7">
        <f>'AS400'!DN76</f>
        <v>0</v>
      </c>
      <c r="DR76" s="7">
        <f>'AS400'!DO76</f>
        <v>0</v>
      </c>
      <c r="DS76" s="7">
        <f>'AS400'!DP76</f>
        <v>0</v>
      </c>
      <c r="DT76" s="7">
        <f>'AS400'!DQ76</f>
        <v>0</v>
      </c>
      <c r="DU76" s="7">
        <f>'AS400'!DR76</f>
        <v>0</v>
      </c>
      <c r="DV76" s="7">
        <f>'AS400'!DS76</f>
        <v>0</v>
      </c>
      <c r="DW76" s="7">
        <f>'AS400'!DT76</f>
        <v>0</v>
      </c>
      <c r="DX76" s="7">
        <f>'AS400'!DU76</f>
        <v>0</v>
      </c>
      <c r="DY76" s="7">
        <f>'AS400'!DV76</f>
        <v>0</v>
      </c>
      <c r="DZ76" s="8">
        <f>'AS400'!DW76</f>
        <v>1</v>
      </c>
      <c r="EA76" s="7">
        <f>'AS400'!DX76</f>
        <v>4</v>
      </c>
      <c r="EB76" s="7" t="str">
        <f>'AS400'!DY76</f>
        <v>PUDS</v>
      </c>
      <c r="EC76" s="7">
        <f>'AS400'!DZ76</f>
        <v>100</v>
      </c>
      <c r="ED76" s="7">
        <f>'AS400'!EA76</f>
        <v>20180301</v>
      </c>
      <c r="EE76" s="7">
        <f>'AS400'!EB76</f>
        <v>20180301</v>
      </c>
      <c r="EF76" s="7" t="str">
        <f>'AS400'!EC76</f>
        <v>S</v>
      </c>
      <c r="EG76" s="7" t="str">
        <f>'AS400'!ED76</f>
        <v>MS</v>
      </c>
      <c r="EH76" s="7">
        <f>'AS400'!EE76</f>
        <v>20180301</v>
      </c>
      <c r="EI76" s="7">
        <f>'AS400'!EF76</f>
        <v>0</v>
      </c>
      <c r="EJ76" s="7">
        <f>'AS400'!EG76</f>
        <v>0</v>
      </c>
      <c r="EK76" s="7">
        <f>'AS400'!EH76</f>
        <v>0</v>
      </c>
      <c r="EL76" s="7">
        <f>'AS400'!EI76</f>
        <v>0</v>
      </c>
      <c r="EM76" s="7" t="str">
        <f>'AS400'!EJ76</f>
        <v>STLV</v>
      </c>
      <c r="EN76" s="7">
        <f>'AS400'!EK76</f>
        <v>818</v>
      </c>
      <c r="EO76" s="7">
        <f>'AS400'!EL76</f>
        <v>0</v>
      </c>
      <c r="EP76" s="7">
        <f>'AS400'!EM76</f>
        <v>12</v>
      </c>
      <c r="EQ76" s="7">
        <f>'AS400'!EN76</f>
        <v>20180201</v>
      </c>
      <c r="ER76" s="7">
        <f>'AS400'!EO76</f>
        <v>0</v>
      </c>
      <c r="ES76" s="7">
        <f>'AS400'!EP76</f>
        <v>0</v>
      </c>
      <c r="ET76" s="7">
        <f>'AS400'!EQ76</f>
        <v>5</v>
      </c>
      <c r="EV76" s="7">
        <f>'AS400'!ER76</f>
        <v>27</v>
      </c>
      <c r="EW76" s="7">
        <f>'AS400'!ES76</f>
        <v>0</v>
      </c>
      <c r="EX76" s="7">
        <f>'AS400'!ET76</f>
        <v>0</v>
      </c>
      <c r="EY76" s="7">
        <f>'AS400'!EU76</f>
        <v>0</v>
      </c>
      <c r="EZ76" s="7">
        <f>'AS400'!EV76</f>
        <v>0</v>
      </c>
      <c r="FA76" s="7">
        <f>'AS400'!EW76</f>
        <v>0</v>
      </c>
      <c r="FB76" s="7">
        <f>'AS400'!EX76</f>
        <v>0</v>
      </c>
      <c r="FC76" s="7">
        <f>'AS400'!EY76</f>
        <v>0</v>
      </c>
      <c r="FD76" s="7">
        <f>'AS400'!EZ76</f>
        <v>0</v>
      </c>
      <c r="FE76" s="7">
        <f>'AS400'!FA76</f>
        <v>0</v>
      </c>
      <c r="FF76" s="7">
        <f>'AS400'!FB76</f>
        <v>0</v>
      </c>
      <c r="FG76" s="7">
        <f>'AS400'!FC76</f>
        <v>0</v>
      </c>
      <c r="FH76" s="7">
        <f>'AS400'!FD76</f>
        <v>0</v>
      </c>
      <c r="FI76" s="7">
        <f>'AS400'!FE76</f>
        <v>0</v>
      </c>
      <c r="FJ76" s="7">
        <f>'AS400'!FF76</f>
        <v>0</v>
      </c>
      <c r="FK76" s="7">
        <f>'AS400'!FG76</f>
        <v>0</v>
      </c>
      <c r="FL76" s="7">
        <f>'AS400'!FH76</f>
        <v>0</v>
      </c>
      <c r="FM76" s="7">
        <f>'AS400'!FI76</f>
        <v>1</v>
      </c>
      <c r="FN76" s="7">
        <f>'AS400'!FJ76</f>
        <v>1</v>
      </c>
      <c r="FO76" s="7">
        <f>'AS400'!FO76</f>
        <v>0</v>
      </c>
      <c r="FP76" s="7">
        <f>'AS400'!FP76</f>
        <v>4</v>
      </c>
      <c r="FQ76" s="7">
        <f>'AS400'!FQ76</f>
        <v>1</v>
      </c>
      <c r="FR76" s="7">
        <f>'AS400'!FR76</f>
        <v>1</v>
      </c>
      <c r="FS76" s="13">
        <f>'AS400'!FO76</f>
        <v>0</v>
      </c>
    </row>
    <row r="77" spans="1:175">
      <c r="A77" s="7">
        <f>'AS400'!A77</f>
        <v>71</v>
      </c>
      <c r="B77" s="7">
        <f>'AS400'!B77</f>
        <v>20190301</v>
      </c>
      <c r="C77" s="7">
        <f>'AS400'!C77</f>
        <v>0</v>
      </c>
      <c r="D77" s="7" t="str">
        <f>'AS400'!D77</f>
        <v>N</v>
      </c>
      <c r="E77" s="7" t="str">
        <f>'AS400'!E77</f>
        <v>N</v>
      </c>
      <c r="F77" s="7" t="str">
        <f>'AS400'!F77</f>
        <v>Y</v>
      </c>
      <c r="G77" s="7">
        <f>'AS400'!G77</f>
        <v>0</v>
      </c>
      <c r="H77" s="14"/>
      <c r="I77" s="7" t="str">
        <f>'AS400'!I77</f>
        <v>RSA</v>
      </c>
      <c r="J77" s="7" t="str">
        <f>'AS400'!J77</f>
        <v>METR</v>
      </c>
      <c r="K77" s="7" t="str">
        <f>'AS400'!K77</f>
        <v>N</v>
      </c>
      <c r="L77" s="7">
        <f>'AS400'!L77</f>
        <v>4</v>
      </c>
      <c r="M77" s="8">
        <f>'AS400'!M77</f>
        <v>1</v>
      </c>
      <c r="N77" s="7">
        <f>'AS400'!N77</f>
        <v>1</v>
      </c>
      <c r="O77" s="7" t="str">
        <f>'AS400'!O77</f>
        <v>MFSP</v>
      </c>
      <c r="P77" s="7">
        <f>'AS400'!P77</f>
        <v>100</v>
      </c>
      <c r="Q77" s="7">
        <f>'AS400'!Q77</f>
        <v>20180301</v>
      </c>
      <c r="R77" s="7">
        <f>'AS400'!R77</f>
        <v>20180301</v>
      </c>
      <c r="S77" s="7" t="str">
        <f>'AS400'!S77</f>
        <v>M</v>
      </c>
      <c r="T77" s="7" t="str">
        <f>'AS400'!T77</f>
        <v>MN</v>
      </c>
      <c r="U77" s="7">
        <f>'AS400'!U77</f>
        <v>20190301</v>
      </c>
      <c r="V77" s="7">
        <f>'AS400'!V77</f>
        <v>6</v>
      </c>
      <c r="W77" s="7">
        <f>'AS400'!W77</f>
        <v>6</v>
      </c>
      <c r="X77" s="7" t="str">
        <f>'AS400'!X77</f>
        <v>MFIX</v>
      </c>
      <c r="Y77" s="7">
        <f>'AS400'!Y77</f>
        <v>0</v>
      </c>
      <c r="Z77" s="7" t="str">
        <f>'AS400'!Z77</f>
        <v>STLV</v>
      </c>
      <c r="AA77" s="7">
        <f>'AS400'!AA77</f>
        <v>818</v>
      </c>
      <c r="AB77" s="7">
        <f>'AS400'!AB77</f>
        <v>0</v>
      </c>
      <c r="AC77" s="7">
        <f>'AS400'!AC77</f>
        <v>12</v>
      </c>
      <c r="AD77" s="7">
        <f>'AS400'!AD77</f>
        <v>20180201</v>
      </c>
      <c r="AE77" s="7">
        <f>'AS400'!AE77</f>
        <v>0</v>
      </c>
      <c r="AF77" s="7">
        <f>'AS400'!AF77</f>
        <v>40000</v>
      </c>
      <c r="AG77" s="7">
        <f>'AS400'!AG77</f>
        <v>64</v>
      </c>
      <c r="AI77" s="7">
        <f>'AS400'!AH77</f>
        <v>28</v>
      </c>
      <c r="AJ77" s="7">
        <f>'AS400'!AI77</f>
        <v>0</v>
      </c>
      <c r="AK77" s="7">
        <f>'AS400'!AJ77</f>
        <v>0</v>
      </c>
      <c r="AL77" s="7">
        <f>'AS400'!AK77</f>
        <v>0</v>
      </c>
      <c r="AM77" s="7">
        <f>'AS400'!AL77</f>
        <v>0</v>
      </c>
      <c r="AN77" s="7">
        <f>'AS400'!AM77</f>
        <v>0</v>
      </c>
      <c r="AO77" s="7">
        <f>'AS400'!AN77</f>
        <v>0</v>
      </c>
      <c r="AP77" s="7">
        <f>'AS400'!AO77</f>
        <v>0</v>
      </c>
      <c r="AQ77" s="7">
        <f>'AS400'!AP77</f>
        <v>0</v>
      </c>
      <c r="AR77" s="7">
        <f>'AS400'!AQ77</f>
        <v>0</v>
      </c>
      <c r="AS77" s="7">
        <f>'AS400'!AR77</f>
        <v>0</v>
      </c>
      <c r="AT77" s="7">
        <f>'AS400'!AS77</f>
        <v>0</v>
      </c>
      <c r="AU77" s="7">
        <f>'AS400'!AT77</f>
        <v>0</v>
      </c>
      <c r="AV77" s="7">
        <f>'AS400'!AU77</f>
        <v>0</v>
      </c>
      <c r="AW77" s="7">
        <f>'AS400'!AV77</f>
        <v>0</v>
      </c>
      <c r="AX77" s="7">
        <f>'AS400'!AW77</f>
        <v>0</v>
      </c>
      <c r="AY77" s="7">
        <f>'AS400'!AX77</f>
        <v>0</v>
      </c>
      <c r="AZ77" s="8">
        <f>'AS400'!AY77</f>
        <v>1</v>
      </c>
      <c r="BA77" s="7">
        <f>'AS400'!AZ77</f>
        <v>2</v>
      </c>
      <c r="BB77" s="7" t="str">
        <f>'AS400'!BA77</f>
        <v>PURO</v>
      </c>
      <c r="BC77" s="7">
        <f>'AS400'!BB77</f>
        <v>100</v>
      </c>
      <c r="BD77" s="7">
        <f>'AS400'!BC77</f>
        <v>20180301</v>
      </c>
      <c r="BE77" s="7">
        <f>'AS400'!BD77</f>
        <v>20180301</v>
      </c>
      <c r="BF77" s="7" t="str">
        <f>'AS400'!BE77</f>
        <v>S</v>
      </c>
      <c r="BG77" s="7" t="str">
        <f>'AS400'!BF77</f>
        <v>ME</v>
      </c>
      <c r="BH77" s="7">
        <f>'AS400'!BG77</f>
        <v>20180301</v>
      </c>
      <c r="BI77" s="7">
        <f>'AS400'!BH77</f>
        <v>0</v>
      </c>
      <c r="BJ77" s="7">
        <f>'AS400'!BI77</f>
        <v>0</v>
      </c>
      <c r="BK77" s="7">
        <f>'AS400'!BJ77</f>
        <v>0</v>
      </c>
      <c r="BL77" s="7">
        <f>'AS400'!BK77</f>
        <v>0</v>
      </c>
      <c r="BM77" s="7" t="str">
        <f>'AS400'!BL77</f>
        <v>STLV</v>
      </c>
      <c r="BN77" s="7">
        <f>'AS400'!BM77</f>
        <v>818</v>
      </c>
      <c r="BO77" s="7">
        <f>'AS400'!BN77</f>
        <v>0</v>
      </c>
      <c r="BP77" s="7">
        <f>'AS400'!BO77</f>
        <v>12</v>
      </c>
      <c r="BQ77" s="7">
        <f>'AS400'!BP77</f>
        <v>20180201</v>
      </c>
      <c r="BR77" s="7">
        <f>'AS400'!BQ77</f>
        <v>0</v>
      </c>
      <c r="BS77" s="7">
        <f>'AS400'!BR77</f>
        <v>0</v>
      </c>
      <c r="BT77" s="7">
        <f>'AS400'!BS77</f>
        <v>6</v>
      </c>
      <c r="BV77" s="7">
        <f>'AS400'!BT77</f>
        <v>28</v>
      </c>
      <c r="BW77" s="7">
        <f>'AS400'!BU77</f>
        <v>0</v>
      </c>
      <c r="BX77" s="7">
        <f>'AS400'!BV77</f>
        <v>0</v>
      </c>
      <c r="BY77" s="7">
        <f>'AS400'!BW77</f>
        <v>0</v>
      </c>
      <c r="BZ77" s="7">
        <f>'AS400'!BX77</f>
        <v>0</v>
      </c>
      <c r="CA77" s="7">
        <f>'AS400'!BY77</f>
        <v>0</v>
      </c>
      <c r="CB77" s="7">
        <f>'AS400'!BZ77</f>
        <v>0</v>
      </c>
      <c r="CC77" s="7">
        <f>'AS400'!CA77</f>
        <v>0</v>
      </c>
      <c r="CD77" s="7">
        <f>'AS400'!CB77</f>
        <v>0</v>
      </c>
      <c r="CE77" s="7">
        <f>'AS400'!CC77</f>
        <v>0</v>
      </c>
      <c r="CF77" s="7">
        <f>'AS400'!CD77</f>
        <v>0</v>
      </c>
      <c r="CG77" s="7">
        <f>'AS400'!CE77</f>
        <v>0</v>
      </c>
      <c r="CH77" s="7">
        <f>'AS400'!CF77</f>
        <v>0</v>
      </c>
      <c r="CI77" s="7">
        <f>'AS400'!CG77</f>
        <v>0</v>
      </c>
      <c r="CJ77" s="7">
        <f>'AS400'!CH77</f>
        <v>0</v>
      </c>
      <c r="CK77" s="7">
        <f>'AS400'!CI77</f>
        <v>0</v>
      </c>
      <c r="CL77" s="7">
        <f>'AS400'!CJ77</f>
        <v>0</v>
      </c>
      <c r="CM77" s="8">
        <f>'AS400'!CK77</f>
        <v>1</v>
      </c>
      <c r="CN77" s="7">
        <f>'AS400'!CL77</f>
        <v>3</v>
      </c>
      <c r="CO77" s="7" t="str">
        <f>'AS400'!CM77</f>
        <v>PUDT</v>
      </c>
      <c r="CP77" s="7">
        <f>'AS400'!CN77</f>
        <v>100</v>
      </c>
      <c r="CQ77" s="7">
        <f>'AS400'!CO77</f>
        <v>20180301</v>
      </c>
      <c r="CR77" s="7">
        <f>'AS400'!CP77</f>
        <v>20180301</v>
      </c>
      <c r="CS77" s="7" t="str">
        <f>'AS400'!CQ77</f>
        <v>S</v>
      </c>
      <c r="CT77" s="7" t="str">
        <f>'AS400'!CR77</f>
        <v>MT</v>
      </c>
      <c r="CU77" s="7">
        <f>'AS400'!CS77</f>
        <v>20180301</v>
      </c>
      <c r="CV77" s="7">
        <f>'AS400'!CT77</f>
        <v>0</v>
      </c>
      <c r="CW77" s="7">
        <f>'AS400'!CU77</f>
        <v>0</v>
      </c>
      <c r="CX77" s="7">
        <f>'AS400'!CV77</f>
        <v>0</v>
      </c>
      <c r="CY77" s="7">
        <f>'AS400'!CW77</f>
        <v>0</v>
      </c>
      <c r="CZ77" s="7" t="str">
        <f>'AS400'!CX77</f>
        <v>STLV</v>
      </c>
      <c r="DA77" s="7">
        <f>'AS400'!CY77</f>
        <v>818</v>
      </c>
      <c r="DB77" s="7">
        <f>'AS400'!CZ77</f>
        <v>0</v>
      </c>
      <c r="DC77" s="7">
        <f>'AS400'!DA77</f>
        <v>12</v>
      </c>
      <c r="DD77" s="7">
        <f>'AS400'!DB77</f>
        <v>20180201</v>
      </c>
      <c r="DE77" s="7">
        <f>'AS400'!DC77</f>
        <v>0</v>
      </c>
      <c r="DF77" s="7">
        <f>'AS400'!DD77</f>
        <v>0</v>
      </c>
      <c r="DG77" s="7">
        <f>'AS400'!DE77</f>
        <v>10</v>
      </c>
      <c r="DI77" s="7">
        <f>'AS400'!DF77</f>
        <v>28</v>
      </c>
      <c r="DJ77" s="7">
        <f>'AS400'!DG77</f>
        <v>0</v>
      </c>
      <c r="DK77" s="7">
        <f>'AS400'!DH77</f>
        <v>0</v>
      </c>
      <c r="DL77" s="7">
        <f>'AS400'!DI77</f>
        <v>0</v>
      </c>
      <c r="DM77" s="7">
        <f>'AS400'!DJ77</f>
        <v>0</v>
      </c>
      <c r="DN77" s="7">
        <f>'AS400'!DK77</f>
        <v>0</v>
      </c>
      <c r="DO77" s="7">
        <f>'AS400'!DL77</f>
        <v>0</v>
      </c>
      <c r="DP77" s="7">
        <f>'AS400'!DM77</f>
        <v>0</v>
      </c>
      <c r="DQ77" s="7">
        <f>'AS400'!DN77</f>
        <v>0</v>
      </c>
      <c r="DR77" s="7">
        <f>'AS400'!DO77</f>
        <v>0</v>
      </c>
      <c r="DS77" s="7">
        <f>'AS400'!DP77</f>
        <v>0</v>
      </c>
      <c r="DT77" s="7">
        <f>'AS400'!DQ77</f>
        <v>0</v>
      </c>
      <c r="DU77" s="7">
        <f>'AS400'!DR77</f>
        <v>0</v>
      </c>
      <c r="DV77" s="7">
        <f>'AS400'!DS77</f>
        <v>0</v>
      </c>
      <c r="DW77" s="7">
        <f>'AS400'!DT77</f>
        <v>0</v>
      </c>
      <c r="DX77" s="7">
        <f>'AS400'!DU77</f>
        <v>0</v>
      </c>
      <c r="DY77" s="7">
        <f>'AS400'!DV77</f>
        <v>0</v>
      </c>
      <c r="DZ77" s="8">
        <f>'AS400'!DW77</f>
        <v>1</v>
      </c>
      <c r="EA77" s="7">
        <f>'AS400'!DX77</f>
        <v>4</v>
      </c>
      <c r="EB77" s="7" t="str">
        <f>'AS400'!DY77</f>
        <v>PUDS</v>
      </c>
      <c r="EC77" s="7">
        <f>'AS400'!DZ77</f>
        <v>100</v>
      </c>
      <c r="ED77" s="7">
        <f>'AS400'!EA77</f>
        <v>20180301</v>
      </c>
      <c r="EE77" s="7">
        <f>'AS400'!EB77</f>
        <v>20180301</v>
      </c>
      <c r="EF77" s="7" t="str">
        <f>'AS400'!EC77</f>
        <v>S</v>
      </c>
      <c r="EG77" s="7" t="str">
        <f>'AS400'!ED77</f>
        <v>MS</v>
      </c>
      <c r="EH77" s="7">
        <f>'AS400'!EE77</f>
        <v>20180301</v>
      </c>
      <c r="EI77" s="7">
        <f>'AS400'!EF77</f>
        <v>0</v>
      </c>
      <c r="EJ77" s="7">
        <f>'AS400'!EG77</f>
        <v>0</v>
      </c>
      <c r="EK77" s="7">
        <f>'AS400'!EH77</f>
        <v>0</v>
      </c>
      <c r="EL77" s="7">
        <f>'AS400'!EI77</f>
        <v>0</v>
      </c>
      <c r="EM77" s="7" t="str">
        <f>'AS400'!EJ77</f>
        <v>STLV</v>
      </c>
      <c r="EN77" s="7">
        <f>'AS400'!EK77</f>
        <v>818</v>
      </c>
      <c r="EO77" s="7">
        <f>'AS400'!EL77</f>
        <v>0</v>
      </c>
      <c r="EP77" s="7">
        <f>'AS400'!EM77</f>
        <v>12</v>
      </c>
      <c r="EQ77" s="7">
        <f>'AS400'!EN77</f>
        <v>20180201</v>
      </c>
      <c r="ER77" s="7">
        <f>'AS400'!EO77</f>
        <v>0</v>
      </c>
      <c r="ES77" s="7">
        <f>'AS400'!EP77</f>
        <v>0</v>
      </c>
      <c r="ET77" s="7">
        <f>'AS400'!EQ77</f>
        <v>5</v>
      </c>
      <c r="EV77" s="7">
        <f>'AS400'!ER77</f>
        <v>28</v>
      </c>
      <c r="EW77" s="7">
        <f>'AS400'!ES77</f>
        <v>0</v>
      </c>
      <c r="EX77" s="7">
        <f>'AS400'!ET77</f>
        <v>0</v>
      </c>
      <c r="EY77" s="7">
        <f>'AS400'!EU77</f>
        <v>0</v>
      </c>
      <c r="EZ77" s="7">
        <f>'AS400'!EV77</f>
        <v>0</v>
      </c>
      <c r="FA77" s="7">
        <f>'AS400'!EW77</f>
        <v>0</v>
      </c>
      <c r="FB77" s="7">
        <f>'AS400'!EX77</f>
        <v>0</v>
      </c>
      <c r="FC77" s="7">
        <f>'AS400'!EY77</f>
        <v>0</v>
      </c>
      <c r="FD77" s="7">
        <f>'AS400'!EZ77</f>
        <v>0</v>
      </c>
      <c r="FE77" s="7">
        <f>'AS400'!FA77</f>
        <v>0</v>
      </c>
      <c r="FF77" s="7">
        <f>'AS400'!FB77</f>
        <v>0</v>
      </c>
      <c r="FG77" s="7">
        <f>'AS400'!FC77</f>
        <v>0</v>
      </c>
      <c r="FH77" s="7">
        <f>'AS400'!FD77</f>
        <v>0</v>
      </c>
      <c r="FI77" s="7">
        <f>'AS400'!FE77</f>
        <v>0</v>
      </c>
      <c r="FJ77" s="7">
        <f>'AS400'!FF77</f>
        <v>0</v>
      </c>
      <c r="FK77" s="7">
        <f>'AS400'!FG77</f>
        <v>0</v>
      </c>
      <c r="FL77" s="7">
        <f>'AS400'!FH77</f>
        <v>0</v>
      </c>
      <c r="FM77" s="7">
        <f>'AS400'!FI77</f>
        <v>1</v>
      </c>
      <c r="FN77" s="7">
        <f>'AS400'!FJ77</f>
        <v>1</v>
      </c>
      <c r="FO77" s="7">
        <f>'AS400'!FO77</f>
        <v>0</v>
      </c>
      <c r="FP77" s="7">
        <f>'AS400'!FP77</f>
        <v>4</v>
      </c>
      <c r="FQ77" s="7">
        <f>'AS400'!FQ77</f>
        <v>1</v>
      </c>
      <c r="FR77" s="7">
        <f>'AS400'!FR77</f>
        <v>1</v>
      </c>
      <c r="FS77" s="13">
        <f>'AS400'!FO77</f>
        <v>0</v>
      </c>
    </row>
    <row r="78" spans="1:175">
      <c r="A78" s="7">
        <f>'AS400'!A78</f>
        <v>72</v>
      </c>
      <c r="B78" s="7">
        <f>'AS400'!B78</f>
        <v>20190301</v>
      </c>
      <c r="C78" s="7">
        <f>'AS400'!C78</f>
        <v>0</v>
      </c>
      <c r="D78" s="7" t="str">
        <f>'AS400'!D78</f>
        <v>N</v>
      </c>
      <c r="E78" s="7" t="str">
        <f>'AS400'!E78</f>
        <v>N</v>
      </c>
      <c r="F78" s="7" t="str">
        <f>'AS400'!F78</f>
        <v>Y</v>
      </c>
      <c r="G78" s="7">
        <f>'AS400'!G78</f>
        <v>0</v>
      </c>
      <c r="H78" s="14"/>
      <c r="I78" s="7" t="str">
        <f>'AS400'!I78</f>
        <v>RSA</v>
      </c>
      <c r="J78" s="7" t="str">
        <f>'AS400'!J78</f>
        <v>METR</v>
      </c>
      <c r="K78" s="7" t="str">
        <f>'AS400'!K78</f>
        <v>N</v>
      </c>
      <c r="L78" s="7">
        <f>'AS400'!L78</f>
        <v>4</v>
      </c>
      <c r="M78" s="8">
        <f>'AS400'!M78</f>
        <v>1</v>
      </c>
      <c r="N78" s="7">
        <f>'AS400'!N78</f>
        <v>1</v>
      </c>
      <c r="O78" s="7" t="str">
        <f>'AS400'!O78</f>
        <v>MFSP</v>
      </c>
      <c r="P78" s="7">
        <f>'AS400'!P78</f>
        <v>100</v>
      </c>
      <c r="Q78" s="7">
        <f>'AS400'!Q78</f>
        <v>20180301</v>
      </c>
      <c r="R78" s="7">
        <f>'AS400'!R78</f>
        <v>20180301</v>
      </c>
      <c r="S78" s="7" t="str">
        <f>'AS400'!S78</f>
        <v>M</v>
      </c>
      <c r="T78" s="7" t="str">
        <f>'AS400'!T78</f>
        <v>MN</v>
      </c>
      <c r="U78" s="7">
        <f>'AS400'!U78</f>
        <v>20190301</v>
      </c>
      <c r="V78" s="7">
        <f>'AS400'!V78</f>
        <v>6</v>
      </c>
      <c r="W78" s="7">
        <f>'AS400'!W78</f>
        <v>6</v>
      </c>
      <c r="X78" s="7" t="str">
        <f>'AS400'!X78</f>
        <v>MFIX</v>
      </c>
      <c r="Y78" s="7">
        <f>'AS400'!Y78</f>
        <v>0</v>
      </c>
      <c r="Z78" s="7" t="str">
        <f>'AS400'!Z78</f>
        <v>STLV</v>
      </c>
      <c r="AA78" s="7">
        <f>'AS400'!AA78</f>
        <v>818</v>
      </c>
      <c r="AB78" s="7">
        <f>'AS400'!AB78</f>
        <v>0</v>
      </c>
      <c r="AC78" s="7">
        <f>'AS400'!AC78</f>
        <v>12</v>
      </c>
      <c r="AD78" s="7">
        <f>'AS400'!AD78</f>
        <v>20180201</v>
      </c>
      <c r="AE78" s="7">
        <f>'AS400'!AE78</f>
        <v>0</v>
      </c>
      <c r="AF78" s="7">
        <f>'AS400'!AF78</f>
        <v>45000</v>
      </c>
      <c r="AG78" s="7">
        <f>'AS400'!AG78</f>
        <v>68</v>
      </c>
      <c r="AI78" s="7">
        <f>'AS400'!AH78</f>
        <v>29</v>
      </c>
      <c r="AJ78" s="7">
        <f>'AS400'!AI78</f>
        <v>0</v>
      </c>
      <c r="AK78" s="7">
        <f>'AS400'!AJ78</f>
        <v>0</v>
      </c>
      <c r="AL78" s="7">
        <f>'AS400'!AK78</f>
        <v>0</v>
      </c>
      <c r="AM78" s="7">
        <f>'AS400'!AL78</f>
        <v>0</v>
      </c>
      <c r="AN78" s="7">
        <f>'AS400'!AM78</f>
        <v>0</v>
      </c>
      <c r="AO78" s="7">
        <f>'AS400'!AN78</f>
        <v>0</v>
      </c>
      <c r="AP78" s="7">
        <f>'AS400'!AO78</f>
        <v>0</v>
      </c>
      <c r="AQ78" s="7">
        <f>'AS400'!AP78</f>
        <v>0</v>
      </c>
      <c r="AR78" s="7">
        <f>'AS400'!AQ78</f>
        <v>0</v>
      </c>
      <c r="AS78" s="7">
        <f>'AS400'!AR78</f>
        <v>0</v>
      </c>
      <c r="AT78" s="7">
        <f>'AS400'!AS78</f>
        <v>0</v>
      </c>
      <c r="AU78" s="7">
        <f>'AS400'!AT78</f>
        <v>0</v>
      </c>
      <c r="AV78" s="7">
        <f>'AS400'!AU78</f>
        <v>0</v>
      </c>
      <c r="AW78" s="7">
        <f>'AS400'!AV78</f>
        <v>0</v>
      </c>
      <c r="AX78" s="7">
        <f>'AS400'!AW78</f>
        <v>0</v>
      </c>
      <c r="AY78" s="7">
        <f>'AS400'!AX78</f>
        <v>0</v>
      </c>
      <c r="AZ78" s="8">
        <f>'AS400'!AY78</f>
        <v>1</v>
      </c>
      <c r="BA78" s="7">
        <f>'AS400'!AZ78</f>
        <v>2</v>
      </c>
      <c r="BB78" s="7" t="str">
        <f>'AS400'!BA78</f>
        <v>PURO</v>
      </c>
      <c r="BC78" s="7">
        <f>'AS400'!BB78</f>
        <v>100</v>
      </c>
      <c r="BD78" s="7">
        <f>'AS400'!BC78</f>
        <v>20180301</v>
      </c>
      <c r="BE78" s="7">
        <f>'AS400'!BD78</f>
        <v>20180301</v>
      </c>
      <c r="BF78" s="7" t="str">
        <f>'AS400'!BE78</f>
        <v>S</v>
      </c>
      <c r="BG78" s="7" t="str">
        <f>'AS400'!BF78</f>
        <v>ME</v>
      </c>
      <c r="BH78" s="7">
        <f>'AS400'!BG78</f>
        <v>20180301</v>
      </c>
      <c r="BI78" s="7">
        <f>'AS400'!BH78</f>
        <v>0</v>
      </c>
      <c r="BJ78" s="7">
        <f>'AS400'!BI78</f>
        <v>0</v>
      </c>
      <c r="BK78" s="7">
        <f>'AS400'!BJ78</f>
        <v>0</v>
      </c>
      <c r="BL78" s="7">
        <f>'AS400'!BK78</f>
        <v>0</v>
      </c>
      <c r="BM78" s="7" t="str">
        <f>'AS400'!BL78</f>
        <v>STLV</v>
      </c>
      <c r="BN78" s="7">
        <f>'AS400'!BM78</f>
        <v>818</v>
      </c>
      <c r="BO78" s="7">
        <f>'AS400'!BN78</f>
        <v>0</v>
      </c>
      <c r="BP78" s="7">
        <f>'AS400'!BO78</f>
        <v>12</v>
      </c>
      <c r="BQ78" s="7">
        <f>'AS400'!BP78</f>
        <v>20180201</v>
      </c>
      <c r="BR78" s="7">
        <f>'AS400'!BQ78</f>
        <v>0</v>
      </c>
      <c r="BS78" s="7">
        <f>'AS400'!BR78</f>
        <v>0</v>
      </c>
      <c r="BT78" s="7">
        <f>'AS400'!BS78</f>
        <v>6</v>
      </c>
      <c r="BV78" s="7">
        <f>'AS400'!BT78</f>
        <v>29</v>
      </c>
      <c r="BW78" s="7">
        <f>'AS400'!BU78</f>
        <v>0</v>
      </c>
      <c r="BX78" s="7">
        <f>'AS400'!BV78</f>
        <v>0</v>
      </c>
      <c r="BY78" s="7">
        <f>'AS400'!BW78</f>
        <v>0</v>
      </c>
      <c r="BZ78" s="7">
        <f>'AS400'!BX78</f>
        <v>0</v>
      </c>
      <c r="CA78" s="7">
        <f>'AS400'!BY78</f>
        <v>0</v>
      </c>
      <c r="CB78" s="7">
        <f>'AS400'!BZ78</f>
        <v>0</v>
      </c>
      <c r="CC78" s="7">
        <f>'AS400'!CA78</f>
        <v>0</v>
      </c>
      <c r="CD78" s="7">
        <f>'AS400'!CB78</f>
        <v>0</v>
      </c>
      <c r="CE78" s="7">
        <f>'AS400'!CC78</f>
        <v>0</v>
      </c>
      <c r="CF78" s="7">
        <f>'AS400'!CD78</f>
        <v>0</v>
      </c>
      <c r="CG78" s="7">
        <f>'AS400'!CE78</f>
        <v>0</v>
      </c>
      <c r="CH78" s="7">
        <f>'AS400'!CF78</f>
        <v>0</v>
      </c>
      <c r="CI78" s="7">
        <f>'AS400'!CG78</f>
        <v>0</v>
      </c>
      <c r="CJ78" s="7">
        <f>'AS400'!CH78</f>
        <v>0</v>
      </c>
      <c r="CK78" s="7">
        <f>'AS400'!CI78</f>
        <v>0</v>
      </c>
      <c r="CL78" s="7">
        <f>'AS400'!CJ78</f>
        <v>0</v>
      </c>
      <c r="CM78" s="8">
        <f>'AS400'!CK78</f>
        <v>1</v>
      </c>
      <c r="CN78" s="7">
        <f>'AS400'!CL78</f>
        <v>3</v>
      </c>
      <c r="CO78" s="7" t="str">
        <f>'AS400'!CM78</f>
        <v>PUDT</v>
      </c>
      <c r="CP78" s="7">
        <f>'AS400'!CN78</f>
        <v>100</v>
      </c>
      <c r="CQ78" s="7">
        <f>'AS400'!CO78</f>
        <v>20180301</v>
      </c>
      <c r="CR78" s="7">
        <f>'AS400'!CP78</f>
        <v>20180301</v>
      </c>
      <c r="CS78" s="7" t="str">
        <f>'AS400'!CQ78</f>
        <v>S</v>
      </c>
      <c r="CT78" s="7" t="str">
        <f>'AS400'!CR78</f>
        <v>MT</v>
      </c>
      <c r="CU78" s="7">
        <f>'AS400'!CS78</f>
        <v>20180301</v>
      </c>
      <c r="CV78" s="7">
        <f>'AS400'!CT78</f>
        <v>0</v>
      </c>
      <c r="CW78" s="7">
        <f>'AS400'!CU78</f>
        <v>0</v>
      </c>
      <c r="CX78" s="7">
        <f>'AS400'!CV78</f>
        <v>0</v>
      </c>
      <c r="CY78" s="7">
        <f>'AS400'!CW78</f>
        <v>0</v>
      </c>
      <c r="CZ78" s="7" t="str">
        <f>'AS400'!CX78</f>
        <v>STLV</v>
      </c>
      <c r="DA78" s="7">
        <f>'AS400'!CY78</f>
        <v>818</v>
      </c>
      <c r="DB78" s="7">
        <f>'AS400'!CZ78</f>
        <v>0</v>
      </c>
      <c r="DC78" s="7">
        <f>'AS400'!DA78</f>
        <v>12</v>
      </c>
      <c r="DD78" s="7">
        <f>'AS400'!DB78</f>
        <v>20180201</v>
      </c>
      <c r="DE78" s="7">
        <f>'AS400'!DC78</f>
        <v>0</v>
      </c>
      <c r="DF78" s="7">
        <f>'AS400'!DD78</f>
        <v>0</v>
      </c>
      <c r="DG78" s="7">
        <f>'AS400'!DE78</f>
        <v>10</v>
      </c>
      <c r="DI78" s="7">
        <f>'AS400'!DF78</f>
        <v>29</v>
      </c>
      <c r="DJ78" s="7">
        <f>'AS400'!DG78</f>
        <v>0</v>
      </c>
      <c r="DK78" s="7">
        <f>'AS400'!DH78</f>
        <v>0</v>
      </c>
      <c r="DL78" s="7">
        <f>'AS400'!DI78</f>
        <v>0</v>
      </c>
      <c r="DM78" s="7">
        <f>'AS400'!DJ78</f>
        <v>0</v>
      </c>
      <c r="DN78" s="7">
        <f>'AS400'!DK78</f>
        <v>0</v>
      </c>
      <c r="DO78" s="7">
        <f>'AS400'!DL78</f>
        <v>0</v>
      </c>
      <c r="DP78" s="7">
        <f>'AS400'!DM78</f>
        <v>0</v>
      </c>
      <c r="DQ78" s="7">
        <f>'AS400'!DN78</f>
        <v>0</v>
      </c>
      <c r="DR78" s="7">
        <f>'AS400'!DO78</f>
        <v>0</v>
      </c>
      <c r="DS78" s="7">
        <f>'AS400'!DP78</f>
        <v>0</v>
      </c>
      <c r="DT78" s="7">
        <f>'AS400'!DQ78</f>
        <v>0</v>
      </c>
      <c r="DU78" s="7">
        <f>'AS400'!DR78</f>
        <v>0</v>
      </c>
      <c r="DV78" s="7">
        <f>'AS400'!DS78</f>
        <v>0</v>
      </c>
      <c r="DW78" s="7">
        <f>'AS400'!DT78</f>
        <v>0</v>
      </c>
      <c r="DX78" s="7">
        <f>'AS400'!DU78</f>
        <v>0</v>
      </c>
      <c r="DY78" s="7">
        <f>'AS400'!DV78</f>
        <v>0</v>
      </c>
      <c r="DZ78" s="8">
        <f>'AS400'!DW78</f>
        <v>1</v>
      </c>
      <c r="EA78" s="7">
        <f>'AS400'!DX78</f>
        <v>4</v>
      </c>
      <c r="EB78" s="7" t="str">
        <f>'AS400'!DY78</f>
        <v>PUDS</v>
      </c>
      <c r="EC78" s="7">
        <f>'AS400'!DZ78</f>
        <v>100</v>
      </c>
      <c r="ED78" s="7">
        <f>'AS400'!EA78</f>
        <v>20180301</v>
      </c>
      <c r="EE78" s="7">
        <f>'AS400'!EB78</f>
        <v>20180301</v>
      </c>
      <c r="EF78" s="7" t="str">
        <f>'AS400'!EC78</f>
        <v>S</v>
      </c>
      <c r="EG78" s="7" t="str">
        <f>'AS400'!ED78</f>
        <v>MS</v>
      </c>
      <c r="EH78" s="7">
        <f>'AS400'!EE78</f>
        <v>20180301</v>
      </c>
      <c r="EI78" s="7">
        <f>'AS400'!EF78</f>
        <v>0</v>
      </c>
      <c r="EJ78" s="7">
        <f>'AS400'!EG78</f>
        <v>0</v>
      </c>
      <c r="EK78" s="7">
        <f>'AS400'!EH78</f>
        <v>0</v>
      </c>
      <c r="EL78" s="7">
        <f>'AS400'!EI78</f>
        <v>0</v>
      </c>
      <c r="EM78" s="7" t="str">
        <f>'AS400'!EJ78</f>
        <v>STLV</v>
      </c>
      <c r="EN78" s="7">
        <f>'AS400'!EK78</f>
        <v>818</v>
      </c>
      <c r="EO78" s="7">
        <f>'AS400'!EL78</f>
        <v>0</v>
      </c>
      <c r="EP78" s="7">
        <f>'AS400'!EM78</f>
        <v>12</v>
      </c>
      <c r="EQ78" s="7">
        <f>'AS400'!EN78</f>
        <v>20180201</v>
      </c>
      <c r="ER78" s="7">
        <f>'AS400'!EO78</f>
        <v>0</v>
      </c>
      <c r="ES78" s="7">
        <f>'AS400'!EP78</f>
        <v>0</v>
      </c>
      <c r="ET78" s="7">
        <f>'AS400'!EQ78</f>
        <v>5</v>
      </c>
      <c r="EV78" s="7">
        <f>'AS400'!ER78</f>
        <v>29</v>
      </c>
      <c r="EW78" s="7">
        <f>'AS400'!ES78</f>
        <v>0</v>
      </c>
      <c r="EX78" s="7">
        <f>'AS400'!ET78</f>
        <v>0</v>
      </c>
      <c r="EY78" s="7">
        <f>'AS400'!EU78</f>
        <v>0</v>
      </c>
      <c r="EZ78" s="7">
        <f>'AS400'!EV78</f>
        <v>0</v>
      </c>
      <c r="FA78" s="7">
        <f>'AS400'!EW78</f>
        <v>0</v>
      </c>
      <c r="FB78" s="7">
        <f>'AS400'!EX78</f>
        <v>0</v>
      </c>
      <c r="FC78" s="7">
        <f>'AS400'!EY78</f>
        <v>0</v>
      </c>
      <c r="FD78" s="7">
        <f>'AS400'!EZ78</f>
        <v>0</v>
      </c>
      <c r="FE78" s="7">
        <f>'AS400'!FA78</f>
        <v>0</v>
      </c>
      <c r="FF78" s="7">
        <f>'AS400'!FB78</f>
        <v>0</v>
      </c>
      <c r="FG78" s="7">
        <f>'AS400'!FC78</f>
        <v>0</v>
      </c>
      <c r="FH78" s="7">
        <f>'AS400'!FD78</f>
        <v>0</v>
      </c>
      <c r="FI78" s="7">
        <f>'AS400'!FE78</f>
        <v>0</v>
      </c>
      <c r="FJ78" s="7">
        <f>'AS400'!FF78</f>
        <v>0</v>
      </c>
      <c r="FK78" s="7">
        <f>'AS400'!FG78</f>
        <v>0</v>
      </c>
      <c r="FL78" s="7">
        <f>'AS400'!FH78</f>
        <v>0</v>
      </c>
      <c r="FM78" s="7">
        <f>'AS400'!FI78</f>
        <v>1</v>
      </c>
      <c r="FN78" s="7">
        <f>'AS400'!FJ78</f>
        <v>1</v>
      </c>
      <c r="FO78" s="7">
        <f>'AS400'!FO78</f>
        <v>0</v>
      </c>
      <c r="FP78" s="7">
        <f>'AS400'!FP78</f>
        <v>4</v>
      </c>
      <c r="FQ78" s="7">
        <f>'AS400'!FQ78</f>
        <v>1</v>
      </c>
      <c r="FR78" s="7">
        <f>'AS400'!FR78</f>
        <v>1</v>
      </c>
      <c r="FS78" s="13">
        <f>'AS400'!FO78</f>
        <v>0</v>
      </c>
    </row>
    <row r="79" spans="1:175">
      <c r="A79" s="7">
        <f>'AS400'!A79</f>
        <v>73</v>
      </c>
      <c r="B79" s="7">
        <f>'AS400'!B79</f>
        <v>20190301</v>
      </c>
      <c r="C79" s="7">
        <f>'AS400'!C79</f>
        <v>0</v>
      </c>
      <c r="D79" s="7" t="str">
        <f>'AS400'!D79</f>
        <v>N</v>
      </c>
      <c r="E79" s="7" t="str">
        <f>'AS400'!E79</f>
        <v>N</v>
      </c>
      <c r="F79" s="7" t="str">
        <f>'AS400'!F79</f>
        <v>Y</v>
      </c>
      <c r="G79" s="7">
        <f>'AS400'!G79</f>
        <v>0</v>
      </c>
      <c r="H79" s="14"/>
      <c r="I79" s="7" t="str">
        <f>'AS400'!I79</f>
        <v>RSA</v>
      </c>
      <c r="J79" s="7" t="str">
        <f>'AS400'!J79</f>
        <v>METR</v>
      </c>
      <c r="K79" s="7" t="str">
        <f>'AS400'!K79</f>
        <v>N</v>
      </c>
      <c r="L79" s="7">
        <f>'AS400'!L79</f>
        <v>4</v>
      </c>
      <c r="M79" s="8">
        <f>'AS400'!M79</f>
        <v>1</v>
      </c>
      <c r="N79" s="7">
        <f>'AS400'!N79</f>
        <v>1</v>
      </c>
      <c r="O79" s="7" t="str">
        <f>'AS400'!O79</f>
        <v>MFSP</v>
      </c>
      <c r="P79" s="7">
        <f>'AS400'!P79</f>
        <v>100</v>
      </c>
      <c r="Q79" s="7">
        <f>'AS400'!Q79</f>
        <v>20180301</v>
      </c>
      <c r="R79" s="7">
        <f>'AS400'!R79</f>
        <v>20180301</v>
      </c>
      <c r="S79" s="7" t="str">
        <f>'AS400'!S79</f>
        <v>M</v>
      </c>
      <c r="T79" s="7" t="str">
        <f>'AS400'!T79</f>
        <v>MN</v>
      </c>
      <c r="U79" s="7">
        <f>'AS400'!U79</f>
        <v>20190301</v>
      </c>
      <c r="V79" s="7">
        <f>'AS400'!V79</f>
        <v>6</v>
      </c>
      <c r="W79" s="7">
        <f>'AS400'!W79</f>
        <v>6</v>
      </c>
      <c r="X79" s="7" t="str">
        <f>'AS400'!X79</f>
        <v>MFIX</v>
      </c>
      <c r="Y79" s="7">
        <f>'AS400'!Y79</f>
        <v>0</v>
      </c>
      <c r="Z79" s="7" t="str">
        <f>'AS400'!Z79</f>
        <v>STLV</v>
      </c>
      <c r="AA79" s="7">
        <f>'AS400'!AA79</f>
        <v>818</v>
      </c>
      <c r="AB79" s="7">
        <f>'AS400'!AB79</f>
        <v>0</v>
      </c>
      <c r="AC79" s="7">
        <f>'AS400'!AC79</f>
        <v>12</v>
      </c>
      <c r="AD79" s="7">
        <f>'AS400'!AD79</f>
        <v>20180201</v>
      </c>
      <c r="AE79" s="7">
        <f>'AS400'!AE79</f>
        <v>0</v>
      </c>
      <c r="AF79" s="7">
        <f>'AS400'!AF79</f>
        <v>50000</v>
      </c>
      <c r="AG79" s="7">
        <f>'AS400'!AG79</f>
        <v>73</v>
      </c>
      <c r="AI79" s="7">
        <f>'AS400'!AH79</f>
        <v>30</v>
      </c>
      <c r="AJ79" s="7">
        <f>'AS400'!AI79</f>
        <v>0</v>
      </c>
      <c r="AK79" s="7">
        <f>'AS400'!AJ79</f>
        <v>0</v>
      </c>
      <c r="AL79" s="7">
        <f>'AS400'!AK79</f>
        <v>0</v>
      </c>
      <c r="AM79" s="7">
        <f>'AS400'!AL79</f>
        <v>0</v>
      </c>
      <c r="AN79" s="7">
        <f>'AS400'!AM79</f>
        <v>0</v>
      </c>
      <c r="AO79" s="7">
        <f>'AS400'!AN79</f>
        <v>0</v>
      </c>
      <c r="AP79" s="7">
        <f>'AS400'!AO79</f>
        <v>0</v>
      </c>
      <c r="AQ79" s="7">
        <f>'AS400'!AP79</f>
        <v>0</v>
      </c>
      <c r="AR79" s="7">
        <f>'AS400'!AQ79</f>
        <v>0</v>
      </c>
      <c r="AS79" s="7">
        <f>'AS400'!AR79</f>
        <v>0</v>
      </c>
      <c r="AT79" s="7">
        <f>'AS400'!AS79</f>
        <v>0</v>
      </c>
      <c r="AU79" s="7">
        <f>'AS400'!AT79</f>
        <v>0</v>
      </c>
      <c r="AV79" s="7">
        <f>'AS400'!AU79</f>
        <v>0</v>
      </c>
      <c r="AW79" s="7">
        <f>'AS400'!AV79</f>
        <v>0</v>
      </c>
      <c r="AX79" s="7">
        <f>'AS400'!AW79</f>
        <v>0</v>
      </c>
      <c r="AY79" s="7">
        <f>'AS400'!AX79</f>
        <v>0</v>
      </c>
      <c r="AZ79" s="8">
        <f>'AS400'!AY79</f>
        <v>1</v>
      </c>
      <c r="BA79" s="7">
        <f>'AS400'!AZ79</f>
        <v>2</v>
      </c>
      <c r="BB79" s="7" t="str">
        <f>'AS400'!BA79</f>
        <v>PURO</v>
      </c>
      <c r="BC79" s="7">
        <f>'AS400'!BB79</f>
        <v>100</v>
      </c>
      <c r="BD79" s="7">
        <f>'AS400'!BC79</f>
        <v>20180301</v>
      </c>
      <c r="BE79" s="7">
        <f>'AS400'!BD79</f>
        <v>20180301</v>
      </c>
      <c r="BF79" s="7" t="str">
        <f>'AS400'!BE79</f>
        <v>S</v>
      </c>
      <c r="BG79" s="7" t="str">
        <f>'AS400'!BF79</f>
        <v>ME</v>
      </c>
      <c r="BH79" s="7">
        <f>'AS400'!BG79</f>
        <v>20180301</v>
      </c>
      <c r="BI79" s="7">
        <f>'AS400'!BH79</f>
        <v>0</v>
      </c>
      <c r="BJ79" s="7">
        <f>'AS400'!BI79</f>
        <v>0</v>
      </c>
      <c r="BK79" s="7">
        <f>'AS400'!BJ79</f>
        <v>0</v>
      </c>
      <c r="BL79" s="7">
        <f>'AS400'!BK79</f>
        <v>0</v>
      </c>
      <c r="BM79" s="7" t="str">
        <f>'AS400'!BL79</f>
        <v>STLV</v>
      </c>
      <c r="BN79" s="7">
        <f>'AS400'!BM79</f>
        <v>818</v>
      </c>
      <c r="BO79" s="7">
        <f>'AS400'!BN79</f>
        <v>0</v>
      </c>
      <c r="BP79" s="7">
        <f>'AS400'!BO79</f>
        <v>12</v>
      </c>
      <c r="BQ79" s="7">
        <f>'AS400'!BP79</f>
        <v>20180201</v>
      </c>
      <c r="BR79" s="7">
        <f>'AS400'!BQ79</f>
        <v>0</v>
      </c>
      <c r="BS79" s="7">
        <f>'AS400'!BR79</f>
        <v>0</v>
      </c>
      <c r="BT79" s="7">
        <f>'AS400'!BS79</f>
        <v>6</v>
      </c>
      <c r="BV79" s="7">
        <f>'AS400'!BT79</f>
        <v>30</v>
      </c>
      <c r="BW79" s="7">
        <f>'AS400'!BU79</f>
        <v>0</v>
      </c>
      <c r="BX79" s="7">
        <f>'AS400'!BV79</f>
        <v>0</v>
      </c>
      <c r="BY79" s="7">
        <f>'AS400'!BW79</f>
        <v>0</v>
      </c>
      <c r="BZ79" s="7">
        <f>'AS400'!BX79</f>
        <v>0</v>
      </c>
      <c r="CA79" s="7">
        <f>'AS400'!BY79</f>
        <v>0</v>
      </c>
      <c r="CB79" s="7">
        <f>'AS400'!BZ79</f>
        <v>0</v>
      </c>
      <c r="CC79" s="7">
        <f>'AS400'!CA79</f>
        <v>0</v>
      </c>
      <c r="CD79" s="7">
        <f>'AS400'!CB79</f>
        <v>0</v>
      </c>
      <c r="CE79" s="7">
        <f>'AS400'!CC79</f>
        <v>0</v>
      </c>
      <c r="CF79" s="7">
        <f>'AS400'!CD79</f>
        <v>0</v>
      </c>
      <c r="CG79" s="7">
        <f>'AS400'!CE79</f>
        <v>0</v>
      </c>
      <c r="CH79" s="7">
        <f>'AS400'!CF79</f>
        <v>0</v>
      </c>
      <c r="CI79" s="7">
        <f>'AS400'!CG79</f>
        <v>0</v>
      </c>
      <c r="CJ79" s="7">
        <f>'AS400'!CH79</f>
        <v>0</v>
      </c>
      <c r="CK79" s="7">
        <f>'AS400'!CI79</f>
        <v>0</v>
      </c>
      <c r="CL79" s="7">
        <f>'AS400'!CJ79</f>
        <v>0</v>
      </c>
      <c r="CM79" s="8">
        <f>'AS400'!CK79</f>
        <v>1</v>
      </c>
      <c r="CN79" s="7">
        <f>'AS400'!CL79</f>
        <v>3</v>
      </c>
      <c r="CO79" s="7" t="str">
        <f>'AS400'!CM79</f>
        <v>PUDT</v>
      </c>
      <c r="CP79" s="7">
        <f>'AS400'!CN79</f>
        <v>100</v>
      </c>
      <c r="CQ79" s="7">
        <f>'AS400'!CO79</f>
        <v>20180301</v>
      </c>
      <c r="CR79" s="7">
        <f>'AS400'!CP79</f>
        <v>20180301</v>
      </c>
      <c r="CS79" s="7" t="str">
        <f>'AS400'!CQ79</f>
        <v>S</v>
      </c>
      <c r="CT79" s="7" t="str">
        <f>'AS400'!CR79</f>
        <v>MT</v>
      </c>
      <c r="CU79" s="7">
        <f>'AS400'!CS79</f>
        <v>20180301</v>
      </c>
      <c r="CV79" s="7">
        <f>'AS400'!CT79</f>
        <v>0</v>
      </c>
      <c r="CW79" s="7">
        <f>'AS400'!CU79</f>
        <v>0</v>
      </c>
      <c r="CX79" s="7">
        <f>'AS400'!CV79</f>
        <v>0</v>
      </c>
      <c r="CY79" s="7">
        <f>'AS400'!CW79</f>
        <v>0</v>
      </c>
      <c r="CZ79" s="7" t="str">
        <f>'AS400'!CX79</f>
        <v>STLV</v>
      </c>
      <c r="DA79" s="7">
        <f>'AS400'!CY79</f>
        <v>818</v>
      </c>
      <c r="DB79" s="7">
        <f>'AS400'!CZ79</f>
        <v>0</v>
      </c>
      <c r="DC79" s="7">
        <f>'AS400'!DA79</f>
        <v>12</v>
      </c>
      <c r="DD79" s="7">
        <f>'AS400'!DB79</f>
        <v>20180201</v>
      </c>
      <c r="DE79" s="7">
        <f>'AS400'!DC79</f>
        <v>0</v>
      </c>
      <c r="DF79" s="7">
        <f>'AS400'!DD79</f>
        <v>0</v>
      </c>
      <c r="DG79" s="7">
        <f>'AS400'!DE79</f>
        <v>11</v>
      </c>
      <c r="DI79" s="7">
        <f>'AS400'!DF79</f>
        <v>30</v>
      </c>
      <c r="DJ79" s="7">
        <f>'AS400'!DG79</f>
        <v>0</v>
      </c>
      <c r="DK79" s="7">
        <f>'AS400'!DH79</f>
        <v>0</v>
      </c>
      <c r="DL79" s="7">
        <f>'AS400'!DI79</f>
        <v>0</v>
      </c>
      <c r="DM79" s="7">
        <f>'AS400'!DJ79</f>
        <v>0</v>
      </c>
      <c r="DN79" s="7">
        <f>'AS400'!DK79</f>
        <v>0</v>
      </c>
      <c r="DO79" s="7">
        <f>'AS400'!DL79</f>
        <v>0</v>
      </c>
      <c r="DP79" s="7">
        <f>'AS400'!DM79</f>
        <v>0</v>
      </c>
      <c r="DQ79" s="7">
        <f>'AS400'!DN79</f>
        <v>0</v>
      </c>
      <c r="DR79" s="7">
        <f>'AS400'!DO79</f>
        <v>0</v>
      </c>
      <c r="DS79" s="7">
        <f>'AS400'!DP79</f>
        <v>0</v>
      </c>
      <c r="DT79" s="7">
        <f>'AS400'!DQ79</f>
        <v>0</v>
      </c>
      <c r="DU79" s="7">
        <f>'AS400'!DR79</f>
        <v>0</v>
      </c>
      <c r="DV79" s="7">
        <f>'AS400'!DS79</f>
        <v>0</v>
      </c>
      <c r="DW79" s="7">
        <f>'AS400'!DT79</f>
        <v>0</v>
      </c>
      <c r="DX79" s="7">
        <f>'AS400'!DU79</f>
        <v>0</v>
      </c>
      <c r="DY79" s="7">
        <f>'AS400'!DV79</f>
        <v>0</v>
      </c>
      <c r="DZ79" s="8">
        <f>'AS400'!DW79</f>
        <v>1</v>
      </c>
      <c r="EA79" s="7">
        <f>'AS400'!DX79</f>
        <v>4</v>
      </c>
      <c r="EB79" s="7" t="str">
        <f>'AS400'!DY79</f>
        <v>PUDS</v>
      </c>
      <c r="EC79" s="7">
        <f>'AS400'!DZ79</f>
        <v>100</v>
      </c>
      <c r="ED79" s="7">
        <f>'AS400'!EA79</f>
        <v>20180301</v>
      </c>
      <c r="EE79" s="7">
        <f>'AS400'!EB79</f>
        <v>20180301</v>
      </c>
      <c r="EF79" s="7" t="str">
        <f>'AS400'!EC79</f>
        <v>S</v>
      </c>
      <c r="EG79" s="7" t="str">
        <f>'AS400'!ED79</f>
        <v>MS</v>
      </c>
      <c r="EH79" s="7">
        <f>'AS400'!EE79</f>
        <v>20180301</v>
      </c>
      <c r="EI79" s="7">
        <f>'AS400'!EF79</f>
        <v>0</v>
      </c>
      <c r="EJ79" s="7">
        <f>'AS400'!EG79</f>
        <v>0</v>
      </c>
      <c r="EK79" s="7">
        <f>'AS400'!EH79</f>
        <v>0</v>
      </c>
      <c r="EL79" s="7">
        <f>'AS400'!EI79</f>
        <v>0</v>
      </c>
      <c r="EM79" s="7" t="str">
        <f>'AS400'!EJ79</f>
        <v>STLV</v>
      </c>
      <c r="EN79" s="7">
        <f>'AS400'!EK79</f>
        <v>818</v>
      </c>
      <c r="EO79" s="7">
        <f>'AS400'!EL79</f>
        <v>0</v>
      </c>
      <c r="EP79" s="7">
        <f>'AS400'!EM79</f>
        <v>12</v>
      </c>
      <c r="EQ79" s="7">
        <f>'AS400'!EN79</f>
        <v>20180201</v>
      </c>
      <c r="ER79" s="7">
        <f>'AS400'!EO79</f>
        <v>0</v>
      </c>
      <c r="ES79" s="7">
        <f>'AS400'!EP79</f>
        <v>0</v>
      </c>
      <c r="ET79" s="7">
        <f>'AS400'!EQ79</f>
        <v>5</v>
      </c>
      <c r="EV79" s="7">
        <f>'AS400'!ER79</f>
        <v>30</v>
      </c>
      <c r="EW79" s="7">
        <f>'AS400'!ES79</f>
        <v>0</v>
      </c>
      <c r="EX79" s="7">
        <f>'AS400'!ET79</f>
        <v>0</v>
      </c>
      <c r="EY79" s="7">
        <f>'AS400'!EU79</f>
        <v>0</v>
      </c>
      <c r="EZ79" s="7">
        <f>'AS400'!EV79</f>
        <v>0</v>
      </c>
      <c r="FA79" s="7">
        <f>'AS400'!EW79</f>
        <v>0</v>
      </c>
      <c r="FB79" s="7">
        <f>'AS400'!EX79</f>
        <v>0</v>
      </c>
      <c r="FC79" s="7">
        <f>'AS400'!EY79</f>
        <v>0</v>
      </c>
      <c r="FD79" s="7">
        <f>'AS400'!EZ79</f>
        <v>0</v>
      </c>
      <c r="FE79" s="7">
        <f>'AS400'!FA79</f>
        <v>0</v>
      </c>
      <c r="FF79" s="7">
        <f>'AS400'!FB79</f>
        <v>0</v>
      </c>
      <c r="FG79" s="7">
        <f>'AS400'!FC79</f>
        <v>0</v>
      </c>
      <c r="FH79" s="7">
        <f>'AS400'!FD79</f>
        <v>0</v>
      </c>
      <c r="FI79" s="7">
        <f>'AS400'!FE79</f>
        <v>0</v>
      </c>
      <c r="FJ79" s="7">
        <f>'AS400'!FF79</f>
        <v>0</v>
      </c>
      <c r="FK79" s="7">
        <f>'AS400'!FG79</f>
        <v>0</v>
      </c>
      <c r="FL79" s="7">
        <f>'AS400'!FH79</f>
        <v>0</v>
      </c>
      <c r="FM79" s="7">
        <f>'AS400'!FI79</f>
        <v>1</v>
      </c>
      <c r="FN79" s="7">
        <f>'AS400'!FJ79</f>
        <v>1</v>
      </c>
      <c r="FO79" s="7">
        <f>'AS400'!FO79</f>
        <v>0</v>
      </c>
      <c r="FP79" s="7">
        <f>'AS400'!FP79</f>
        <v>4</v>
      </c>
      <c r="FQ79" s="7">
        <f>'AS400'!FQ79</f>
        <v>1</v>
      </c>
      <c r="FR79" s="7">
        <f>'AS400'!FR79</f>
        <v>1</v>
      </c>
      <c r="FS79" s="13">
        <f>'AS400'!FO79</f>
        <v>0</v>
      </c>
    </row>
    <row r="80" spans="1:175">
      <c r="A80" s="7">
        <f>'AS400'!A80</f>
        <v>74</v>
      </c>
      <c r="B80" s="7">
        <f>'AS400'!B80</f>
        <v>20190301</v>
      </c>
      <c r="C80" s="7">
        <f>'AS400'!C80</f>
        <v>0</v>
      </c>
      <c r="D80" s="7" t="str">
        <f>'AS400'!D80</f>
        <v>N</v>
      </c>
      <c r="E80" s="7" t="str">
        <f>'AS400'!E80</f>
        <v>N</v>
      </c>
      <c r="F80" s="7" t="str">
        <f>'AS400'!F80</f>
        <v>Y</v>
      </c>
      <c r="G80" s="7">
        <f>'AS400'!G80</f>
        <v>0</v>
      </c>
      <c r="H80" s="14"/>
      <c r="I80" s="7" t="str">
        <f>'AS400'!I80</f>
        <v>RSA</v>
      </c>
      <c r="J80" s="7" t="str">
        <f>'AS400'!J80</f>
        <v>METR</v>
      </c>
      <c r="K80" s="7" t="str">
        <f>'AS400'!K80</f>
        <v>N</v>
      </c>
      <c r="L80" s="7">
        <f>'AS400'!L80</f>
        <v>4</v>
      </c>
      <c r="M80" s="8">
        <f>'AS400'!M80</f>
        <v>1</v>
      </c>
      <c r="N80" s="7">
        <f>'AS400'!N80</f>
        <v>1</v>
      </c>
      <c r="O80" s="7" t="str">
        <f>'AS400'!O80</f>
        <v>MFSP</v>
      </c>
      <c r="P80" s="7">
        <f>'AS400'!P80</f>
        <v>100</v>
      </c>
      <c r="Q80" s="7">
        <f>'AS400'!Q80</f>
        <v>20180301</v>
      </c>
      <c r="R80" s="7">
        <f>'AS400'!R80</f>
        <v>20180301</v>
      </c>
      <c r="S80" s="7" t="str">
        <f>'AS400'!S80</f>
        <v>M</v>
      </c>
      <c r="T80" s="7" t="str">
        <f>'AS400'!T80</f>
        <v>MK</v>
      </c>
      <c r="U80" s="7">
        <f>'AS400'!U80</f>
        <v>20190301</v>
      </c>
      <c r="V80" s="7">
        <f>'AS400'!V80</f>
        <v>6</v>
      </c>
      <c r="W80" s="7">
        <f>'AS400'!W80</f>
        <v>6</v>
      </c>
      <c r="X80" s="7" t="str">
        <f>'AS400'!X80</f>
        <v>MFIX</v>
      </c>
      <c r="Y80" s="7">
        <f>'AS400'!Y80</f>
        <v>0</v>
      </c>
      <c r="Z80" s="7" t="str">
        <f>'AS400'!Z80</f>
        <v>STLV</v>
      </c>
      <c r="AA80" s="7">
        <f>'AS400'!AA80</f>
        <v>818</v>
      </c>
      <c r="AB80" s="7">
        <f>'AS400'!AB80</f>
        <v>0</v>
      </c>
      <c r="AC80" s="7">
        <f>'AS400'!AC80</f>
        <v>12</v>
      </c>
      <c r="AD80" s="7">
        <f>'AS400'!AD80</f>
        <v>20180201</v>
      </c>
      <c r="AE80" s="7">
        <f>'AS400'!AE80</f>
        <v>0</v>
      </c>
      <c r="AF80" s="7">
        <f>'AS400'!AF80</f>
        <v>55000</v>
      </c>
      <c r="AG80" s="7">
        <f>'AS400'!AG80</f>
        <v>77</v>
      </c>
      <c r="AI80" s="7">
        <f>'AS400'!AH80</f>
        <v>31</v>
      </c>
      <c r="AJ80" s="7">
        <f>'AS400'!AI80</f>
        <v>0</v>
      </c>
      <c r="AK80" s="7">
        <f>'AS400'!AJ80</f>
        <v>0</v>
      </c>
      <c r="AL80" s="7">
        <f>'AS400'!AK80</f>
        <v>0</v>
      </c>
      <c r="AM80" s="7">
        <f>'AS400'!AL80</f>
        <v>0</v>
      </c>
      <c r="AN80" s="7">
        <f>'AS400'!AM80</f>
        <v>0</v>
      </c>
      <c r="AO80" s="7">
        <f>'AS400'!AN80</f>
        <v>0</v>
      </c>
      <c r="AP80" s="7">
        <f>'AS400'!AO80</f>
        <v>0</v>
      </c>
      <c r="AQ80" s="7">
        <f>'AS400'!AP80</f>
        <v>0</v>
      </c>
      <c r="AR80" s="7">
        <f>'AS400'!AQ80</f>
        <v>0</v>
      </c>
      <c r="AS80" s="7">
        <f>'AS400'!AR80</f>
        <v>0</v>
      </c>
      <c r="AT80" s="7">
        <f>'AS400'!AS80</f>
        <v>0</v>
      </c>
      <c r="AU80" s="7">
        <f>'AS400'!AT80</f>
        <v>0</v>
      </c>
      <c r="AV80" s="7">
        <f>'AS400'!AU80</f>
        <v>0</v>
      </c>
      <c r="AW80" s="7">
        <f>'AS400'!AV80</f>
        <v>0</v>
      </c>
      <c r="AX80" s="7">
        <f>'AS400'!AW80</f>
        <v>0</v>
      </c>
      <c r="AY80" s="7">
        <f>'AS400'!AX80</f>
        <v>0</v>
      </c>
      <c r="AZ80" s="8">
        <f>'AS400'!AY80</f>
        <v>1</v>
      </c>
      <c r="BA80" s="7">
        <f>'AS400'!AZ80</f>
        <v>2</v>
      </c>
      <c r="BB80" s="7" t="str">
        <f>'AS400'!BA80</f>
        <v>PURO</v>
      </c>
      <c r="BC80" s="7">
        <f>'AS400'!BB80</f>
        <v>100</v>
      </c>
      <c r="BD80" s="7">
        <f>'AS400'!BC80</f>
        <v>20180301</v>
      </c>
      <c r="BE80" s="7">
        <f>'AS400'!BD80</f>
        <v>20180301</v>
      </c>
      <c r="BF80" s="7" t="str">
        <f>'AS400'!BE80</f>
        <v>S</v>
      </c>
      <c r="BG80" s="7" t="str">
        <f>'AS400'!BF80</f>
        <v>ME</v>
      </c>
      <c r="BH80" s="7">
        <f>'AS400'!BG80</f>
        <v>20180301</v>
      </c>
      <c r="BI80" s="7">
        <f>'AS400'!BH80</f>
        <v>0</v>
      </c>
      <c r="BJ80" s="7">
        <f>'AS400'!BI80</f>
        <v>0</v>
      </c>
      <c r="BK80" s="7">
        <f>'AS400'!BJ80</f>
        <v>0</v>
      </c>
      <c r="BL80" s="7">
        <f>'AS400'!BK80</f>
        <v>0</v>
      </c>
      <c r="BM80" s="7" t="str">
        <f>'AS400'!BL80</f>
        <v>STLV</v>
      </c>
      <c r="BN80" s="7">
        <f>'AS400'!BM80</f>
        <v>818</v>
      </c>
      <c r="BO80" s="7">
        <f>'AS400'!BN80</f>
        <v>0</v>
      </c>
      <c r="BP80" s="7">
        <f>'AS400'!BO80</f>
        <v>12</v>
      </c>
      <c r="BQ80" s="7">
        <f>'AS400'!BP80</f>
        <v>20180201</v>
      </c>
      <c r="BR80" s="7">
        <f>'AS400'!BQ80</f>
        <v>0</v>
      </c>
      <c r="BS80" s="7">
        <f>'AS400'!BR80</f>
        <v>0</v>
      </c>
      <c r="BT80" s="7">
        <f>'AS400'!BS80</f>
        <v>6</v>
      </c>
      <c r="BV80" s="7">
        <f>'AS400'!BT80</f>
        <v>31</v>
      </c>
      <c r="BW80" s="7">
        <f>'AS400'!BU80</f>
        <v>0</v>
      </c>
      <c r="BX80" s="7">
        <f>'AS400'!BV80</f>
        <v>0</v>
      </c>
      <c r="BY80" s="7">
        <f>'AS400'!BW80</f>
        <v>0</v>
      </c>
      <c r="BZ80" s="7">
        <f>'AS400'!BX80</f>
        <v>0</v>
      </c>
      <c r="CA80" s="7">
        <f>'AS400'!BY80</f>
        <v>0</v>
      </c>
      <c r="CB80" s="7">
        <f>'AS400'!BZ80</f>
        <v>0</v>
      </c>
      <c r="CC80" s="7">
        <f>'AS400'!CA80</f>
        <v>0</v>
      </c>
      <c r="CD80" s="7">
        <f>'AS400'!CB80</f>
        <v>0</v>
      </c>
      <c r="CE80" s="7">
        <f>'AS400'!CC80</f>
        <v>0</v>
      </c>
      <c r="CF80" s="7">
        <f>'AS400'!CD80</f>
        <v>0</v>
      </c>
      <c r="CG80" s="7">
        <f>'AS400'!CE80</f>
        <v>0</v>
      </c>
      <c r="CH80" s="7">
        <f>'AS400'!CF80</f>
        <v>0</v>
      </c>
      <c r="CI80" s="7">
        <f>'AS400'!CG80</f>
        <v>0</v>
      </c>
      <c r="CJ80" s="7">
        <f>'AS400'!CH80</f>
        <v>0</v>
      </c>
      <c r="CK80" s="7">
        <f>'AS400'!CI80</f>
        <v>0</v>
      </c>
      <c r="CL80" s="7">
        <f>'AS400'!CJ80</f>
        <v>0</v>
      </c>
      <c r="CM80" s="8">
        <f>'AS400'!CK80</f>
        <v>1</v>
      </c>
      <c r="CN80" s="7">
        <f>'AS400'!CL80</f>
        <v>3</v>
      </c>
      <c r="CO80" s="7" t="str">
        <f>'AS400'!CM80</f>
        <v>PUDT</v>
      </c>
      <c r="CP80" s="7">
        <f>'AS400'!CN80</f>
        <v>100</v>
      </c>
      <c r="CQ80" s="7">
        <f>'AS400'!CO80</f>
        <v>20180301</v>
      </c>
      <c r="CR80" s="7">
        <f>'AS400'!CP80</f>
        <v>20180301</v>
      </c>
      <c r="CS80" s="7" t="str">
        <f>'AS400'!CQ80</f>
        <v>S</v>
      </c>
      <c r="CT80" s="7" t="str">
        <f>'AS400'!CR80</f>
        <v>MT</v>
      </c>
      <c r="CU80" s="7">
        <f>'AS400'!CS80</f>
        <v>20180301</v>
      </c>
      <c r="CV80" s="7">
        <f>'AS400'!CT80</f>
        <v>0</v>
      </c>
      <c r="CW80" s="7">
        <f>'AS400'!CU80</f>
        <v>0</v>
      </c>
      <c r="CX80" s="7">
        <f>'AS400'!CV80</f>
        <v>0</v>
      </c>
      <c r="CY80" s="7">
        <f>'AS400'!CW80</f>
        <v>0</v>
      </c>
      <c r="CZ80" s="7" t="str">
        <f>'AS400'!CX80</f>
        <v>STLV</v>
      </c>
      <c r="DA80" s="7">
        <f>'AS400'!CY80</f>
        <v>818</v>
      </c>
      <c r="DB80" s="7">
        <f>'AS400'!CZ80</f>
        <v>0</v>
      </c>
      <c r="DC80" s="7">
        <f>'AS400'!DA80</f>
        <v>12</v>
      </c>
      <c r="DD80" s="7">
        <f>'AS400'!DB80</f>
        <v>20180201</v>
      </c>
      <c r="DE80" s="7">
        <f>'AS400'!DC80</f>
        <v>0</v>
      </c>
      <c r="DF80" s="7">
        <f>'AS400'!DD80</f>
        <v>0</v>
      </c>
      <c r="DG80" s="7">
        <f>'AS400'!DE80</f>
        <v>11</v>
      </c>
      <c r="DI80" s="7">
        <f>'AS400'!DF80</f>
        <v>31</v>
      </c>
      <c r="DJ80" s="7">
        <f>'AS400'!DG80</f>
        <v>0</v>
      </c>
      <c r="DK80" s="7">
        <f>'AS400'!DH80</f>
        <v>0</v>
      </c>
      <c r="DL80" s="7">
        <f>'AS400'!DI80</f>
        <v>0</v>
      </c>
      <c r="DM80" s="7">
        <f>'AS400'!DJ80</f>
        <v>0</v>
      </c>
      <c r="DN80" s="7">
        <f>'AS400'!DK80</f>
        <v>0</v>
      </c>
      <c r="DO80" s="7">
        <f>'AS400'!DL80</f>
        <v>0</v>
      </c>
      <c r="DP80" s="7">
        <f>'AS400'!DM80</f>
        <v>0</v>
      </c>
      <c r="DQ80" s="7">
        <f>'AS400'!DN80</f>
        <v>0</v>
      </c>
      <c r="DR80" s="7">
        <f>'AS400'!DO80</f>
        <v>0</v>
      </c>
      <c r="DS80" s="7">
        <f>'AS400'!DP80</f>
        <v>0</v>
      </c>
      <c r="DT80" s="7">
        <f>'AS400'!DQ80</f>
        <v>0</v>
      </c>
      <c r="DU80" s="7">
        <f>'AS400'!DR80</f>
        <v>0</v>
      </c>
      <c r="DV80" s="7">
        <f>'AS400'!DS80</f>
        <v>0</v>
      </c>
      <c r="DW80" s="7">
        <f>'AS400'!DT80</f>
        <v>0</v>
      </c>
      <c r="DX80" s="7">
        <f>'AS400'!DU80</f>
        <v>0</v>
      </c>
      <c r="DY80" s="7">
        <f>'AS400'!DV80</f>
        <v>0</v>
      </c>
      <c r="DZ80" s="8">
        <f>'AS400'!DW80</f>
        <v>1</v>
      </c>
      <c r="EA80" s="7">
        <f>'AS400'!DX80</f>
        <v>4</v>
      </c>
      <c r="EB80" s="7" t="str">
        <f>'AS400'!DY80</f>
        <v>PUDS</v>
      </c>
      <c r="EC80" s="7">
        <f>'AS400'!DZ80</f>
        <v>100</v>
      </c>
      <c r="ED80" s="7">
        <f>'AS400'!EA80</f>
        <v>20180301</v>
      </c>
      <c r="EE80" s="7">
        <f>'AS400'!EB80</f>
        <v>20180301</v>
      </c>
      <c r="EF80" s="7" t="str">
        <f>'AS400'!EC80</f>
        <v>S</v>
      </c>
      <c r="EG80" s="7" t="str">
        <f>'AS400'!ED80</f>
        <v>MS</v>
      </c>
      <c r="EH80" s="7">
        <f>'AS400'!EE80</f>
        <v>20180301</v>
      </c>
      <c r="EI80" s="7">
        <f>'AS400'!EF80</f>
        <v>0</v>
      </c>
      <c r="EJ80" s="7">
        <f>'AS400'!EG80</f>
        <v>0</v>
      </c>
      <c r="EK80" s="7">
        <f>'AS400'!EH80</f>
        <v>0</v>
      </c>
      <c r="EL80" s="7">
        <f>'AS400'!EI80</f>
        <v>0</v>
      </c>
      <c r="EM80" s="7" t="str">
        <f>'AS400'!EJ80</f>
        <v>STLV</v>
      </c>
      <c r="EN80" s="7">
        <f>'AS400'!EK80</f>
        <v>818</v>
      </c>
      <c r="EO80" s="7">
        <f>'AS400'!EL80</f>
        <v>0</v>
      </c>
      <c r="EP80" s="7">
        <f>'AS400'!EM80</f>
        <v>12</v>
      </c>
      <c r="EQ80" s="7">
        <f>'AS400'!EN80</f>
        <v>20180201</v>
      </c>
      <c r="ER80" s="7">
        <f>'AS400'!EO80</f>
        <v>0</v>
      </c>
      <c r="ES80" s="7">
        <f>'AS400'!EP80</f>
        <v>0</v>
      </c>
      <c r="ET80" s="7">
        <f>'AS400'!EQ80</f>
        <v>6</v>
      </c>
      <c r="EV80" s="7">
        <f>'AS400'!ER80</f>
        <v>31</v>
      </c>
      <c r="EW80" s="7">
        <f>'AS400'!ES80</f>
        <v>0</v>
      </c>
      <c r="EX80" s="7">
        <f>'AS400'!ET80</f>
        <v>0</v>
      </c>
      <c r="EY80" s="7">
        <f>'AS400'!EU80</f>
        <v>0</v>
      </c>
      <c r="EZ80" s="7">
        <f>'AS400'!EV80</f>
        <v>0</v>
      </c>
      <c r="FA80" s="7">
        <f>'AS400'!EW80</f>
        <v>0</v>
      </c>
      <c r="FB80" s="7">
        <f>'AS400'!EX80</f>
        <v>0</v>
      </c>
      <c r="FC80" s="7">
        <f>'AS400'!EY80</f>
        <v>0</v>
      </c>
      <c r="FD80" s="7">
        <f>'AS400'!EZ80</f>
        <v>0</v>
      </c>
      <c r="FE80" s="7">
        <f>'AS400'!FA80</f>
        <v>0</v>
      </c>
      <c r="FF80" s="7">
        <f>'AS400'!FB80</f>
        <v>0</v>
      </c>
      <c r="FG80" s="7">
        <f>'AS400'!FC80</f>
        <v>0</v>
      </c>
      <c r="FH80" s="7">
        <f>'AS400'!FD80</f>
        <v>0</v>
      </c>
      <c r="FI80" s="7">
        <f>'AS400'!FE80</f>
        <v>0</v>
      </c>
      <c r="FJ80" s="7">
        <f>'AS400'!FF80</f>
        <v>0</v>
      </c>
      <c r="FK80" s="7">
        <f>'AS400'!FG80</f>
        <v>0</v>
      </c>
      <c r="FL80" s="7">
        <f>'AS400'!FH80</f>
        <v>0</v>
      </c>
      <c r="FM80" s="7">
        <f>'AS400'!FI80</f>
        <v>1</v>
      </c>
      <c r="FN80" s="7">
        <f>'AS400'!FJ80</f>
        <v>1</v>
      </c>
      <c r="FO80" s="7">
        <f>'AS400'!FO80</f>
        <v>0</v>
      </c>
      <c r="FP80" s="7">
        <f>'AS400'!FP80</f>
        <v>4</v>
      </c>
      <c r="FQ80" s="7">
        <f>'AS400'!FQ80</f>
        <v>1</v>
      </c>
      <c r="FR80" s="7">
        <f>'AS400'!FR80</f>
        <v>1</v>
      </c>
      <c r="FS80" s="13">
        <f>'AS400'!FO80</f>
        <v>0</v>
      </c>
    </row>
    <row r="81" spans="1:175">
      <c r="A81" s="7">
        <f>'AS400'!A81</f>
        <v>75</v>
      </c>
      <c r="B81" s="7">
        <f>'AS400'!B81</f>
        <v>20190301</v>
      </c>
      <c r="C81" s="7">
        <f>'AS400'!C81</f>
        <v>0</v>
      </c>
      <c r="D81" s="7" t="str">
        <f>'AS400'!D81</f>
        <v>N</v>
      </c>
      <c r="E81" s="7" t="str">
        <f>'AS400'!E81</f>
        <v>N</v>
      </c>
      <c r="F81" s="7" t="str">
        <f>'AS400'!F81</f>
        <v>Y</v>
      </c>
      <c r="G81" s="7">
        <f>'AS400'!G81</f>
        <v>0</v>
      </c>
      <c r="H81" s="14"/>
      <c r="I81" s="7" t="str">
        <f>'AS400'!I81</f>
        <v>RSA</v>
      </c>
      <c r="J81" s="7" t="str">
        <f>'AS400'!J81</f>
        <v>METR</v>
      </c>
      <c r="K81" s="7" t="str">
        <f>'AS400'!K81</f>
        <v>N</v>
      </c>
      <c r="L81" s="7">
        <f>'AS400'!L81</f>
        <v>4</v>
      </c>
      <c r="M81" s="8">
        <f>'AS400'!M81</f>
        <v>1</v>
      </c>
      <c r="N81" s="7">
        <f>'AS400'!N81</f>
        <v>1</v>
      </c>
      <c r="O81" s="7" t="str">
        <f>'AS400'!O81</f>
        <v>MFSP</v>
      </c>
      <c r="P81" s="7">
        <f>'AS400'!P81</f>
        <v>100</v>
      </c>
      <c r="Q81" s="7">
        <f>'AS400'!Q81</f>
        <v>20180301</v>
      </c>
      <c r="R81" s="7">
        <f>'AS400'!R81</f>
        <v>20180301</v>
      </c>
      <c r="S81" s="7" t="str">
        <f>'AS400'!S81</f>
        <v>M</v>
      </c>
      <c r="T81" s="7" t="str">
        <f>'AS400'!T81</f>
        <v>MK</v>
      </c>
      <c r="U81" s="7">
        <f>'AS400'!U81</f>
        <v>20190301</v>
      </c>
      <c r="V81" s="7">
        <f>'AS400'!V81</f>
        <v>6</v>
      </c>
      <c r="W81" s="7">
        <f>'AS400'!W81</f>
        <v>6</v>
      </c>
      <c r="X81" s="7" t="str">
        <f>'AS400'!X81</f>
        <v>MFIX</v>
      </c>
      <c r="Y81" s="7">
        <f>'AS400'!Y81</f>
        <v>0</v>
      </c>
      <c r="Z81" s="7" t="str">
        <f>'AS400'!Z81</f>
        <v>STLV</v>
      </c>
      <c r="AA81" s="7">
        <f>'AS400'!AA81</f>
        <v>818</v>
      </c>
      <c r="AB81" s="7">
        <f>'AS400'!AB81</f>
        <v>0</v>
      </c>
      <c r="AC81" s="7">
        <f>'AS400'!AC81</f>
        <v>12</v>
      </c>
      <c r="AD81" s="7">
        <f>'AS400'!AD81</f>
        <v>20180201</v>
      </c>
      <c r="AE81" s="7">
        <f>'AS400'!AE81</f>
        <v>0</v>
      </c>
      <c r="AF81" s="7">
        <f>'AS400'!AF81</f>
        <v>60000</v>
      </c>
      <c r="AG81" s="7">
        <f>'AS400'!AG81</f>
        <v>82</v>
      </c>
      <c r="AI81" s="7">
        <f>'AS400'!AH81</f>
        <v>32</v>
      </c>
      <c r="AJ81" s="7">
        <f>'AS400'!AI81</f>
        <v>0</v>
      </c>
      <c r="AK81" s="7">
        <f>'AS400'!AJ81</f>
        <v>0</v>
      </c>
      <c r="AL81" s="7">
        <f>'AS400'!AK81</f>
        <v>0</v>
      </c>
      <c r="AM81" s="7">
        <f>'AS400'!AL81</f>
        <v>0</v>
      </c>
      <c r="AN81" s="7">
        <f>'AS400'!AM81</f>
        <v>0</v>
      </c>
      <c r="AO81" s="7">
        <f>'AS400'!AN81</f>
        <v>0</v>
      </c>
      <c r="AP81" s="7">
        <f>'AS400'!AO81</f>
        <v>0</v>
      </c>
      <c r="AQ81" s="7">
        <f>'AS400'!AP81</f>
        <v>0</v>
      </c>
      <c r="AR81" s="7">
        <f>'AS400'!AQ81</f>
        <v>0</v>
      </c>
      <c r="AS81" s="7">
        <f>'AS400'!AR81</f>
        <v>0</v>
      </c>
      <c r="AT81" s="7">
        <f>'AS400'!AS81</f>
        <v>0</v>
      </c>
      <c r="AU81" s="7">
        <f>'AS400'!AT81</f>
        <v>0</v>
      </c>
      <c r="AV81" s="7">
        <f>'AS400'!AU81</f>
        <v>0</v>
      </c>
      <c r="AW81" s="7">
        <f>'AS400'!AV81</f>
        <v>0</v>
      </c>
      <c r="AX81" s="7">
        <f>'AS400'!AW81</f>
        <v>0</v>
      </c>
      <c r="AY81" s="7">
        <f>'AS400'!AX81</f>
        <v>0</v>
      </c>
      <c r="AZ81" s="8">
        <f>'AS400'!AY81</f>
        <v>1</v>
      </c>
      <c r="BA81" s="7">
        <f>'AS400'!AZ81</f>
        <v>2</v>
      </c>
      <c r="BB81" s="7" t="str">
        <f>'AS400'!BA81</f>
        <v>PURO</v>
      </c>
      <c r="BC81" s="7">
        <f>'AS400'!BB81</f>
        <v>100</v>
      </c>
      <c r="BD81" s="7">
        <f>'AS400'!BC81</f>
        <v>20180301</v>
      </c>
      <c r="BE81" s="7">
        <f>'AS400'!BD81</f>
        <v>20180301</v>
      </c>
      <c r="BF81" s="7" t="str">
        <f>'AS400'!BE81</f>
        <v>S</v>
      </c>
      <c r="BG81" s="7" t="str">
        <f>'AS400'!BF81</f>
        <v>ME</v>
      </c>
      <c r="BH81" s="7">
        <f>'AS400'!BG81</f>
        <v>20180301</v>
      </c>
      <c r="BI81" s="7">
        <f>'AS400'!BH81</f>
        <v>0</v>
      </c>
      <c r="BJ81" s="7">
        <f>'AS400'!BI81</f>
        <v>0</v>
      </c>
      <c r="BK81" s="7">
        <f>'AS400'!BJ81</f>
        <v>0</v>
      </c>
      <c r="BL81" s="7">
        <f>'AS400'!BK81</f>
        <v>0</v>
      </c>
      <c r="BM81" s="7" t="str">
        <f>'AS400'!BL81</f>
        <v>STLV</v>
      </c>
      <c r="BN81" s="7">
        <f>'AS400'!BM81</f>
        <v>818</v>
      </c>
      <c r="BO81" s="7">
        <f>'AS400'!BN81</f>
        <v>0</v>
      </c>
      <c r="BP81" s="7">
        <f>'AS400'!BO81</f>
        <v>12</v>
      </c>
      <c r="BQ81" s="7">
        <f>'AS400'!BP81</f>
        <v>20180201</v>
      </c>
      <c r="BR81" s="7">
        <f>'AS400'!BQ81</f>
        <v>0</v>
      </c>
      <c r="BS81" s="7">
        <f>'AS400'!BR81</f>
        <v>0</v>
      </c>
      <c r="BT81" s="7">
        <f>'AS400'!BS81</f>
        <v>7</v>
      </c>
      <c r="BV81" s="7">
        <f>'AS400'!BT81</f>
        <v>32</v>
      </c>
      <c r="BW81" s="7">
        <f>'AS400'!BU81</f>
        <v>0</v>
      </c>
      <c r="BX81" s="7">
        <f>'AS400'!BV81</f>
        <v>0</v>
      </c>
      <c r="BY81" s="7">
        <f>'AS400'!BW81</f>
        <v>0</v>
      </c>
      <c r="BZ81" s="7">
        <f>'AS400'!BX81</f>
        <v>0</v>
      </c>
      <c r="CA81" s="7">
        <f>'AS400'!BY81</f>
        <v>0</v>
      </c>
      <c r="CB81" s="7">
        <f>'AS400'!BZ81</f>
        <v>0</v>
      </c>
      <c r="CC81" s="7">
        <f>'AS400'!CA81</f>
        <v>0</v>
      </c>
      <c r="CD81" s="7">
        <f>'AS400'!CB81</f>
        <v>0</v>
      </c>
      <c r="CE81" s="7">
        <f>'AS400'!CC81</f>
        <v>0</v>
      </c>
      <c r="CF81" s="7">
        <f>'AS400'!CD81</f>
        <v>0</v>
      </c>
      <c r="CG81" s="7">
        <f>'AS400'!CE81</f>
        <v>0</v>
      </c>
      <c r="CH81" s="7">
        <f>'AS400'!CF81</f>
        <v>0</v>
      </c>
      <c r="CI81" s="7">
        <f>'AS400'!CG81</f>
        <v>0</v>
      </c>
      <c r="CJ81" s="7">
        <f>'AS400'!CH81</f>
        <v>0</v>
      </c>
      <c r="CK81" s="7">
        <f>'AS400'!CI81</f>
        <v>0</v>
      </c>
      <c r="CL81" s="7">
        <f>'AS400'!CJ81</f>
        <v>0</v>
      </c>
      <c r="CM81" s="8">
        <f>'AS400'!CK81</f>
        <v>1</v>
      </c>
      <c r="CN81" s="7">
        <f>'AS400'!CL81</f>
        <v>3</v>
      </c>
      <c r="CO81" s="7" t="str">
        <f>'AS400'!CM81</f>
        <v>PUDT</v>
      </c>
      <c r="CP81" s="7">
        <f>'AS400'!CN81</f>
        <v>100</v>
      </c>
      <c r="CQ81" s="7">
        <f>'AS400'!CO81</f>
        <v>20180301</v>
      </c>
      <c r="CR81" s="7">
        <f>'AS400'!CP81</f>
        <v>20180301</v>
      </c>
      <c r="CS81" s="7" t="str">
        <f>'AS400'!CQ81</f>
        <v>S</v>
      </c>
      <c r="CT81" s="7" t="str">
        <f>'AS400'!CR81</f>
        <v>MT</v>
      </c>
      <c r="CU81" s="7">
        <f>'AS400'!CS81</f>
        <v>20180301</v>
      </c>
      <c r="CV81" s="7">
        <f>'AS400'!CT81</f>
        <v>0</v>
      </c>
      <c r="CW81" s="7">
        <f>'AS400'!CU81</f>
        <v>0</v>
      </c>
      <c r="CX81" s="7">
        <f>'AS400'!CV81</f>
        <v>0</v>
      </c>
      <c r="CY81" s="7">
        <f>'AS400'!CW81</f>
        <v>0</v>
      </c>
      <c r="CZ81" s="7" t="str">
        <f>'AS400'!CX81</f>
        <v>STLV</v>
      </c>
      <c r="DA81" s="7">
        <f>'AS400'!CY81</f>
        <v>818</v>
      </c>
      <c r="DB81" s="7">
        <f>'AS400'!CZ81</f>
        <v>0</v>
      </c>
      <c r="DC81" s="7">
        <f>'AS400'!DA81</f>
        <v>12</v>
      </c>
      <c r="DD81" s="7">
        <f>'AS400'!DB81</f>
        <v>20180201</v>
      </c>
      <c r="DE81" s="7">
        <f>'AS400'!DC81</f>
        <v>0</v>
      </c>
      <c r="DF81" s="7">
        <f>'AS400'!DD81</f>
        <v>0</v>
      </c>
      <c r="DG81" s="7">
        <f>'AS400'!DE81</f>
        <v>11</v>
      </c>
      <c r="DI81" s="7">
        <f>'AS400'!DF81</f>
        <v>32</v>
      </c>
      <c r="DJ81" s="7">
        <f>'AS400'!DG81</f>
        <v>0</v>
      </c>
      <c r="DK81" s="7">
        <f>'AS400'!DH81</f>
        <v>0</v>
      </c>
      <c r="DL81" s="7">
        <f>'AS400'!DI81</f>
        <v>0</v>
      </c>
      <c r="DM81" s="7">
        <f>'AS400'!DJ81</f>
        <v>0</v>
      </c>
      <c r="DN81" s="7">
        <f>'AS400'!DK81</f>
        <v>0</v>
      </c>
      <c r="DO81" s="7">
        <f>'AS400'!DL81</f>
        <v>0</v>
      </c>
      <c r="DP81" s="7">
        <f>'AS400'!DM81</f>
        <v>0</v>
      </c>
      <c r="DQ81" s="7">
        <f>'AS400'!DN81</f>
        <v>0</v>
      </c>
      <c r="DR81" s="7">
        <f>'AS400'!DO81</f>
        <v>0</v>
      </c>
      <c r="DS81" s="7">
        <f>'AS400'!DP81</f>
        <v>0</v>
      </c>
      <c r="DT81" s="7">
        <f>'AS400'!DQ81</f>
        <v>0</v>
      </c>
      <c r="DU81" s="7">
        <f>'AS400'!DR81</f>
        <v>0</v>
      </c>
      <c r="DV81" s="7">
        <f>'AS400'!DS81</f>
        <v>0</v>
      </c>
      <c r="DW81" s="7">
        <f>'AS400'!DT81</f>
        <v>0</v>
      </c>
      <c r="DX81" s="7">
        <f>'AS400'!DU81</f>
        <v>0</v>
      </c>
      <c r="DY81" s="7">
        <f>'AS400'!DV81</f>
        <v>0</v>
      </c>
      <c r="DZ81" s="8">
        <f>'AS400'!DW81</f>
        <v>1</v>
      </c>
      <c r="EA81" s="7">
        <f>'AS400'!DX81</f>
        <v>4</v>
      </c>
      <c r="EB81" s="7" t="str">
        <f>'AS400'!DY81</f>
        <v>PUDS</v>
      </c>
      <c r="EC81" s="7">
        <f>'AS400'!DZ81</f>
        <v>100</v>
      </c>
      <c r="ED81" s="7">
        <f>'AS400'!EA81</f>
        <v>20180301</v>
      </c>
      <c r="EE81" s="7">
        <f>'AS400'!EB81</f>
        <v>20180301</v>
      </c>
      <c r="EF81" s="7" t="str">
        <f>'AS400'!EC81</f>
        <v>S</v>
      </c>
      <c r="EG81" s="7" t="str">
        <f>'AS400'!ED81</f>
        <v>MS</v>
      </c>
      <c r="EH81" s="7">
        <f>'AS400'!EE81</f>
        <v>20180301</v>
      </c>
      <c r="EI81" s="7">
        <f>'AS400'!EF81</f>
        <v>0</v>
      </c>
      <c r="EJ81" s="7">
        <f>'AS400'!EG81</f>
        <v>0</v>
      </c>
      <c r="EK81" s="7">
        <f>'AS400'!EH81</f>
        <v>0</v>
      </c>
      <c r="EL81" s="7">
        <f>'AS400'!EI81</f>
        <v>0</v>
      </c>
      <c r="EM81" s="7" t="str">
        <f>'AS400'!EJ81</f>
        <v>STLV</v>
      </c>
      <c r="EN81" s="7">
        <f>'AS400'!EK81</f>
        <v>818</v>
      </c>
      <c r="EO81" s="7">
        <f>'AS400'!EL81</f>
        <v>0</v>
      </c>
      <c r="EP81" s="7">
        <f>'AS400'!EM81</f>
        <v>12</v>
      </c>
      <c r="EQ81" s="7">
        <f>'AS400'!EN81</f>
        <v>20180201</v>
      </c>
      <c r="ER81" s="7">
        <f>'AS400'!EO81</f>
        <v>0</v>
      </c>
      <c r="ES81" s="7">
        <f>'AS400'!EP81</f>
        <v>0</v>
      </c>
      <c r="ET81" s="7">
        <f>'AS400'!EQ81</f>
        <v>6</v>
      </c>
      <c r="EV81" s="7">
        <f>'AS400'!ER81</f>
        <v>32</v>
      </c>
      <c r="EW81" s="7">
        <f>'AS400'!ES81</f>
        <v>0</v>
      </c>
      <c r="EX81" s="7">
        <f>'AS400'!ET81</f>
        <v>0</v>
      </c>
      <c r="EY81" s="7">
        <f>'AS400'!EU81</f>
        <v>0</v>
      </c>
      <c r="EZ81" s="7">
        <f>'AS400'!EV81</f>
        <v>0</v>
      </c>
      <c r="FA81" s="7">
        <f>'AS400'!EW81</f>
        <v>0</v>
      </c>
      <c r="FB81" s="7">
        <f>'AS400'!EX81</f>
        <v>0</v>
      </c>
      <c r="FC81" s="7">
        <f>'AS400'!EY81</f>
        <v>0</v>
      </c>
      <c r="FD81" s="7">
        <f>'AS400'!EZ81</f>
        <v>0</v>
      </c>
      <c r="FE81" s="7">
        <f>'AS400'!FA81</f>
        <v>0</v>
      </c>
      <c r="FF81" s="7">
        <f>'AS400'!FB81</f>
        <v>0</v>
      </c>
      <c r="FG81" s="7">
        <f>'AS400'!FC81</f>
        <v>0</v>
      </c>
      <c r="FH81" s="7">
        <f>'AS400'!FD81</f>
        <v>0</v>
      </c>
      <c r="FI81" s="7">
        <f>'AS400'!FE81</f>
        <v>0</v>
      </c>
      <c r="FJ81" s="7">
        <f>'AS400'!FF81</f>
        <v>0</v>
      </c>
      <c r="FK81" s="7">
        <f>'AS400'!FG81</f>
        <v>0</v>
      </c>
      <c r="FL81" s="7">
        <f>'AS400'!FH81</f>
        <v>0</v>
      </c>
      <c r="FM81" s="7">
        <f>'AS400'!FI81</f>
        <v>1</v>
      </c>
      <c r="FN81" s="7">
        <f>'AS400'!FJ81</f>
        <v>1</v>
      </c>
      <c r="FO81" s="7">
        <f>'AS400'!FO81</f>
        <v>0</v>
      </c>
      <c r="FP81" s="7">
        <f>'AS400'!FP81</f>
        <v>4</v>
      </c>
      <c r="FQ81" s="7">
        <f>'AS400'!FQ81</f>
        <v>1</v>
      </c>
      <c r="FR81" s="7">
        <f>'AS400'!FR81</f>
        <v>1</v>
      </c>
      <c r="FS81" s="13">
        <f>'AS400'!FO81</f>
        <v>0</v>
      </c>
    </row>
    <row r="82" spans="1:175">
      <c r="A82" s="7">
        <f>'AS400'!A82</f>
        <v>76</v>
      </c>
      <c r="B82" s="7">
        <f>'AS400'!B82</f>
        <v>20190301</v>
      </c>
      <c r="C82" s="7">
        <f>'AS400'!C82</f>
        <v>0</v>
      </c>
      <c r="D82" s="7" t="str">
        <f>'AS400'!D82</f>
        <v>N</v>
      </c>
      <c r="E82" s="7" t="str">
        <f>'AS400'!E82</f>
        <v>N</v>
      </c>
      <c r="F82" s="7" t="str">
        <f>'AS400'!F82</f>
        <v>Y</v>
      </c>
      <c r="G82" s="7">
        <f>'AS400'!G82</f>
        <v>0</v>
      </c>
      <c r="H82" s="14"/>
      <c r="I82" s="7" t="str">
        <f>'AS400'!I82</f>
        <v>RSA</v>
      </c>
      <c r="J82" s="7" t="str">
        <f>'AS400'!J82</f>
        <v>METR</v>
      </c>
      <c r="K82" s="7" t="str">
        <f>'AS400'!K82</f>
        <v>N</v>
      </c>
      <c r="L82" s="7">
        <f>'AS400'!L82</f>
        <v>4</v>
      </c>
      <c r="M82" s="8">
        <f>'AS400'!M82</f>
        <v>1</v>
      </c>
      <c r="N82" s="7">
        <f>'AS400'!N82</f>
        <v>1</v>
      </c>
      <c r="O82" s="7" t="str">
        <f>'AS400'!O82</f>
        <v>MFSP</v>
      </c>
      <c r="P82" s="7">
        <f>'AS400'!P82</f>
        <v>100</v>
      </c>
      <c r="Q82" s="7">
        <f>'AS400'!Q82</f>
        <v>20180301</v>
      </c>
      <c r="R82" s="7">
        <f>'AS400'!R82</f>
        <v>20180301</v>
      </c>
      <c r="S82" s="7" t="str">
        <f>'AS400'!S82</f>
        <v>M</v>
      </c>
      <c r="T82" s="7" t="str">
        <f>'AS400'!T82</f>
        <v>MK</v>
      </c>
      <c r="U82" s="7">
        <f>'AS400'!U82</f>
        <v>20190301</v>
      </c>
      <c r="V82" s="7">
        <f>'AS400'!V82</f>
        <v>6</v>
      </c>
      <c r="W82" s="7">
        <f>'AS400'!W82</f>
        <v>6</v>
      </c>
      <c r="X82" s="7" t="str">
        <f>'AS400'!X82</f>
        <v>MFIX</v>
      </c>
      <c r="Y82" s="7">
        <f>'AS400'!Y82</f>
        <v>0</v>
      </c>
      <c r="Z82" s="7" t="str">
        <f>'AS400'!Z82</f>
        <v>STLV</v>
      </c>
      <c r="AA82" s="7">
        <f>'AS400'!AA82</f>
        <v>818</v>
      </c>
      <c r="AB82" s="7">
        <f>'AS400'!AB82</f>
        <v>0</v>
      </c>
      <c r="AC82" s="7">
        <f>'AS400'!AC82</f>
        <v>12</v>
      </c>
      <c r="AD82" s="7">
        <f>'AS400'!AD82</f>
        <v>20180201</v>
      </c>
      <c r="AE82" s="7">
        <f>'AS400'!AE82</f>
        <v>0</v>
      </c>
      <c r="AF82" s="7">
        <f>'AS400'!AF82</f>
        <v>65000</v>
      </c>
      <c r="AG82" s="7">
        <f>'AS400'!AG82</f>
        <v>86</v>
      </c>
      <c r="AI82" s="7">
        <f>'AS400'!AH82</f>
        <v>33</v>
      </c>
      <c r="AJ82" s="7">
        <f>'AS400'!AI82</f>
        <v>0</v>
      </c>
      <c r="AK82" s="7">
        <f>'AS400'!AJ82</f>
        <v>0</v>
      </c>
      <c r="AL82" s="7">
        <f>'AS400'!AK82</f>
        <v>0</v>
      </c>
      <c r="AM82" s="7">
        <f>'AS400'!AL82</f>
        <v>0</v>
      </c>
      <c r="AN82" s="7">
        <f>'AS400'!AM82</f>
        <v>0</v>
      </c>
      <c r="AO82" s="7">
        <f>'AS400'!AN82</f>
        <v>0</v>
      </c>
      <c r="AP82" s="7">
        <f>'AS400'!AO82</f>
        <v>0</v>
      </c>
      <c r="AQ82" s="7">
        <f>'AS400'!AP82</f>
        <v>0</v>
      </c>
      <c r="AR82" s="7">
        <f>'AS400'!AQ82</f>
        <v>0</v>
      </c>
      <c r="AS82" s="7">
        <f>'AS400'!AR82</f>
        <v>0</v>
      </c>
      <c r="AT82" s="7">
        <f>'AS400'!AS82</f>
        <v>0</v>
      </c>
      <c r="AU82" s="7">
        <f>'AS400'!AT82</f>
        <v>0</v>
      </c>
      <c r="AV82" s="7">
        <f>'AS400'!AU82</f>
        <v>0</v>
      </c>
      <c r="AW82" s="7">
        <f>'AS400'!AV82</f>
        <v>0</v>
      </c>
      <c r="AX82" s="7">
        <f>'AS400'!AW82</f>
        <v>0</v>
      </c>
      <c r="AY82" s="7">
        <f>'AS400'!AX82</f>
        <v>0</v>
      </c>
      <c r="AZ82" s="8">
        <f>'AS400'!AY82</f>
        <v>1</v>
      </c>
      <c r="BA82" s="7">
        <f>'AS400'!AZ82</f>
        <v>2</v>
      </c>
      <c r="BB82" s="7" t="str">
        <f>'AS400'!BA82</f>
        <v>PURO</v>
      </c>
      <c r="BC82" s="7">
        <f>'AS400'!BB82</f>
        <v>100</v>
      </c>
      <c r="BD82" s="7">
        <f>'AS400'!BC82</f>
        <v>20180301</v>
      </c>
      <c r="BE82" s="7">
        <f>'AS400'!BD82</f>
        <v>20180301</v>
      </c>
      <c r="BF82" s="7" t="str">
        <f>'AS400'!BE82</f>
        <v>S</v>
      </c>
      <c r="BG82" s="7" t="str">
        <f>'AS400'!BF82</f>
        <v>ME</v>
      </c>
      <c r="BH82" s="7">
        <f>'AS400'!BG82</f>
        <v>20180301</v>
      </c>
      <c r="BI82" s="7">
        <f>'AS400'!BH82</f>
        <v>0</v>
      </c>
      <c r="BJ82" s="7">
        <f>'AS400'!BI82</f>
        <v>0</v>
      </c>
      <c r="BK82" s="7">
        <f>'AS400'!BJ82</f>
        <v>0</v>
      </c>
      <c r="BL82" s="7">
        <f>'AS400'!BK82</f>
        <v>0</v>
      </c>
      <c r="BM82" s="7" t="str">
        <f>'AS400'!BL82</f>
        <v>STLV</v>
      </c>
      <c r="BN82" s="7">
        <f>'AS400'!BM82</f>
        <v>818</v>
      </c>
      <c r="BO82" s="7">
        <f>'AS400'!BN82</f>
        <v>0</v>
      </c>
      <c r="BP82" s="7">
        <f>'AS400'!BO82</f>
        <v>12</v>
      </c>
      <c r="BQ82" s="7">
        <f>'AS400'!BP82</f>
        <v>20180201</v>
      </c>
      <c r="BR82" s="7">
        <f>'AS400'!BQ82</f>
        <v>0</v>
      </c>
      <c r="BS82" s="7">
        <f>'AS400'!BR82</f>
        <v>0</v>
      </c>
      <c r="BT82" s="7">
        <f>'AS400'!BS82</f>
        <v>7</v>
      </c>
      <c r="BV82" s="7">
        <f>'AS400'!BT82</f>
        <v>33</v>
      </c>
      <c r="BW82" s="7">
        <f>'AS400'!BU82</f>
        <v>0</v>
      </c>
      <c r="BX82" s="7">
        <f>'AS400'!BV82</f>
        <v>0</v>
      </c>
      <c r="BY82" s="7">
        <f>'AS400'!BW82</f>
        <v>0</v>
      </c>
      <c r="BZ82" s="7">
        <f>'AS400'!BX82</f>
        <v>0</v>
      </c>
      <c r="CA82" s="7">
        <f>'AS400'!BY82</f>
        <v>0</v>
      </c>
      <c r="CB82" s="7">
        <f>'AS400'!BZ82</f>
        <v>0</v>
      </c>
      <c r="CC82" s="7">
        <f>'AS400'!CA82</f>
        <v>0</v>
      </c>
      <c r="CD82" s="7">
        <f>'AS400'!CB82</f>
        <v>0</v>
      </c>
      <c r="CE82" s="7">
        <f>'AS400'!CC82</f>
        <v>0</v>
      </c>
      <c r="CF82" s="7">
        <f>'AS400'!CD82</f>
        <v>0</v>
      </c>
      <c r="CG82" s="7">
        <f>'AS400'!CE82</f>
        <v>0</v>
      </c>
      <c r="CH82" s="7">
        <f>'AS400'!CF82</f>
        <v>0</v>
      </c>
      <c r="CI82" s="7">
        <f>'AS400'!CG82</f>
        <v>0</v>
      </c>
      <c r="CJ82" s="7">
        <f>'AS400'!CH82</f>
        <v>0</v>
      </c>
      <c r="CK82" s="7">
        <f>'AS400'!CI82</f>
        <v>0</v>
      </c>
      <c r="CL82" s="7">
        <f>'AS400'!CJ82</f>
        <v>0</v>
      </c>
      <c r="CM82" s="8">
        <f>'AS400'!CK82</f>
        <v>1</v>
      </c>
      <c r="CN82" s="7">
        <f>'AS400'!CL82</f>
        <v>3</v>
      </c>
      <c r="CO82" s="7" t="str">
        <f>'AS400'!CM82</f>
        <v>PUDT</v>
      </c>
      <c r="CP82" s="7">
        <f>'AS400'!CN82</f>
        <v>100</v>
      </c>
      <c r="CQ82" s="7">
        <f>'AS400'!CO82</f>
        <v>20180301</v>
      </c>
      <c r="CR82" s="7">
        <f>'AS400'!CP82</f>
        <v>20180301</v>
      </c>
      <c r="CS82" s="7" t="str">
        <f>'AS400'!CQ82</f>
        <v>S</v>
      </c>
      <c r="CT82" s="7" t="str">
        <f>'AS400'!CR82</f>
        <v>MT</v>
      </c>
      <c r="CU82" s="7">
        <f>'AS400'!CS82</f>
        <v>20180301</v>
      </c>
      <c r="CV82" s="7">
        <f>'AS400'!CT82</f>
        <v>0</v>
      </c>
      <c r="CW82" s="7">
        <f>'AS400'!CU82</f>
        <v>0</v>
      </c>
      <c r="CX82" s="7">
        <f>'AS400'!CV82</f>
        <v>0</v>
      </c>
      <c r="CY82" s="7">
        <f>'AS400'!CW82</f>
        <v>0</v>
      </c>
      <c r="CZ82" s="7" t="str">
        <f>'AS400'!CX82</f>
        <v>STLV</v>
      </c>
      <c r="DA82" s="7">
        <f>'AS400'!CY82</f>
        <v>818</v>
      </c>
      <c r="DB82" s="7">
        <f>'AS400'!CZ82</f>
        <v>0</v>
      </c>
      <c r="DC82" s="7">
        <f>'AS400'!DA82</f>
        <v>12</v>
      </c>
      <c r="DD82" s="7">
        <f>'AS400'!DB82</f>
        <v>20180201</v>
      </c>
      <c r="DE82" s="7">
        <f>'AS400'!DC82</f>
        <v>0</v>
      </c>
      <c r="DF82" s="7">
        <f>'AS400'!DD82</f>
        <v>0</v>
      </c>
      <c r="DG82" s="7">
        <f>'AS400'!DE82</f>
        <v>12</v>
      </c>
      <c r="DI82" s="7">
        <f>'AS400'!DF82</f>
        <v>33</v>
      </c>
      <c r="DJ82" s="7">
        <f>'AS400'!DG82</f>
        <v>0</v>
      </c>
      <c r="DK82" s="7">
        <f>'AS400'!DH82</f>
        <v>0</v>
      </c>
      <c r="DL82" s="7">
        <f>'AS400'!DI82</f>
        <v>0</v>
      </c>
      <c r="DM82" s="7">
        <f>'AS400'!DJ82</f>
        <v>0</v>
      </c>
      <c r="DN82" s="7">
        <f>'AS400'!DK82</f>
        <v>0</v>
      </c>
      <c r="DO82" s="7">
        <f>'AS400'!DL82</f>
        <v>0</v>
      </c>
      <c r="DP82" s="7">
        <f>'AS400'!DM82</f>
        <v>0</v>
      </c>
      <c r="DQ82" s="7">
        <f>'AS400'!DN82</f>
        <v>0</v>
      </c>
      <c r="DR82" s="7">
        <f>'AS400'!DO82</f>
        <v>0</v>
      </c>
      <c r="DS82" s="7">
        <f>'AS400'!DP82</f>
        <v>0</v>
      </c>
      <c r="DT82" s="7">
        <f>'AS400'!DQ82</f>
        <v>0</v>
      </c>
      <c r="DU82" s="7">
        <f>'AS400'!DR82</f>
        <v>0</v>
      </c>
      <c r="DV82" s="7">
        <f>'AS400'!DS82</f>
        <v>0</v>
      </c>
      <c r="DW82" s="7">
        <f>'AS400'!DT82</f>
        <v>0</v>
      </c>
      <c r="DX82" s="7">
        <f>'AS400'!DU82</f>
        <v>0</v>
      </c>
      <c r="DY82" s="7">
        <f>'AS400'!DV82</f>
        <v>0</v>
      </c>
      <c r="DZ82" s="8">
        <f>'AS400'!DW82</f>
        <v>1</v>
      </c>
      <c r="EA82" s="7">
        <f>'AS400'!DX82</f>
        <v>4</v>
      </c>
      <c r="EB82" s="7" t="str">
        <f>'AS400'!DY82</f>
        <v>PUDS</v>
      </c>
      <c r="EC82" s="7">
        <f>'AS400'!DZ82</f>
        <v>100</v>
      </c>
      <c r="ED82" s="7">
        <f>'AS400'!EA82</f>
        <v>20180301</v>
      </c>
      <c r="EE82" s="7">
        <f>'AS400'!EB82</f>
        <v>20180301</v>
      </c>
      <c r="EF82" s="7" t="str">
        <f>'AS400'!EC82</f>
        <v>S</v>
      </c>
      <c r="EG82" s="7" t="str">
        <f>'AS400'!ED82</f>
        <v>MS</v>
      </c>
      <c r="EH82" s="7">
        <f>'AS400'!EE82</f>
        <v>20180301</v>
      </c>
      <c r="EI82" s="7">
        <f>'AS400'!EF82</f>
        <v>0</v>
      </c>
      <c r="EJ82" s="7">
        <f>'AS400'!EG82</f>
        <v>0</v>
      </c>
      <c r="EK82" s="7">
        <f>'AS400'!EH82</f>
        <v>0</v>
      </c>
      <c r="EL82" s="7">
        <f>'AS400'!EI82</f>
        <v>0</v>
      </c>
      <c r="EM82" s="7" t="str">
        <f>'AS400'!EJ82</f>
        <v>STLV</v>
      </c>
      <c r="EN82" s="7">
        <f>'AS400'!EK82</f>
        <v>818</v>
      </c>
      <c r="EO82" s="7">
        <f>'AS400'!EL82</f>
        <v>0</v>
      </c>
      <c r="EP82" s="7">
        <f>'AS400'!EM82</f>
        <v>12</v>
      </c>
      <c r="EQ82" s="7">
        <f>'AS400'!EN82</f>
        <v>20180201</v>
      </c>
      <c r="ER82" s="7">
        <f>'AS400'!EO82</f>
        <v>0</v>
      </c>
      <c r="ES82" s="7">
        <f>'AS400'!EP82</f>
        <v>0</v>
      </c>
      <c r="ET82" s="7">
        <f>'AS400'!EQ82</f>
        <v>6</v>
      </c>
      <c r="EV82" s="7">
        <f>'AS400'!ER82</f>
        <v>33</v>
      </c>
      <c r="EW82" s="7">
        <f>'AS400'!ES82</f>
        <v>0</v>
      </c>
      <c r="EX82" s="7">
        <f>'AS400'!ET82</f>
        <v>0</v>
      </c>
      <c r="EY82" s="7">
        <f>'AS400'!EU82</f>
        <v>0</v>
      </c>
      <c r="EZ82" s="7">
        <f>'AS400'!EV82</f>
        <v>0</v>
      </c>
      <c r="FA82" s="7">
        <f>'AS400'!EW82</f>
        <v>0</v>
      </c>
      <c r="FB82" s="7">
        <f>'AS400'!EX82</f>
        <v>0</v>
      </c>
      <c r="FC82" s="7">
        <f>'AS400'!EY82</f>
        <v>0</v>
      </c>
      <c r="FD82" s="7">
        <f>'AS400'!EZ82</f>
        <v>0</v>
      </c>
      <c r="FE82" s="7">
        <f>'AS400'!FA82</f>
        <v>0</v>
      </c>
      <c r="FF82" s="7">
        <f>'AS400'!FB82</f>
        <v>0</v>
      </c>
      <c r="FG82" s="7">
        <f>'AS400'!FC82</f>
        <v>0</v>
      </c>
      <c r="FH82" s="7">
        <f>'AS400'!FD82</f>
        <v>0</v>
      </c>
      <c r="FI82" s="7">
        <f>'AS400'!FE82</f>
        <v>0</v>
      </c>
      <c r="FJ82" s="7">
        <f>'AS400'!FF82</f>
        <v>0</v>
      </c>
      <c r="FK82" s="7">
        <f>'AS400'!FG82</f>
        <v>0</v>
      </c>
      <c r="FL82" s="7">
        <f>'AS400'!FH82</f>
        <v>0</v>
      </c>
      <c r="FM82" s="7">
        <f>'AS400'!FI82</f>
        <v>1</v>
      </c>
      <c r="FN82" s="7">
        <f>'AS400'!FJ82</f>
        <v>1</v>
      </c>
      <c r="FO82" s="7">
        <f>'AS400'!FO82</f>
        <v>0</v>
      </c>
      <c r="FP82" s="7">
        <f>'AS400'!FP82</f>
        <v>4</v>
      </c>
      <c r="FQ82" s="7">
        <f>'AS400'!FQ82</f>
        <v>1</v>
      </c>
      <c r="FR82" s="7">
        <f>'AS400'!FR82</f>
        <v>1</v>
      </c>
      <c r="FS82" s="13">
        <f>'AS400'!FO82</f>
        <v>0</v>
      </c>
    </row>
    <row r="83" spans="1:175">
      <c r="A83" s="7">
        <f>'AS400'!A83</f>
        <v>77</v>
      </c>
      <c r="B83" s="7">
        <f>'AS400'!B83</f>
        <v>20190301</v>
      </c>
      <c r="C83" s="7">
        <f>'AS400'!C83</f>
        <v>0</v>
      </c>
      <c r="D83" s="7" t="str">
        <f>'AS400'!D83</f>
        <v>N</v>
      </c>
      <c r="E83" s="7" t="str">
        <f>'AS400'!E83</f>
        <v>N</v>
      </c>
      <c r="F83" s="7" t="str">
        <f>'AS400'!F83</f>
        <v>Y</v>
      </c>
      <c r="G83" s="7">
        <f>'AS400'!G83</f>
        <v>0</v>
      </c>
      <c r="H83" s="14"/>
      <c r="I83" s="7" t="str">
        <f>'AS400'!I83</f>
        <v>RSA</v>
      </c>
      <c r="J83" s="7" t="str">
        <f>'AS400'!J83</f>
        <v>METR</v>
      </c>
      <c r="K83" s="7" t="str">
        <f>'AS400'!K83</f>
        <v>N</v>
      </c>
      <c r="L83" s="7">
        <f>'AS400'!L83</f>
        <v>4</v>
      </c>
      <c r="M83" s="8">
        <f>'AS400'!M83</f>
        <v>1</v>
      </c>
      <c r="N83" s="7">
        <f>'AS400'!N83</f>
        <v>1</v>
      </c>
      <c r="O83" s="7" t="str">
        <f>'AS400'!O83</f>
        <v>MFSP</v>
      </c>
      <c r="P83" s="7">
        <f>'AS400'!P83</f>
        <v>100</v>
      </c>
      <c r="Q83" s="7">
        <f>'AS400'!Q83</f>
        <v>20180301</v>
      </c>
      <c r="R83" s="7">
        <f>'AS400'!R83</f>
        <v>20180301</v>
      </c>
      <c r="S83" s="7" t="str">
        <f>'AS400'!S83</f>
        <v>M</v>
      </c>
      <c r="T83" s="7" t="str">
        <f>'AS400'!T83</f>
        <v>MK</v>
      </c>
      <c r="U83" s="7">
        <f>'AS400'!U83</f>
        <v>20190301</v>
      </c>
      <c r="V83" s="7">
        <f>'AS400'!V83</f>
        <v>6</v>
      </c>
      <c r="W83" s="7">
        <f>'AS400'!W83</f>
        <v>6</v>
      </c>
      <c r="X83" s="7" t="str">
        <f>'AS400'!X83</f>
        <v>MFIX</v>
      </c>
      <c r="Y83" s="7">
        <f>'AS400'!Y83</f>
        <v>0</v>
      </c>
      <c r="Z83" s="7" t="str">
        <f>'AS400'!Z83</f>
        <v>STLV</v>
      </c>
      <c r="AA83" s="7">
        <f>'AS400'!AA83</f>
        <v>818</v>
      </c>
      <c r="AB83" s="7">
        <f>'AS400'!AB83</f>
        <v>0</v>
      </c>
      <c r="AC83" s="7">
        <f>'AS400'!AC83</f>
        <v>12</v>
      </c>
      <c r="AD83" s="7">
        <f>'AS400'!AD83</f>
        <v>20180201</v>
      </c>
      <c r="AE83" s="7">
        <f>'AS400'!AE83</f>
        <v>0</v>
      </c>
      <c r="AF83" s="7">
        <f>'AS400'!AF83</f>
        <v>70000</v>
      </c>
      <c r="AG83" s="7">
        <f>'AS400'!AG83</f>
        <v>91</v>
      </c>
      <c r="AI83" s="7">
        <f>'AS400'!AH83</f>
        <v>34</v>
      </c>
      <c r="AJ83" s="7">
        <f>'AS400'!AI83</f>
        <v>0</v>
      </c>
      <c r="AK83" s="7">
        <f>'AS400'!AJ83</f>
        <v>0</v>
      </c>
      <c r="AL83" s="7">
        <f>'AS400'!AK83</f>
        <v>0</v>
      </c>
      <c r="AM83" s="7">
        <f>'AS400'!AL83</f>
        <v>0</v>
      </c>
      <c r="AN83" s="7">
        <f>'AS400'!AM83</f>
        <v>0</v>
      </c>
      <c r="AO83" s="7">
        <f>'AS400'!AN83</f>
        <v>0</v>
      </c>
      <c r="AP83" s="7">
        <f>'AS400'!AO83</f>
        <v>0</v>
      </c>
      <c r="AQ83" s="7">
        <f>'AS400'!AP83</f>
        <v>0</v>
      </c>
      <c r="AR83" s="7">
        <f>'AS400'!AQ83</f>
        <v>0</v>
      </c>
      <c r="AS83" s="7">
        <f>'AS400'!AR83</f>
        <v>0</v>
      </c>
      <c r="AT83" s="7">
        <f>'AS400'!AS83</f>
        <v>0</v>
      </c>
      <c r="AU83" s="7">
        <f>'AS400'!AT83</f>
        <v>0</v>
      </c>
      <c r="AV83" s="7">
        <f>'AS400'!AU83</f>
        <v>0</v>
      </c>
      <c r="AW83" s="7">
        <f>'AS400'!AV83</f>
        <v>0</v>
      </c>
      <c r="AX83" s="7">
        <f>'AS400'!AW83</f>
        <v>0</v>
      </c>
      <c r="AY83" s="7">
        <f>'AS400'!AX83</f>
        <v>0</v>
      </c>
      <c r="AZ83" s="8">
        <f>'AS400'!AY83</f>
        <v>1</v>
      </c>
      <c r="BA83" s="7">
        <f>'AS400'!AZ83</f>
        <v>2</v>
      </c>
      <c r="BB83" s="7" t="str">
        <f>'AS400'!BA83</f>
        <v>PURO</v>
      </c>
      <c r="BC83" s="7">
        <f>'AS400'!BB83</f>
        <v>100</v>
      </c>
      <c r="BD83" s="7">
        <f>'AS400'!BC83</f>
        <v>20180301</v>
      </c>
      <c r="BE83" s="7">
        <f>'AS400'!BD83</f>
        <v>20180301</v>
      </c>
      <c r="BF83" s="7" t="str">
        <f>'AS400'!BE83</f>
        <v>S</v>
      </c>
      <c r="BG83" s="7" t="str">
        <f>'AS400'!BF83</f>
        <v>ME</v>
      </c>
      <c r="BH83" s="7">
        <f>'AS400'!BG83</f>
        <v>20180301</v>
      </c>
      <c r="BI83" s="7">
        <f>'AS400'!BH83</f>
        <v>0</v>
      </c>
      <c r="BJ83" s="7">
        <f>'AS400'!BI83</f>
        <v>0</v>
      </c>
      <c r="BK83" s="7">
        <f>'AS400'!BJ83</f>
        <v>0</v>
      </c>
      <c r="BL83" s="7">
        <f>'AS400'!BK83</f>
        <v>0</v>
      </c>
      <c r="BM83" s="7" t="str">
        <f>'AS400'!BL83</f>
        <v>STLV</v>
      </c>
      <c r="BN83" s="7">
        <f>'AS400'!BM83</f>
        <v>818</v>
      </c>
      <c r="BO83" s="7">
        <f>'AS400'!BN83</f>
        <v>0</v>
      </c>
      <c r="BP83" s="7">
        <f>'AS400'!BO83</f>
        <v>12</v>
      </c>
      <c r="BQ83" s="7">
        <f>'AS400'!BP83</f>
        <v>20180201</v>
      </c>
      <c r="BR83" s="7">
        <f>'AS400'!BQ83</f>
        <v>0</v>
      </c>
      <c r="BS83" s="7">
        <f>'AS400'!BR83</f>
        <v>0</v>
      </c>
      <c r="BT83" s="7">
        <f>'AS400'!BS83</f>
        <v>7</v>
      </c>
      <c r="BV83" s="7">
        <f>'AS400'!BT83</f>
        <v>34</v>
      </c>
      <c r="BW83" s="7">
        <f>'AS400'!BU83</f>
        <v>0</v>
      </c>
      <c r="BX83" s="7">
        <f>'AS400'!BV83</f>
        <v>0</v>
      </c>
      <c r="BY83" s="7">
        <f>'AS400'!BW83</f>
        <v>0</v>
      </c>
      <c r="BZ83" s="7">
        <f>'AS400'!BX83</f>
        <v>0</v>
      </c>
      <c r="CA83" s="7">
        <f>'AS400'!BY83</f>
        <v>0</v>
      </c>
      <c r="CB83" s="7">
        <f>'AS400'!BZ83</f>
        <v>0</v>
      </c>
      <c r="CC83" s="7">
        <f>'AS400'!CA83</f>
        <v>0</v>
      </c>
      <c r="CD83" s="7">
        <f>'AS400'!CB83</f>
        <v>0</v>
      </c>
      <c r="CE83" s="7">
        <f>'AS400'!CC83</f>
        <v>0</v>
      </c>
      <c r="CF83" s="7">
        <f>'AS400'!CD83</f>
        <v>0</v>
      </c>
      <c r="CG83" s="7">
        <f>'AS400'!CE83</f>
        <v>0</v>
      </c>
      <c r="CH83" s="7">
        <f>'AS400'!CF83</f>
        <v>0</v>
      </c>
      <c r="CI83" s="7">
        <f>'AS400'!CG83</f>
        <v>0</v>
      </c>
      <c r="CJ83" s="7">
        <f>'AS400'!CH83</f>
        <v>0</v>
      </c>
      <c r="CK83" s="7">
        <f>'AS400'!CI83</f>
        <v>0</v>
      </c>
      <c r="CL83" s="7">
        <f>'AS400'!CJ83</f>
        <v>0</v>
      </c>
      <c r="CM83" s="8">
        <f>'AS400'!CK83</f>
        <v>1</v>
      </c>
      <c r="CN83" s="7">
        <f>'AS400'!CL83</f>
        <v>3</v>
      </c>
      <c r="CO83" s="7" t="str">
        <f>'AS400'!CM83</f>
        <v>PUDT</v>
      </c>
      <c r="CP83" s="7">
        <f>'AS400'!CN83</f>
        <v>100</v>
      </c>
      <c r="CQ83" s="7">
        <f>'AS400'!CO83</f>
        <v>20180301</v>
      </c>
      <c r="CR83" s="7">
        <f>'AS400'!CP83</f>
        <v>20180301</v>
      </c>
      <c r="CS83" s="7" t="str">
        <f>'AS400'!CQ83</f>
        <v>S</v>
      </c>
      <c r="CT83" s="7" t="str">
        <f>'AS400'!CR83</f>
        <v>MT</v>
      </c>
      <c r="CU83" s="7">
        <f>'AS400'!CS83</f>
        <v>20180301</v>
      </c>
      <c r="CV83" s="7">
        <f>'AS400'!CT83</f>
        <v>0</v>
      </c>
      <c r="CW83" s="7">
        <f>'AS400'!CU83</f>
        <v>0</v>
      </c>
      <c r="CX83" s="7">
        <f>'AS400'!CV83</f>
        <v>0</v>
      </c>
      <c r="CY83" s="7">
        <f>'AS400'!CW83</f>
        <v>0</v>
      </c>
      <c r="CZ83" s="7" t="str">
        <f>'AS400'!CX83</f>
        <v>STLV</v>
      </c>
      <c r="DA83" s="7">
        <f>'AS400'!CY83</f>
        <v>818</v>
      </c>
      <c r="DB83" s="7">
        <f>'AS400'!CZ83</f>
        <v>0</v>
      </c>
      <c r="DC83" s="7">
        <f>'AS400'!DA83</f>
        <v>12</v>
      </c>
      <c r="DD83" s="7">
        <f>'AS400'!DB83</f>
        <v>20180201</v>
      </c>
      <c r="DE83" s="7">
        <f>'AS400'!DC83</f>
        <v>0</v>
      </c>
      <c r="DF83" s="7">
        <f>'AS400'!DD83</f>
        <v>0</v>
      </c>
      <c r="DG83" s="7">
        <f>'AS400'!DE83</f>
        <v>12</v>
      </c>
      <c r="DI83" s="7">
        <f>'AS400'!DF83</f>
        <v>34</v>
      </c>
      <c r="DJ83" s="7">
        <f>'AS400'!DG83</f>
        <v>0</v>
      </c>
      <c r="DK83" s="7">
        <f>'AS400'!DH83</f>
        <v>0</v>
      </c>
      <c r="DL83" s="7">
        <f>'AS400'!DI83</f>
        <v>0</v>
      </c>
      <c r="DM83" s="7">
        <f>'AS400'!DJ83</f>
        <v>0</v>
      </c>
      <c r="DN83" s="7">
        <f>'AS400'!DK83</f>
        <v>0</v>
      </c>
      <c r="DO83" s="7">
        <f>'AS400'!DL83</f>
        <v>0</v>
      </c>
      <c r="DP83" s="7">
        <f>'AS400'!DM83</f>
        <v>0</v>
      </c>
      <c r="DQ83" s="7">
        <f>'AS400'!DN83</f>
        <v>0</v>
      </c>
      <c r="DR83" s="7">
        <f>'AS400'!DO83</f>
        <v>0</v>
      </c>
      <c r="DS83" s="7">
        <f>'AS400'!DP83</f>
        <v>0</v>
      </c>
      <c r="DT83" s="7">
        <f>'AS400'!DQ83</f>
        <v>0</v>
      </c>
      <c r="DU83" s="7">
        <f>'AS400'!DR83</f>
        <v>0</v>
      </c>
      <c r="DV83" s="7">
        <f>'AS400'!DS83</f>
        <v>0</v>
      </c>
      <c r="DW83" s="7">
        <f>'AS400'!DT83</f>
        <v>0</v>
      </c>
      <c r="DX83" s="7">
        <f>'AS400'!DU83</f>
        <v>0</v>
      </c>
      <c r="DY83" s="7">
        <f>'AS400'!DV83</f>
        <v>0</v>
      </c>
      <c r="DZ83" s="8">
        <f>'AS400'!DW83</f>
        <v>1</v>
      </c>
      <c r="EA83" s="7">
        <f>'AS400'!DX83</f>
        <v>4</v>
      </c>
      <c r="EB83" s="7" t="str">
        <f>'AS400'!DY83</f>
        <v>PUDS</v>
      </c>
      <c r="EC83" s="7">
        <f>'AS400'!DZ83</f>
        <v>100</v>
      </c>
      <c r="ED83" s="7">
        <f>'AS400'!EA83</f>
        <v>20180301</v>
      </c>
      <c r="EE83" s="7">
        <f>'AS400'!EB83</f>
        <v>20180301</v>
      </c>
      <c r="EF83" s="7" t="str">
        <f>'AS400'!EC83</f>
        <v>S</v>
      </c>
      <c r="EG83" s="7" t="str">
        <f>'AS400'!ED83</f>
        <v>MS</v>
      </c>
      <c r="EH83" s="7">
        <f>'AS400'!EE83</f>
        <v>20180301</v>
      </c>
      <c r="EI83" s="7">
        <f>'AS400'!EF83</f>
        <v>0</v>
      </c>
      <c r="EJ83" s="7">
        <f>'AS400'!EG83</f>
        <v>0</v>
      </c>
      <c r="EK83" s="7">
        <f>'AS400'!EH83</f>
        <v>0</v>
      </c>
      <c r="EL83" s="7">
        <f>'AS400'!EI83</f>
        <v>0</v>
      </c>
      <c r="EM83" s="7" t="str">
        <f>'AS400'!EJ83</f>
        <v>STLV</v>
      </c>
      <c r="EN83" s="7">
        <f>'AS400'!EK83</f>
        <v>818</v>
      </c>
      <c r="EO83" s="7">
        <f>'AS400'!EL83</f>
        <v>0</v>
      </c>
      <c r="EP83" s="7">
        <f>'AS400'!EM83</f>
        <v>12</v>
      </c>
      <c r="EQ83" s="7">
        <f>'AS400'!EN83</f>
        <v>20180201</v>
      </c>
      <c r="ER83" s="7">
        <f>'AS400'!EO83</f>
        <v>0</v>
      </c>
      <c r="ES83" s="7">
        <f>'AS400'!EP83</f>
        <v>0</v>
      </c>
      <c r="ET83" s="7">
        <f>'AS400'!EQ83</f>
        <v>6</v>
      </c>
      <c r="EV83" s="7">
        <f>'AS400'!ER83</f>
        <v>34</v>
      </c>
      <c r="EW83" s="7">
        <f>'AS400'!ES83</f>
        <v>0</v>
      </c>
      <c r="EX83" s="7">
        <f>'AS400'!ET83</f>
        <v>0</v>
      </c>
      <c r="EY83" s="7">
        <f>'AS400'!EU83</f>
        <v>0</v>
      </c>
      <c r="EZ83" s="7">
        <f>'AS400'!EV83</f>
        <v>0</v>
      </c>
      <c r="FA83" s="7">
        <f>'AS400'!EW83</f>
        <v>0</v>
      </c>
      <c r="FB83" s="7">
        <f>'AS400'!EX83</f>
        <v>0</v>
      </c>
      <c r="FC83" s="7">
        <f>'AS400'!EY83</f>
        <v>0</v>
      </c>
      <c r="FD83" s="7">
        <f>'AS400'!EZ83</f>
        <v>0</v>
      </c>
      <c r="FE83" s="7">
        <f>'AS400'!FA83</f>
        <v>0</v>
      </c>
      <c r="FF83" s="7">
        <f>'AS400'!FB83</f>
        <v>0</v>
      </c>
      <c r="FG83" s="7">
        <f>'AS400'!FC83</f>
        <v>0</v>
      </c>
      <c r="FH83" s="7">
        <f>'AS400'!FD83</f>
        <v>0</v>
      </c>
      <c r="FI83" s="7">
        <f>'AS400'!FE83</f>
        <v>0</v>
      </c>
      <c r="FJ83" s="7">
        <f>'AS400'!FF83</f>
        <v>0</v>
      </c>
      <c r="FK83" s="7">
        <f>'AS400'!FG83</f>
        <v>0</v>
      </c>
      <c r="FL83" s="7">
        <f>'AS400'!FH83</f>
        <v>0</v>
      </c>
      <c r="FM83" s="7">
        <f>'AS400'!FI83</f>
        <v>1</v>
      </c>
      <c r="FN83" s="7">
        <f>'AS400'!FJ83</f>
        <v>1</v>
      </c>
      <c r="FO83" s="7">
        <f>'AS400'!FO83</f>
        <v>0</v>
      </c>
      <c r="FP83" s="7">
        <f>'AS400'!FP83</f>
        <v>4</v>
      </c>
      <c r="FQ83" s="7">
        <f>'AS400'!FQ83</f>
        <v>1</v>
      </c>
      <c r="FR83" s="7">
        <f>'AS400'!FR83</f>
        <v>1</v>
      </c>
      <c r="FS83" s="13">
        <f>'AS400'!FO83</f>
        <v>0</v>
      </c>
    </row>
    <row r="84" spans="1:175">
      <c r="A84" s="7">
        <f>'AS400'!A84</f>
        <v>78</v>
      </c>
      <c r="B84" s="7">
        <f>'AS400'!B84</f>
        <v>20190301</v>
      </c>
      <c r="C84" s="7">
        <f>'AS400'!C84</f>
        <v>0</v>
      </c>
      <c r="D84" s="7" t="str">
        <f>'AS400'!D84</f>
        <v>N</v>
      </c>
      <c r="E84" s="7" t="str">
        <f>'AS400'!E84</f>
        <v>N</v>
      </c>
      <c r="F84" s="7" t="str">
        <f>'AS400'!F84</f>
        <v>Y</v>
      </c>
      <c r="G84" s="7">
        <f>'AS400'!G84</f>
        <v>0</v>
      </c>
      <c r="H84" s="14"/>
      <c r="I84" s="7" t="str">
        <f>'AS400'!I84</f>
        <v>RSA</v>
      </c>
      <c r="J84" s="7" t="str">
        <f>'AS400'!J84</f>
        <v>METR</v>
      </c>
      <c r="K84" s="7" t="str">
        <f>'AS400'!K84</f>
        <v>N</v>
      </c>
      <c r="L84" s="7">
        <f>'AS400'!L84</f>
        <v>4</v>
      </c>
      <c r="M84" s="8">
        <f>'AS400'!M84</f>
        <v>1</v>
      </c>
      <c r="N84" s="7">
        <f>'AS400'!N84</f>
        <v>1</v>
      </c>
      <c r="O84" s="7" t="str">
        <f>'AS400'!O84</f>
        <v>MFSP</v>
      </c>
      <c r="P84" s="7">
        <f>'AS400'!P84</f>
        <v>100</v>
      </c>
      <c r="Q84" s="7">
        <f>'AS400'!Q84</f>
        <v>20180301</v>
      </c>
      <c r="R84" s="7">
        <f>'AS400'!R84</f>
        <v>20180301</v>
      </c>
      <c r="S84" s="7" t="str">
        <f>'AS400'!S84</f>
        <v>M</v>
      </c>
      <c r="T84" s="7" t="str">
        <f>'AS400'!T84</f>
        <v>MK</v>
      </c>
      <c r="U84" s="7">
        <f>'AS400'!U84</f>
        <v>20190301</v>
      </c>
      <c r="V84" s="7">
        <f>'AS400'!V84</f>
        <v>6</v>
      </c>
      <c r="W84" s="7">
        <f>'AS400'!W84</f>
        <v>6</v>
      </c>
      <c r="X84" s="7" t="str">
        <f>'AS400'!X84</f>
        <v>MFIX</v>
      </c>
      <c r="Y84" s="7">
        <f>'AS400'!Y84</f>
        <v>0</v>
      </c>
      <c r="Z84" s="7" t="str">
        <f>'AS400'!Z84</f>
        <v>STLV</v>
      </c>
      <c r="AA84" s="7">
        <f>'AS400'!AA84</f>
        <v>818</v>
      </c>
      <c r="AB84" s="7">
        <f>'AS400'!AB84</f>
        <v>0</v>
      </c>
      <c r="AC84" s="7">
        <f>'AS400'!AC84</f>
        <v>12</v>
      </c>
      <c r="AD84" s="7">
        <f>'AS400'!AD84</f>
        <v>20180201</v>
      </c>
      <c r="AE84" s="7">
        <f>'AS400'!AE84</f>
        <v>0</v>
      </c>
      <c r="AF84" s="7">
        <f>'AS400'!AF84</f>
        <v>75000</v>
      </c>
      <c r="AG84" s="7">
        <f>'AS400'!AG84</f>
        <v>95</v>
      </c>
      <c r="AI84" s="7">
        <f>'AS400'!AH84</f>
        <v>35</v>
      </c>
      <c r="AJ84" s="7">
        <f>'AS400'!AI84</f>
        <v>0</v>
      </c>
      <c r="AK84" s="7">
        <f>'AS400'!AJ84</f>
        <v>0</v>
      </c>
      <c r="AL84" s="7">
        <f>'AS400'!AK84</f>
        <v>0</v>
      </c>
      <c r="AM84" s="7">
        <f>'AS400'!AL84</f>
        <v>0</v>
      </c>
      <c r="AN84" s="7">
        <f>'AS400'!AM84</f>
        <v>0</v>
      </c>
      <c r="AO84" s="7">
        <f>'AS400'!AN84</f>
        <v>0</v>
      </c>
      <c r="AP84" s="7">
        <f>'AS400'!AO84</f>
        <v>0</v>
      </c>
      <c r="AQ84" s="7">
        <f>'AS400'!AP84</f>
        <v>0</v>
      </c>
      <c r="AR84" s="7">
        <f>'AS400'!AQ84</f>
        <v>0</v>
      </c>
      <c r="AS84" s="7">
        <f>'AS400'!AR84</f>
        <v>0</v>
      </c>
      <c r="AT84" s="7">
        <f>'AS400'!AS84</f>
        <v>0</v>
      </c>
      <c r="AU84" s="7">
        <f>'AS400'!AT84</f>
        <v>0</v>
      </c>
      <c r="AV84" s="7">
        <f>'AS400'!AU84</f>
        <v>0</v>
      </c>
      <c r="AW84" s="7">
        <f>'AS400'!AV84</f>
        <v>0</v>
      </c>
      <c r="AX84" s="7">
        <f>'AS400'!AW84</f>
        <v>0</v>
      </c>
      <c r="AY84" s="7">
        <f>'AS400'!AX84</f>
        <v>0</v>
      </c>
      <c r="AZ84" s="8">
        <f>'AS400'!AY84</f>
        <v>1</v>
      </c>
      <c r="BA84" s="7">
        <f>'AS400'!AZ84</f>
        <v>2</v>
      </c>
      <c r="BB84" s="7" t="str">
        <f>'AS400'!BA84</f>
        <v>PURO</v>
      </c>
      <c r="BC84" s="7">
        <f>'AS400'!BB84</f>
        <v>100</v>
      </c>
      <c r="BD84" s="7">
        <f>'AS400'!BC84</f>
        <v>20180301</v>
      </c>
      <c r="BE84" s="7">
        <f>'AS400'!BD84</f>
        <v>20180301</v>
      </c>
      <c r="BF84" s="7" t="str">
        <f>'AS400'!BE84</f>
        <v>S</v>
      </c>
      <c r="BG84" s="7" t="str">
        <f>'AS400'!BF84</f>
        <v>ME</v>
      </c>
      <c r="BH84" s="7">
        <f>'AS400'!BG84</f>
        <v>20180301</v>
      </c>
      <c r="BI84" s="7">
        <f>'AS400'!BH84</f>
        <v>0</v>
      </c>
      <c r="BJ84" s="7">
        <f>'AS400'!BI84</f>
        <v>0</v>
      </c>
      <c r="BK84" s="7">
        <f>'AS400'!BJ84</f>
        <v>0</v>
      </c>
      <c r="BL84" s="7">
        <f>'AS400'!BK84</f>
        <v>0</v>
      </c>
      <c r="BM84" s="7" t="str">
        <f>'AS400'!BL84</f>
        <v>STLV</v>
      </c>
      <c r="BN84" s="7">
        <f>'AS400'!BM84</f>
        <v>818</v>
      </c>
      <c r="BO84" s="7">
        <f>'AS400'!BN84</f>
        <v>0</v>
      </c>
      <c r="BP84" s="7">
        <f>'AS400'!BO84</f>
        <v>12</v>
      </c>
      <c r="BQ84" s="7">
        <f>'AS400'!BP84</f>
        <v>20180201</v>
      </c>
      <c r="BR84" s="7">
        <f>'AS400'!BQ84</f>
        <v>0</v>
      </c>
      <c r="BS84" s="7">
        <f>'AS400'!BR84</f>
        <v>0</v>
      </c>
      <c r="BT84" s="7">
        <f>'AS400'!BS84</f>
        <v>7</v>
      </c>
      <c r="BV84" s="7">
        <f>'AS400'!BT84</f>
        <v>35</v>
      </c>
      <c r="BW84" s="7">
        <f>'AS400'!BU84</f>
        <v>0</v>
      </c>
      <c r="BX84" s="7">
        <f>'AS400'!BV84</f>
        <v>0</v>
      </c>
      <c r="BY84" s="7">
        <f>'AS400'!BW84</f>
        <v>0</v>
      </c>
      <c r="BZ84" s="7">
        <f>'AS400'!BX84</f>
        <v>0</v>
      </c>
      <c r="CA84" s="7">
        <f>'AS400'!BY84</f>
        <v>0</v>
      </c>
      <c r="CB84" s="7">
        <f>'AS400'!BZ84</f>
        <v>0</v>
      </c>
      <c r="CC84" s="7">
        <f>'AS400'!CA84</f>
        <v>0</v>
      </c>
      <c r="CD84" s="7">
        <f>'AS400'!CB84</f>
        <v>0</v>
      </c>
      <c r="CE84" s="7">
        <f>'AS400'!CC84</f>
        <v>0</v>
      </c>
      <c r="CF84" s="7">
        <f>'AS400'!CD84</f>
        <v>0</v>
      </c>
      <c r="CG84" s="7">
        <f>'AS400'!CE84</f>
        <v>0</v>
      </c>
      <c r="CH84" s="7">
        <f>'AS400'!CF84</f>
        <v>0</v>
      </c>
      <c r="CI84" s="7">
        <f>'AS400'!CG84</f>
        <v>0</v>
      </c>
      <c r="CJ84" s="7">
        <f>'AS400'!CH84</f>
        <v>0</v>
      </c>
      <c r="CK84" s="7">
        <f>'AS400'!CI84</f>
        <v>0</v>
      </c>
      <c r="CL84" s="7">
        <f>'AS400'!CJ84</f>
        <v>0</v>
      </c>
      <c r="CM84" s="8">
        <f>'AS400'!CK84</f>
        <v>1</v>
      </c>
      <c r="CN84" s="7">
        <f>'AS400'!CL84</f>
        <v>3</v>
      </c>
      <c r="CO84" s="7" t="str">
        <f>'AS400'!CM84</f>
        <v>PUDT</v>
      </c>
      <c r="CP84" s="7">
        <f>'AS400'!CN84</f>
        <v>100</v>
      </c>
      <c r="CQ84" s="7">
        <f>'AS400'!CO84</f>
        <v>20180301</v>
      </c>
      <c r="CR84" s="7">
        <f>'AS400'!CP84</f>
        <v>20180301</v>
      </c>
      <c r="CS84" s="7" t="str">
        <f>'AS400'!CQ84</f>
        <v>S</v>
      </c>
      <c r="CT84" s="7" t="str">
        <f>'AS400'!CR84</f>
        <v>MT</v>
      </c>
      <c r="CU84" s="7">
        <f>'AS400'!CS84</f>
        <v>20180301</v>
      </c>
      <c r="CV84" s="7">
        <f>'AS400'!CT84</f>
        <v>0</v>
      </c>
      <c r="CW84" s="7">
        <f>'AS400'!CU84</f>
        <v>0</v>
      </c>
      <c r="CX84" s="7">
        <f>'AS400'!CV84</f>
        <v>0</v>
      </c>
      <c r="CY84" s="7">
        <f>'AS400'!CW84</f>
        <v>0</v>
      </c>
      <c r="CZ84" s="7" t="str">
        <f>'AS400'!CX84</f>
        <v>STLV</v>
      </c>
      <c r="DA84" s="7">
        <f>'AS400'!CY84</f>
        <v>818</v>
      </c>
      <c r="DB84" s="7">
        <f>'AS400'!CZ84</f>
        <v>0</v>
      </c>
      <c r="DC84" s="7">
        <f>'AS400'!DA84</f>
        <v>12</v>
      </c>
      <c r="DD84" s="7">
        <f>'AS400'!DB84</f>
        <v>20180201</v>
      </c>
      <c r="DE84" s="7">
        <f>'AS400'!DC84</f>
        <v>0</v>
      </c>
      <c r="DF84" s="7">
        <f>'AS400'!DD84</f>
        <v>0</v>
      </c>
      <c r="DG84" s="7">
        <f>'AS400'!DE84</f>
        <v>13</v>
      </c>
      <c r="DI84" s="7">
        <f>'AS400'!DF84</f>
        <v>35</v>
      </c>
      <c r="DJ84" s="7">
        <f>'AS400'!DG84</f>
        <v>0</v>
      </c>
      <c r="DK84" s="7">
        <f>'AS400'!DH84</f>
        <v>0</v>
      </c>
      <c r="DL84" s="7">
        <f>'AS400'!DI84</f>
        <v>0</v>
      </c>
      <c r="DM84" s="7">
        <f>'AS400'!DJ84</f>
        <v>0</v>
      </c>
      <c r="DN84" s="7">
        <f>'AS400'!DK84</f>
        <v>0</v>
      </c>
      <c r="DO84" s="7">
        <f>'AS400'!DL84</f>
        <v>0</v>
      </c>
      <c r="DP84" s="7">
        <f>'AS400'!DM84</f>
        <v>0</v>
      </c>
      <c r="DQ84" s="7">
        <f>'AS400'!DN84</f>
        <v>0</v>
      </c>
      <c r="DR84" s="7">
        <f>'AS400'!DO84</f>
        <v>0</v>
      </c>
      <c r="DS84" s="7">
        <f>'AS400'!DP84</f>
        <v>0</v>
      </c>
      <c r="DT84" s="7">
        <f>'AS400'!DQ84</f>
        <v>0</v>
      </c>
      <c r="DU84" s="7">
        <f>'AS400'!DR84</f>
        <v>0</v>
      </c>
      <c r="DV84" s="7">
        <f>'AS400'!DS84</f>
        <v>0</v>
      </c>
      <c r="DW84" s="7">
        <f>'AS400'!DT84</f>
        <v>0</v>
      </c>
      <c r="DX84" s="7">
        <f>'AS400'!DU84</f>
        <v>0</v>
      </c>
      <c r="DY84" s="7">
        <f>'AS400'!DV84</f>
        <v>0</v>
      </c>
      <c r="DZ84" s="8">
        <f>'AS400'!DW84</f>
        <v>1</v>
      </c>
      <c r="EA84" s="7">
        <f>'AS400'!DX84</f>
        <v>4</v>
      </c>
      <c r="EB84" s="7" t="str">
        <f>'AS400'!DY84</f>
        <v>PUDS</v>
      </c>
      <c r="EC84" s="7">
        <f>'AS400'!DZ84</f>
        <v>100</v>
      </c>
      <c r="ED84" s="7">
        <f>'AS400'!EA84</f>
        <v>20180301</v>
      </c>
      <c r="EE84" s="7">
        <f>'AS400'!EB84</f>
        <v>20180301</v>
      </c>
      <c r="EF84" s="7" t="str">
        <f>'AS400'!EC84</f>
        <v>S</v>
      </c>
      <c r="EG84" s="7" t="str">
        <f>'AS400'!ED84</f>
        <v>MS</v>
      </c>
      <c r="EH84" s="7">
        <f>'AS400'!EE84</f>
        <v>20180301</v>
      </c>
      <c r="EI84" s="7">
        <f>'AS400'!EF84</f>
        <v>0</v>
      </c>
      <c r="EJ84" s="7">
        <f>'AS400'!EG84</f>
        <v>0</v>
      </c>
      <c r="EK84" s="7">
        <f>'AS400'!EH84</f>
        <v>0</v>
      </c>
      <c r="EL84" s="7">
        <f>'AS400'!EI84</f>
        <v>0</v>
      </c>
      <c r="EM84" s="7" t="str">
        <f>'AS400'!EJ84</f>
        <v>STLV</v>
      </c>
      <c r="EN84" s="7">
        <f>'AS400'!EK84</f>
        <v>818</v>
      </c>
      <c r="EO84" s="7">
        <f>'AS400'!EL84</f>
        <v>0</v>
      </c>
      <c r="EP84" s="7">
        <f>'AS400'!EM84</f>
        <v>12</v>
      </c>
      <c r="EQ84" s="7">
        <f>'AS400'!EN84</f>
        <v>20180201</v>
      </c>
      <c r="ER84" s="7">
        <f>'AS400'!EO84</f>
        <v>0</v>
      </c>
      <c r="ES84" s="7">
        <f>'AS400'!EP84</f>
        <v>0</v>
      </c>
      <c r="ET84" s="7">
        <f>'AS400'!EQ84</f>
        <v>6</v>
      </c>
      <c r="EV84" s="7">
        <f>'AS400'!ER84</f>
        <v>35</v>
      </c>
      <c r="EW84" s="7">
        <f>'AS400'!ES84</f>
        <v>0</v>
      </c>
      <c r="EX84" s="7">
        <f>'AS400'!ET84</f>
        <v>0</v>
      </c>
      <c r="EY84" s="7">
        <f>'AS400'!EU84</f>
        <v>0</v>
      </c>
      <c r="EZ84" s="7">
        <f>'AS400'!EV84</f>
        <v>0</v>
      </c>
      <c r="FA84" s="7">
        <f>'AS400'!EW84</f>
        <v>0</v>
      </c>
      <c r="FB84" s="7">
        <f>'AS400'!EX84</f>
        <v>0</v>
      </c>
      <c r="FC84" s="7">
        <f>'AS400'!EY84</f>
        <v>0</v>
      </c>
      <c r="FD84" s="7">
        <f>'AS400'!EZ84</f>
        <v>0</v>
      </c>
      <c r="FE84" s="7">
        <f>'AS400'!FA84</f>
        <v>0</v>
      </c>
      <c r="FF84" s="7">
        <f>'AS400'!FB84</f>
        <v>0</v>
      </c>
      <c r="FG84" s="7">
        <f>'AS400'!FC84</f>
        <v>0</v>
      </c>
      <c r="FH84" s="7">
        <f>'AS400'!FD84</f>
        <v>0</v>
      </c>
      <c r="FI84" s="7">
        <f>'AS400'!FE84</f>
        <v>0</v>
      </c>
      <c r="FJ84" s="7">
        <f>'AS400'!FF84</f>
        <v>0</v>
      </c>
      <c r="FK84" s="7">
        <f>'AS400'!FG84</f>
        <v>0</v>
      </c>
      <c r="FL84" s="7">
        <f>'AS400'!FH84</f>
        <v>0</v>
      </c>
      <c r="FM84" s="7">
        <f>'AS400'!FI84</f>
        <v>1</v>
      </c>
      <c r="FN84" s="7">
        <f>'AS400'!FJ84</f>
        <v>1</v>
      </c>
      <c r="FO84" s="7">
        <f>'AS400'!FO84</f>
        <v>0</v>
      </c>
      <c r="FP84" s="7">
        <f>'AS400'!FP84</f>
        <v>4</v>
      </c>
      <c r="FQ84" s="7">
        <f>'AS400'!FQ84</f>
        <v>1</v>
      </c>
      <c r="FR84" s="7">
        <f>'AS400'!FR84</f>
        <v>1</v>
      </c>
      <c r="FS84" s="13">
        <f>'AS400'!FO84</f>
        <v>0</v>
      </c>
    </row>
    <row r="85" spans="1:175">
      <c r="A85" s="7">
        <f>'AS400'!A85</f>
        <v>79</v>
      </c>
      <c r="B85" s="7">
        <f>'AS400'!B85</f>
        <v>20190301</v>
      </c>
      <c r="C85" s="7">
        <f>'AS400'!C85</f>
        <v>0</v>
      </c>
      <c r="D85" s="7" t="str">
        <f>'AS400'!D85</f>
        <v>N</v>
      </c>
      <c r="E85" s="7" t="str">
        <f>'AS400'!E85</f>
        <v>N</v>
      </c>
      <c r="F85" s="7" t="str">
        <f>'AS400'!F85</f>
        <v>Y</v>
      </c>
      <c r="G85" s="7">
        <f>'AS400'!G85</f>
        <v>0</v>
      </c>
      <c r="H85" s="14"/>
      <c r="I85" s="7" t="str">
        <f>'AS400'!I85</f>
        <v>RSA</v>
      </c>
      <c r="J85" s="7" t="str">
        <f>'AS400'!J85</f>
        <v>METR</v>
      </c>
      <c r="K85" s="7" t="str">
        <f>'AS400'!K85</f>
        <v>N</v>
      </c>
      <c r="L85" s="7">
        <f>'AS400'!L85</f>
        <v>4</v>
      </c>
      <c r="M85" s="8">
        <f>'AS400'!M85</f>
        <v>1</v>
      </c>
      <c r="N85" s="7">
        <f>'AS400'!N85</f>
        <v>1</v>
      </c>
      <c r="O85" s="7" t="str">
        <f>'AS400'!O85</f>
        <v>MFUC</v>
      </c>
      <c r="P85" s="7">
        <f>'AS400'!P85</f>
        <v>100</v>
      </c>
      <c r="Q85" s="7">
        <f>'AS400'!Q85</f>
        <v>20180301</v>
      </c>
      <c r="R85" s="7">
        <f>'AS400'!R85</f>
        <v>20180301</v>
      </c>
      <c r="S85" s="7" t="str">
        <f>'AS400'!S85</f>
        <v>M</v>
      </c>
      <c r="T85" s="7" t="str">
        <f>'AS400'!T85</f>
        <v>ML</v>
      </c>
      <c r="U85" s="7">
        <f>'AS400'!U85</f>
        <v>20190301</v>
      </c>
      <c r="V85" s="7">
        <f>'AS400'!V85</f>
        <v>10</v>
      </c>
      <c r="W85" s="7">
        <f>'AS400'!W85</f>
        <v>10</v>
      </c>
      <c r="X85" s="7" t="str">
        <f>'AS400'!X85</f>
        <v>MFIX</v>
      </c>
      <c r="Y85" s="7">
        <f>'AS400'!Y85</f>
        <v>0</v>
      </c>
      <c r="Z85" s="7" t="str">
        <f>'AS400'!Z85</f>
        <v>STLV</v>
      </c>
      <c r="AA85" s="7">
        <f>'AS400'!AA85</f>
        <v>818</v>
      </c>
      <c r="AB85" s="7">
        <f>'AS400'!AB85</f>
        <v>0</v>
      </c>
      <c r="AC85" s="7">
        <f>'AS400'!AC85</f>
        <v>12</v>
      </c>
      <c r="AD85" s="7">
        <f>'AS400'!AD85</f>
        <v>20180201</v>
      </c>
      <c r="AE85" s="7">
        <f>'AS400'!AE85</f>
        <v>0</v>
      </c>
      <c r="AF85" s="7">
        <f>'AS400'!AF85</f>
        <v>10000</v>
      </c>
      <c r="AG85" s="7">
        <f>'AS400'!AG85</f>
        <v>3</v>
      </c>
      <c r="AI85" s="7">
        <f>'AS400'!AH85</f>
        <v>34</v>
      </c>
      <c r="AJ85" s="7">
        <f>'AS400'!AI85</f>
        <v>0</v>
      </c>
      <c r="AK85" s="7">
        <f>'AS400'!AJ85</f>
        <v>0</v>
      </c>
      <c r="AL85" s="7">
        <f>'AS400'!AK85</f>
        <v>0</v>
      </c>
      <c r="AM85" s="7">
        <f>'AS400'!AL85</f>
        <v>0</v>
      </c>
      <c r="AN85" s="7">
        <f>'AS400'!AM85</f>
        <v>0</v>
      </c>
      <c r="AO85" s="7">
        <f>'AS400'!AN85</f>
        <v>0</v>
      </c>
      <c r="AP85" s="7">
        <f>'AS400'!AO85</f>
        <v>0</v>
      </c>
      <c r="AQ85" s="7">
        <f>'AS400'!AP85</f>
        <v>0</v>
      </c>
      <c r="AR85" s="7">
        <f>'AS400'!AQ85</f>
        <v>0</v>
      </c>
      <c r="AS85" s="7">
        <f>'AS400'!AR85</f>
        <v>0</v>
      </c>
      <c r="AT85" s="7">
        <f>'AS400'!AS85</f>
        <v>0</v>
      </c>
      <c r="AU85" s="7">
        <f>'AS400'!AT85</f>
        <v>0</v>
      </c>
      <c r="AV85" s="7">
        <f>'AS400'!AU85</f>
        <v>0</v>
      </c>
      <c r="AW85" s="7">
        <f>'AS400'!AV85</f>
        <v>0</v>
      </c>
      <c r="AX85" s="7">
        <f>'AS400'!AW85</f>
        <v>0</v>
      </c>
      <c r="AY85" s="7">
        <f>'AS400'!AX85</f>
        <v>0</v>
      </c>
      <c r="AZ85" s="8">
        <f>'AS400'!AY85</f>
        <v>1</v>
      </c>
      <c r="BA85" s="7">
        <f>'AS400'!AZ85</f>
        <v>2</v>
      </c>
      <c r="BB85" s="7" t="str">
        <f>'AS400'!BA85</f>
        <v>PURO</v>
      </c>
      <c r="BC85" s="7">
        <f>'AS400'!BB85</f>
        <v>100</v>
      </c>
      <c r="BD85" s="7">
        <f>'AS400'!BC85</f>
        <v>20180301</v>
      </c>
      <c r="BE85" s="7">
        <f>'AS400'!BD85</f>
        <v>20180301</v>
      </c>
      <c r="BF85" s="7" t="str">
        <f>'AS400'!BE85</f>
        <v>S</v>
      </c>
      <c r="BG85" s="7" t="str">
        <f>'AS400'!BF85</f>
        <v>ME</v>
      </c>
      <c r="BH85" s="7">
        <f>'AS400'!BG85</f>
        <v>20180301</v>
      </c>
      <c r="BI85" s="7">
        <f>'AS400'!BH85</f>
        <v>0</v>
      </c>
      <c r="BJ85" s="7">
        <f>'AS400'!BI85</f>
        <v>0</v>
      </c>
      <c r="BK85" s="7">
        <f>'AS400'!BJ85</f>
        <v>0</v>
      </c>
      <c r="BL85" s="7">
        <f>'AS400'!BK85</f>
        <v>0</v>
      </c>
      <c r="BM85" s="7" t="str">
        <f>'AS400'!BL85</f>
        <v>STLV</v>
      </c>
      <c r="BN85" s="7">
        <f>'AS400'!BM85</f>
        <v>818</v>
      </c>
      <c r="BO85" s="7">
        <f>'AS400'!BN85</f>
        <v>0</v>
      </c>
      <c r="BP85" s="7">
        <f>'AS400'!BO85</f>
        <v>12</v>
      </c>
      <c r="BQ85" s="7">
        <f>'AS400'!BP85</f>
        <v>20180201</v>
      </c>
      <c r="BR85" s="7">
        <f>'AS400'!BQ85</f>
        <v>0</v>
      </c>
      <c r="BS85" s="7">
        <f>'AS400'!BR85</f>
        <v>0</v>
      </c>
      <c r="BT85" s="7">
        <f>'AS400'!BS85</f>
        <v>1</v>
      </c>
      <c r="BV85" s="7">
        <f>'AS400'!BT85</f>
        <v>34</v>
      </c>
      <c r="BW85" s="7">
        <f>'AS400'!BU85</f>
        <v>0</v>
      </c>
      <c r="BX85" s="7">
        <f>'AS400'!BV85</f>
        <v>0</v>
      </c>
      <c r="BY85" s="7">
        <f>'AS400'!BW85</f>
        <v>0</v>
      </c>
      <c r="BZ85" s="7">
        <f>'AS400'!BX85</f>
        <v>0</v>
      </c>
      <c r="CA85" s="7">
        <f>'AS400'!BY85</f>
        <v>0</v>
      </c>
      <c r="CB85" s="7">
        <f>'AS400'!BZ85</f>
        <v>0</v>
      </c>
      <c r="CC85" s="7">
        <f>'AS400'!CA85</f>
        <v>0</v>
      </c>
      <c r="CD85" s="7">
        <f>'AS400'!CB85</f>
        <v>0</v>
      </c>
      <c r="CE85" s="7">
        <f>'AS400'!CC85</f>
        <v>0</v>
      </c>
      <c r="CF85" s="7">
        <f>'AS400'!CD85</f>
        <v>0</v>
      </c>
      <c r="CG85" s="7">
        <f>'AS400'!CE85</f>
        <v>0</v>
      </c>
      <c r="CH85" s="7">
        <f>'AS400'!CF85</f>
        <v>0</v>
      </c>
      <c r="CI85" s="7">
        <f>'AS400'!CG85</f>
        <v>0</v>
      </c>
      <c r="CJ85" s="7">
        <f>'AS400'!CH85</f>
        <v>0</v>
      </c>
      <c r="CK85" s="7">
        <f>'AS400'!CI85</f>
        <v>0</v>
      </c>
      <c r="CL85" s="7">
        <f>'AS400'!CJ85</f>
        <v>0</v>
      </c>
      <c r="CM85" s="8">
        <f>'AS400'!CK85</f>
        <v>1</v>
      </c>
      <c r="CN85" s="7">
        <f>'AS400'!CL85</f>
        <v>3</v>
      </c>
      <c r="CO85" s="7" t="str">
        <f>'AS400'!CM85</f>
        <v>PUDT</v>
      </c>
      <c r="CP85" s="7">
        <f>'AS400'!CN85</f>
        <v>100</v>
      </c>
      <c r="CQ85" s="7">
        <f>'AS400'!CO85</f>
        <v>20180301</v>
      </c>
      <c r="CR85" s="7">
        <f>'AS400'!CP85</f>
        <v>20180301</v>
      </c>
      <c r="CS85" s="7" t="str">
        <f>'AS400'!CQ85</f>
        <v>S</v>
      </c>
      <c r="CT85" s="7" t="str">
        <f>'AS400'!CR85</f>
        <v>MT</v>
      </c>
      <c r="CU85" s="7">
        <f>'AS400'!CS85</f>
        <v>20180301</v>
      </c>
      <c r="CV85" s="7">
        <f>'AS400'!CT85</f>
        <v>0</v>
      </c>
      <c r="CW85" s="7">
        <f>'AS400'!CU85</f>
        <v>0</v>
      </c>
      <c r="CX85" s="7">
        <f>'AS400'!CV85</f>
        <v>0</v>
      </c>
      <c r="CY85" s="7">
        <f>'AS400'!CW85</f>
        <v>0</v>
      </c>
      <c r="CZ85" s="7" t="str">
        <f>'AS400'!CX85</f>
        <v>STLV</v>
      </c>
      <c r="DA85" s="7">
        <f>'AS400'!CY85</f>
        <v>818</v>
      </c>
      <c r="DB85" s="7">
        <f>'AS400'!CZ85</f>
        <v>0</v>
      </c>
      <c r="DC85" s="7">
        <f>'AS400'!DA85</f>
        <v>12</v>
      </c>
      <c r="DD85" s="7">
        <f>'AS400'!DB85</f>
        <v>20180201</v>
      </c>
      <c r="DE85" s="7">
        <f>'AS400'!DC85</f>
        <v>0</v>
      </c>
      <c r="DF85" s="7">
        <f>'AS400'!DD85</f>
        <v>0</v>
      </c>
      <c r="DG85" s="7">
        <f>'AS400'!DE85</f>
        <v>1</v>
      </c>
      <c r="DI85" s="7">
        <f>'AS400'!DF85</f>
        <v>34</v>
      </c>
      <c r="DJ85" s="7">
        <f>'AS400'!DG85</f>
        <v>0</v>
      </c>
      <c r="DK85" s="7">
        <f>'AS400'!DH85</f>
        <v>0</v>
      </c>
      <c r="DL85" s="7">
        <f>'AS400'!DI85</f>
        <v>0</v>
      </c>
      <c r="DM85" s="7">
        <f>'AS400'!DJ85</f>
        <v>0</v>
      </c>
      <c r="DN85" s="7">
        <f>'AS400'!DK85</f>
        <v>0</v>
      </c>
      <c r="DO85" s="7">
        <f>'AS400'!DL85</f>
        <v>0</v>
      </c>
      <c r="DP85" s="7">
        <f>'AS400'!DM85</f>
        <v>0</v>
      </c>
      <c r="DQ85" s="7">
        <f>'AS400'!DN85</f>
        <v>0</v>
      </c>
      <c r="DR85" s="7">
        <f>'AS400'!DO85</f>
        <v>0</v>
      </c>
      <c r="DS85" s="7">
        <f>'AS400'!DP85</f>
        <v>0</v>
      </c>
      <c r="DT85" s="7">
        <f>'AS400'!DQ85</f>
        <v>0</v>
      </c>
      <c r="DU85" s="7">
        <f>'AS400'!DR85</f>
        <v>0</v>
      </c>
      <c r="DV85" s="7">
        <f>'AS400'!DS85</f>
        <v>0</v>
      </c>
      <c r="DW85" s="7">
        <f>'AS400'!DT85</f>
        <v>0</v>
      </c>
      <c r="DX85" s="7">
        <f>'AS400'!DU85</f>
        <v>0</v>
      </c>
      <c r="DY85" s="7">
        <f>'AS400'!DV85</f>
        <v>0</v>
      </c>
      <c r="DZ85" s="8">
        <f>'AS400'!DW85</f>
        <v>1</v>
      </c>
      <c r="EA85" s="7">
        <f>'AS400'!DX85</f>
        <v>4</v>
      </c>
      <c r="EB85" s="7" t="str">
        <f>'AS400'!DY85</f>
        <v>PUDS</v>
      </c>
      <c r="EC85" s="7">
        <f>'AS400'!DZ85</f>
        <v>100</v>
      </c>
      <c r="ED85" s="7">
        <f>'AS400'!EA85</f>
        <v>20180301</v>
      </c>
      <c r="EE85" s="7">
        <f>'AS400'!EB85</f>
        <v>20180301</v>
      </c>
      <c r="EF85" s="7" t="str">
        <f>'AS400'!EC85</f>
        <v>S</v>
      </c>
      <c r="EG85" s="7" t="str">
        <f>'AS400'!ED85</f>
        <v>MS</v>
      </c>
      <c r="EH85" s="7">
        <f>'AS400'!EE85</f>
        <v>20180301</v>
      </c>
      <c r="EI85" s="7">
        <f>'AS400'!EF85</f>
        <v>0</v>
      </c>
      <c r="EJ85" s="7">
        <f>'AS400'!EG85</f>
        <v>0</v>
      </c>
      <c r="EK85" s="7">
        <f>'AS400'!EH85</f>
        <v>0</v>
      </c>
      <c r="EL85" s="7">
        <f>'AS400'!EI85</f>
        <v>0</v>
      </c>
      <c r="EM85" s="7" t="str">
        <f>'AS400'!EJ85</f>
        <v>STLV</v>
      </c>
      <c r="EN85" s="7">
        <f>'AS400'!EK85</f>
        <v>818</v>
      </c>
      <c r="EO85" s="7">
        <f>'AS400'!EL85</f>
        <v>0</v>
      </c>
      <c r="EP85" s="7">
        <f>'AS400'!EM85</f>
        <v>12</v>
      </c>
      <c r="EQ85" s="7">
        <f>'AS400'!EN85</f>
        <v>20180201</v>
      </c>
      <c r="ER85" s="7">
        <f>'AS400'!EO85</f>
        <v>0</v>
      </c>
      <c r="ES85" s="7">
        <f>'AS400'!EP85</f>
        <v>0</v>
      </c>
      <c r="ET85" s="7">
        <f>'AS400'!EQ85</f>
        <v>1</v>
      </c>
      <c r="EV85" s="7">
        <f>'AS400'!ER85</f>
        <v>34</v>
      </c>
      <c r="EW85" s="7">
        <f>'AS400'!ES85</f>
        <v>0</v>
      </c>
      <c r="EX85" s="7">
        <f>'AS400'!ET85</f>
        <v>0</v>
      </c>
      <c r="EY85" s="7">
        <f>'AS400'!EU85</f>
        <v>0</v>
      </c>
      <c r="EZ85" s="7">
        <f>'AS400'!EV85</f>
        <v>0</v>
      </c>
      <c r="FA85" s="7">
        <f>'AS400'!EW85</f>
        <v>0</v>
      </c>
      <c r="FB85" s="7">
        <f>'AS400'!EX85</f>
        <v>0</v>
      </c>
      <c r="FC85" s="7">
        <f>'AS400'!EY85</f>
        <v>0</v>
      </c>
      <c r="FD85" s="7">
        <f>'AS400'!EZ85</f>
        <v>0</v>
      </c>
      <c r="FE85" s="7">
        <f>'AS400'!FA85</f>
        <v>0</v>
      </c>
      <c r="FF85" s="7">
        <f>'AS400'!FB85</f>
        <v>0</v>
      </c>
      <c r="FG85" s="7">
        <f>'AS400'!FC85</f>
        <v>0</v>
      </c>
      <c r="FH85" s="7">
        <f>'AS400'!FD85</f>
        <v>0</v>
      </c>
      <c r="FI85" s="7">
        <f>'AS400'!FE85</f>
        <v>0</v>
      </c>
      <c r="FJ85" s="7">
        <f>'AS400'!FF85</f>
        <v>0</v>
      </c>
      <c r="FK85" s="7">
        <f>'AS400'!FG85</f>
        <v>0</v>
      </c>
      <c r="FL85" s="7">
        <f>'AS400'!FH85</f>
        <v>0</v>
      </c>
      <c r="FM85" s="7">
        <f>'AS400'!FI85</f>
        <v>1</v>
      </c>
      <c r="FN85" s="7">
        <f>'AS400'!FJ85</f>
        <v>1</v>
      </c>
      <c r="FO85" s="7">
        <f>'AS400'!FO85</f>
        <v>0</v>
      </c>
      <c r="FP85" s="7">
        <f>'AS400'!FP85</f>
        <v>4</v>
      </c>
      <c r="FQ85" s="7">
        <f>'AS400'!FQ85</f>
        <v>1</v>
      </c>
      <c r="FR85" s="7">
        <f>'AS400'!FR85</f>
        <v>1</v>
      </c>
      <c r="FS85" s="13">
        <f>'AS400'!FO85</f>
        <v>0</v>
      </c>
    </row>
    <row r="86" spans="1:175">
      <c r="A86" s="7">
        <f>'AS400'!A86</f>
        <v>80</v>
      </c>
      <c r="B86" s="7">
        <f>'AS400'!B86</f>
        <v>20190301</v>
      </c>
      <c r="C86" s="7">
        <f>'AS400'!C86</f>
        <v>0</v>
      </c>
      <c r="D86" s="7" t="str">
        <f>'AS400'!D86</f>
        <v>N</v>
      </c>
      <c r="E86" s="7" t="str">
        <f>'AS400'!E86</f>
        <v>N</v>
      </c>
      <c r="F86" s="7" t="str">
        <f>'AS400'!F86</f>
        <v>Y</v>
      </c>
      <c r="G86" s="7">
        <f>'AS400'!G86</f>
        <v>0</v>
      </c>
      <c r="H86" s="14"/>
      <c r="I86" s="7" t="str">
        <f>'AS400'!I86</f>
        <v>RSA</v>
      </c>
      <c r="J86" s="7" t="str">
        <f>'AS400'!J86</f>
        <v>METR</v>
      </c>
      <c r="K86" s="7" t="str">
        <f>'AS400'!K86</f>
        <v>N</v>
      </c>
      <c r="L86" s="7">
        <f>'AS400'!L86</f>
        <v>4</v>
      </c>
      <c r="M86" s="8">
        <f>'AS400'!M86</f>
        <v>1</v>
      </c>
      <c r="N86" s="7">
        <f>'AS400'!N86</f>
        <v>1</v>
      </c>
      <c r="O86" s="7" t="str">
        <f>'AS400'!O86</f>
        <v>MFUC</v>
      </c>
      <c r="P86" s="7">
        <f>'AS400'!P86</f>
        <v>100</v>
      </c>
      <c r="Q86" s="7">
        <f>'AS400'!Q86</f>
        <v>20180301</v>
      </c>
      <c r="R86" s="7">
        <f>'AS400'!R86</f>
        <v>20180301</v>
      </c>
      <c r="S86" s="7" t="str">
        <f>'AS400'!S86</f>
        <v>M</v>
      </c>
      <c r="T86" s="7" t="str">
        <f>'AS400'!T86</f>
        <v>ML</v>
      </c>
      <c r="U86" s="7">
        <f>'AS400'!U86</f>
        <v>20190301</v>
      </c>
      <c r="V86" s="7">
        <f>'AS400'!V86</f>
        <v>10</v>
      </c>
      <c r="W86" s="7">
        <f>'AS400'!W86</f>
        <v>10</v>
      </c>
      <c r="X86" s="7" t="str">
        <f>'AS400'!X86</f>
        <v>MFIX</v>
      </c>
      <c r="Y86" s="7">
        <f>'AS400'!Y86</f>
        <v>0</v>
      </c>
      <c r="Z86" s="7" t="str">
        <f>'AS400'!Z86</f>
        <v>STLV</v>
      </c>
      <c r="AA86" s="7">
        <f>'AS400'!AA86</f>
        <v>818</v>
      </c>
      <c r="AB86" s="7">
        <f>'AS400'!AB86</f>
        <v>0</v>
      </c>
      <c r="AC86" s="7">
        <f>'AS400'!AC86</f>
        <v>12</v>
      </c>
      <c r="AD86" s="7">
        <f>'AS400'!AD86</f>
        <v>20180201</v>
      </c>
      <c r="AE86" s="7">
        <f>'AS400'!AE86</f>
        <v>0</v>
      </c>
      <c r="AF86" s="7">
        <f>'AS400'!AF86</f>
        <v>15000</v>
      </c>
      <c r="AG86" s="7">
        <f>'AS400'!AG86</f>
        <v>4</v>
      </c>
      <c r="AI86" s="7">
        <f>'AS400'!AH86</f>
        <v>33</v>
      </c>
      <c r="AJ86" s="7">
        <f>'AS400'!AI86</f>
        <v>0</v>
      </c>
      <c r="AK86" s="7">
        <f>'AS400'!AJ86</f>
        <v>0</v>
      </c>
      <c r="AL86" s="7">
        <f>'AS400'!AK86</f>
        <v>0</v>
      </c>
      <c r="AM86" s="7">
        <f>'AS400'!AL86</f>
        <v>0</v>
      </c>
      <c r="AN86" s="7">
        <f>'AS400'!AM86</f>
        <v>0</v>
      </c>
      <c r="AO86" s="7">
        <f>'AS400'!AN86</f>
        <v>0</v>
      </c>
      <c r="AP86" s="7">
        <f>'AS400'!AO86</f>
        <v>0</v>
      </c>
      <c r="AQ86" s="7">
        <f>'AS400'!AP86</f>
        <v>0</v>
      </c>
      <c r="AR86" s="7">
        <f>'AS400'!AQ86</f>
        <v>0</v>
      </c>
      <c r="AS86" s="7">
        <f>'AS400'!AR86</f>
        <v>0</v>
      </c>
      <c r="AT86" s="7">
        <f>'AS400'!AS86</f>
        <v>0</v>
      </c>
      <c r="AU86" s="7">
        <f>'AS400'!AT86</f>
        <v>0</v>
      </c>
      <c r="AV86" s="7">
        <f>'AS400'!AU86</f>
        <v>0</v>
      </c>
      <c r="AW86" s="7">
        <f>'AS400'!AV86</f>
        <v>0</v>
      </c>
      <c r="AX86" s="7">
        <f>'AS400'!AW86</f>
        <v>0</v>
      </c>
      <c r="AY86" s="7">
        <f>'AS400'!AX86</f>
        <v>0</v>
      </c>
      <c r="AZ86" s="8">
        <f>'AS400'!AY86</f>
        <v>1</v>
      </c>
      <c r="BA86" s="7">
        <f>'AS400'!AZ86</f>
        <v>2</v>
      </c>
      <c r="BB86" s="7" t="str">
        <f>'AS400'!BA86</f>
        <v>PURO</v>
      </c>
      <c r="BC86" s="7">
        <f>'AS400'!BB86</f>
        <v>100</v>
      </c>
      <c r="BD86" s="7">
        <f>'AS400'!BC86</f>
        <v>20180301</v>
      </c>
      <c r="BE86" s="7">
        <f>'AS400'!BD86</f>
        <v>20180301</v>
      </c>
      <c r="BF86" s="7" t="str">
        <f>'AS400'!BE86</f>
        <v>S</v>
      </c>
      <c r="BG86" s="7" t="str">
        <f>'AS400'!BF86</f>
        <v>ME</v>
      </c>
      <c r="BH86" s="7">
        <f>'AS400'!BG86</f>
        <v>20180301</v>
      </c>
      <c r="BI86" s="7">
        <f>'AS400'!BH86</f>
        <v>0</v>
      </c>
      <c r="BJ86" s="7">
        <f>'AS400'!BI86</f>
        <v>0</v>
      </c>
      <c r="BK86" s="7">
        <f>'AS400'!BJ86</f>
        <v>0</v>
      </c>
      <c r="BL86" s="7">
        <f>'AS400'!BK86</f>
        <v>0</v>
      </c>
      <c r="BM86" s="7" t="str">
        <f>'AS400'!BL86</f>
        <v>STLV</v>
      </c>
      <c r="BN86" s="7">
        <f>'AS400'!BM86</f>
        <v>818</v>
      </c>
      <c r="BO86" s="7">
        <f>'AS400'!BN86</f>
        <v>0</v>
      </c>
      <c r="BP86" s="7">
        <f>'AS400'!BO86</f>
        <v>12</v>
      </c>
      <c r="BQ86" s="7">
        <f>'AS400'!BP86</f>
        <v>20180201</v>
      </c>
      <c r="BR86" s="7">
        <f>'AS400'!BQ86</f>
        <v>0</v>
      </c>
      <c r="BS86" s="7">
        <f>'AS400'!BR86</f>
        <v>0</v>
      </c>
      <c r="BT86" s="7">
        <f>'AS400'!BS86</f>
        <v>1</v>
      </c>
      <c r="BV86" s="7">
        <f>'AS400'!BT86</f>
        <v>33</v>
      </c>
      <c r="BW86" s="7">
        <f>'AS400'!BU86</f>
        <v>0</v>
      </c>
      <c r="BX86" s="7">
        <f>'AS400'!BV86</f>
        <v>0</v>
      </c>
      <c r="BY86" s="7">
        <f>'AS400'!BW86</f>
        <v>0</v>
      </c>
      <c r="BZ86" s="7">
        <f>'AS400'!BX86</f>
        <v>0</v>
      </c>
      <c r="CA86" s="7">
        <f>'AS400'!BY86</f>
        <v>0</v>
      </c>
      <c r="CB86" s="7">
        <f>'AS400'!BZ86</f>
        <v>0</v>
      </c>
      <c r="CC86" s="7">
        <f>'AS400'!CA86</f>
        <v>0</v>
      </c>
      <c r="CD86" s="7">
        <f>'AS400'!CB86</f>
        <v>0</v>
      </c>
      <c r="CE86" s="7">
        <f>'AS400'!CC86</f>
        <v>0</v>
      </c>
      <c r="CF86" s="7">
        <f>'AS400'!CD86</f>
        <v>0</v>
      </c>
      <c r="CG86" s="7">
        <f>'AS400'!CE86</f>
        <v>0</v>
      </c>
      <c r="CH86" s="7">
        <f>'AS400'!CF86</f>
        <v>0</v>
      </c>
      <c r="CI86" s="7">
        <f>'AS400'!CG86</f>
        <v>0</v>
      </c>
      <c r="CJ86" s="7">
        <f>'AS400'!CH86</f>
        <v>0</v>
      </c>
      <c r="CK86" s="7">
        <f>'AS400'!CI86</f>
        <v>0</v>
      </c>
      <c r="CL86" s="7">
        <f>'AS400'!CJ86</f>
        <v>0</v>
      </c>
      <c r="CM86" s="8">
        <f>'AS400'!CK86</f>
        <v>1</v>
      </c>
      <c r="CN86" s="7">
        <f>'AS400'!CL86</f>
        <v>3</v>
      </c>
      <c r="CO86" s="7" t="str">
        <f>'AS400'!CM86</f>
        <v>PUDT</v>
      </c>
      <c r="CP86" s="7">
        <f>'AS400'!CN86</f>
        <v>100</v>
      </c>
      <c r="CQ86" s="7">
        <f>'AS400'!CO86</f>
        <v>20180301</v>
      </c>
      <c r="CR86" s="7">
        <f>'AS400'!CP86</f>
        <v>20180301</v>
      </c>
      <c r="CS86" s="7" t="str">
        <f>'AS400'!CQ86</f>
        <v>S</v>
      </c>
      <c r="CT86" s="7" t="str">
        <f>'AS400'!CR86</f>
        <v>MT</v>
      </c>
      <c r="CU86" s="7">
        <f>'AS400'!CS86</f>
        <v>20180301</v>
      </c>
      <c r="CV86" s="7">
        <f>'AS400'!CT86</f>
        <v>0</v>
      </c>
      <c r="CW86" s="7">
        <f>'AS400'!CU86</f>
        <v>0</v>
      </c>
      <c r="CX86" s="7">
        <f>'AS400'!CV86</f>
        <v>0</v>
      </c>
      <c r="CY86" s="7">
        <f>'AS400'!CW86</f>
        <v>0</v>
      </c>
      <c r="CZ86" s="7" t="str">
        <f>'AS400'!CX86</f>
        <v>STLV</v>
      </c>
      <c r="DA86" s="7">
        <f>'AS400'!CY86</f>
        <v>818</v>
      </c>
      <c r="DB86" s="7">
        <f>'AS400'!CZ86</f>
        <v>0</v>
      </c>
      <c r="DC86" s="7">
        <f>'AS400'!DA86</f>
        <v>12</v>
      </c>
      <c r="DD86" s="7">
        <f>'AS400'!DB86</f>
        <v>20180201</v>
      </c>
      <c r="DE86" s="7">
        <f>'AS400'!DC86</f>
        <v>0</v>
      </c>
      <c r="DF86" s="7">
        <f>'AS400'!DD86</f>
        <v>0</v>
      </c>
      <c r="DG86" s="7">
        <f>'AS400'!DE86</f>
        <v>1</v>
      </c>
      <c r="DI86" s="7">
        <f>'AS400'!DF86</f>
        <v>33</v>
      </c>
      <c r="DJ86" s="7">
        <f>'AS400'!DG86</f>
        <v>0</v>
      </c>
      <c r="DK86" s="7">
        <f>'AS400'!DH86</f>
        <v>0</v>
      </c>
      <c r="DL86" s="7">
        <f>'AS400'!DI86</f>
        <v>0</v>
      </c>
      <c r="DM86" s="7">
        <f>'AS400'!DJ86</f>
        <v>0</v>
      </c>
      <c r="DN86" s="7">
        <f>'AS400'!DK86</f>
        <v>0</v>
      </c>
      <c r="DO86" s="7">
        <f>'AS400'!DL86</f>
        <v>0</v>
      </c>
      <c r="DP86" s="7">
        <f>'AS400'!DM86</f>
        <v>0</v>
      </c>
      <c r="DQ86" s="7">
        <f>'AS400'!DN86</f>
        <v>0</v>
      </c>
      <c r="DR86" s="7">
        <f>'AS400'!DO86</f>
        <v>0</v>
      </c>
      <c r="DS86" s="7">
        <f>'AS400'!DP86</f>
        <v>0</v>
      </c>
      <c r="DT86" s="7">
        <f>'AS400'!DQ86</f>
        <v>0</v>
      </c>
      <c r="DU86" s="7">
        <f>'AS400'!DR86</f>
        <v>0</v>
      </c>
      <c r="DV86" s="7">
        <f>'AS400'!DS86</f>
        <v>0</v>
      </c>
      <c r="DW86" s="7">
        <f>'AS400'!DT86</f>
        <v>0</v>
      </c>
      <c r="DX86" s="7">
        <f>'AS400'!DU86</f>
        <v>0</v>
      </c>
      <c r="DY86" s="7">
        <f>'AS400'!DV86</f>
        <v>0</v>
      </c>
      <c r="DZ86" s="8">
        <f>'AS400'!DW86</f>
        <v>1</v>
      </c>
      <c r="EA86" s="7">
        <f>'AS400'!DX86</f>
        <v>4</v>
      </c>
      <c r="EB86" s="7" t="str">
        <f>'AS400'!DY86</f>
        <v>PUDS</v>
      </c>
      <c r="EC86" s="7">
        <f>'AS400'!DZ86</f>
        <v>100</v>
      </c>
      <c r="ED86" s="7">
        <f>'AS400'!EA86</f>
        <v>20180301</v>
      </c>
      <c r="EE86" s="7">
        <f>'AS400'!EB86</f>
        <v>20180301</v>
      </c>
      <c r="EF86" s="7" t="str">
        <f>'AS400'!EC86</f>
        <v>S</v>
      </c>
      <c r="EG86" s="7" t="str">
        <f>'AS400'!ED86</f>
        <v>MS</v>
      </c>
      <c r="EH86" s="7">
        <f>'AS400'!EE86</f>
        <v>20180301</v>
      </c>
      <c r="EI86" s="7">
        <f>'AS400'!EF86</f>
        <v>0</v>
      </c>
      <c r="EJ86" s="7">
        <f>'AS400'!EG86</f>
        <v>0</v>
      </c>
      <c r="EK86" s="7">
        <f>'AS400'!EH86</f>
        <v>0</v>
      </c>
      <c r="EL86" s="7">
        <f>'AS400'!EI86</f>
        <v>0</v>
      </c>
      <c r="EM86" s="7" t="str">
        <f>'AS400'!EJ86</f>
        <v>STLV</v>
      </c>
      <c r="EN86" s="7">
        <f>'AS400'!EK86</f>
        <v>818</v>
      </c>
      <c r="EO86" s="7">
        <f>'AS400'!EL86</f>
        <v>0</v>
      </c>
      <c r="EP86" s="7">
        <f>'AS400'!EM86</f>
        <v>12</v>
      </c>
      <c r="EQ86" s="7">
        <f>'AS400'!EN86</f>
        <v>20180201</v>
      </c>
      <c r="ER86" s="7">
        <f>'AS400'!EO86</f>
        <v>0</v>
      </c>
      <c r="ES86" s="7">
        <f>'AS400'!EP86</f>
        <v>0</v>
      </c>
      <c r="ET86" s="7">
        <f>'AS400'!EQ86</f>
        <v>1</v>
      </c>
      <c r="EV86" s="7">
        <f>'AS400'!ER86</f>
        <v>33</v>
      </c>
      <c r="EW86" s="7">
        <f>'AS400'!ES86</f>
        <v>0</v>
      </c>
      <c r="EX86" s="7">
        <f>'AS400'!ET86</f>
        <v>0</v>
      </c>
      <c r="EY86" s="7">
        <f>'AS400'!EU86</f>
        <v>0</v>
      </c>
      <c r="EZ86" s="7">
        <f>'AS400'!EV86</f>
        <v>0</v>
      </c>
      <c r="FA86" s="7">
        <f>'AS400'!EW86</f>
        <v>0</v>
      </c>
      <c r="FB86" s="7">
        <f>'AS400'!EX86</f>
        <v>0</v>
      </c>
      <c r="FC86" s="7">
        <f>'AS400'!EY86</f>
        <v>0</v>
      </c>
      <c r="FD86" s="7">
        <f>'AS400'!EZ86</f>
        <v>0</v>
      </c>
      <c r="FE86" s="7">
        <f>'AS400'!FA86</f>
        <v>0</v>
      </c>
      <c r="FF86" s="7">
        <f>'AS400'!FB86</f>
        <v>0</v>
      </c>
      <c r="FG86" s="7">
        <f>'AS400'!FC86</f>
        <v>0</v>
      </c>
      <c r="FH86" s="7">
        <f>'AS400'!FD86</f>
        <v>0</v>
      </c>
      <c r="FI86" s="7">
        <f>'AS400'!FE86</f>
        <v>0</v>
      </c>
      <c r="FJ86" s="7">
        <f>'AS400'!FF86</f>
        <v>0</v>
      </c>
      <c r="FK86" s="7">
        <f>'AS400'!FG86</f>
        <v>0</v>
      </c>
      <c r="FL86" s="7">
        <f>'AS400'!FH86</f>
        <v>0</v>
      </c>
      <c r="FM86" s="7">
        <f>'AS400'!FI86</f>
        <v>1</v>
      </c>
      <c r="FN86" s="7">
        <f>'AS400'!FJ86</f>
        <v>1</v>
      </c>
      <c r="FO86" s="7">
        <f>'AS400'!FO86</f>
        <v>0</v>
      </c>
      <c r="FP86" s="7">
        <f>'AS400'!FP86</f>
        <v>4</v>
      </c>
      <c r="FQ86" s="7">
        <f>'AS400'!FQ86</f>
        <v>1</v>
      </c>
      <c r="FR86" s="7">
        <f>'AS400'!FR86</f>
        <v>1</v>
      </c>
      <c r="FS86" s="13">
        <f>'AS400'!FO86</f>
        <v>0</v>
      </c>
    </row>
    <row r="87" spans="1:175">
      <c r="A87" s="7">
        <f>'AS400'!A87</f>
        <v>81</v>
      </c>
      <c r="B87" s="7">
        <f>'AS400'!B87</f>
        <v>20190301</v>
      </c>
      <c r="C87" s="7">
        <f>'AS400'!C87</f>
        <v>0</v>
      </c>
      <c r="D87" s="7" t="str">
        <f>'AS400'!D87</f>
        <v>N</v>
      </c>
      <c r="E87" s="7" t="str">
        <f>'AS400'!E87</f>
        <v>N</v>
      </c>
      <c r="F87" s="7" t="str">
        <f>'AS400'!F87</f>
        <v>Y</v>
      </c>
      <c r="G87" s="7">
        <f>'AS400'!G87</f>
        <v>0</v>
      </c>
      <c r="H87" s="14"/>
      <c r="I87" s="7" t="str">
        <f>'AS400'!I87</f>
        <v>RSA</v>
      </c>
      <c r="J87" s="7" t="str">
        <f>'AS400'!J87</f>
        <v>METR</v>
      </c>
      <c r="K87" s="7" t="str">
        <f>'AS400'!K87</f>
        <v>N</v>
      </c>
      <c r="L87" s="7">
        <f>'AS400'!L87</f>
        <v>4</v>
      </c>
      <c r="M87" s="8">
        <f>'AS400'!M87</f>
        <v>1</v>
      </c>
      <c r="N87" s="7">
        <f>'AS400'!N87</f>
        <v>1</v>
      </c>
      <c r="O87" s="7" t="str">
        <f>'AS400'!O87</f>
        <v>MFUC</v>
      </c>
      <c r="P87" s="7">
        <f>'AS400'!P87</f>
        <v>100</v>
      </c>
      <c r="Q87" s="7">
        <f>'AS400'!Q87</f>
        <v>20180301</v>
      </c>
      <c r="R87" s="7">
        <f>'AS400'!R87</f>
        <v>20180301</v>
      </c>
      <c r="S87" s="7" t="str">
        <f>'AS400'!S87</f>
        <v>M</v>
      </c>
      <c r="T87" s="7" t="str">
        <f>'AS400'!T87</f>
        <v>ML</v>
      </c>
      <c r="U87" s="7">
        <f>'AS400'!U87</f>
        <v>20190301</v>
      </c>
      <c r="V87" s="7">
        <f>'AS400'!V87</f>
        <v>10</v>
      </c>
      <c r="W87" s="7">
        <f>'AS400'!W87</f>
        <v>10</v>
      </c>
      <c r="X87" s="7" t="str">
        <f>'AS400'!X87</f>
        <v>MFIX</v>
      </c>
      <c r="Y87" s="7">
        <f>'AS400'!Y87</f>
        <v>0</v>
      </c>
      <c r="Z87" s="7" t="str">
        <f>'AS400'!Z87</f>
        <v>STLV</v>
      </c>
      <c r="AA87" s="7">
        <f>'AS400'!AA87</f>
        <v>818</v>
      </c>
      <c r="AB87" s="7">
        <f>'AS400'!AB87</f>
        <v>0</v>
      </c>
      <c r="AC87" s="7">
        <f>'AS400'!AC87</f>
        <v>12</v>
      </c>
      <c r="AD87" s="7">
        <f>'AS400'!AD87</f>
        <v>20180201</v>
      </c>
      <c r="AE87" s="7">
        <f>'AS400'!AE87</f>
        <v>0</v>
      </c>
      <c r="AF87" s="7">
        <f>'AS400'!AF87</f>
        <v>20000</v>
      </c>
      <c r="AG87" s="7">
        <f>'AS400'!AG87</f>
        <v>6</v>
      </c>
      <c r="AI87" s="7">
        <f>'AS400'!AH87</f>
        <v>32</v>
      </c>
      <c r="AJ87" s="7">
        <f>'AS400'!AI87</f>
        <v>0</v>
      </c>
      <c r="AK87" s="7">
        <f>'AS400'!AJ87</f>
        <v>0</v>
      </c>
      <c r="AL87" s="7">
        <f>'AS400'!AK87</f>
        <v>0</v>
      </c>
      <c r="AM87" s="7">
        <f>'AS400'!AL87</f>
        <v>0</v>
      </c>
      <c r="AN87" s="7">
        <f>'AS400'!AM87</f>
        <v>0</v>
      </c>
      <c r="AO87" s="7">
        <f>'AS400'!AN87</f>
        <v>0</v>
      </c>
      <c r="AP87" s="7">
        <f>'AS400'!AO87</f>
        <v>0</v>
      </c>
      <c r="AQ87" s="7">
        <f>'AS400'!AP87</f>
        <v>0</v>
      </c>
      <c r="AR87" s="7">
        <f>'AS400'!AQ87</f>
        <v>0</v>
      </c>
      <c r="AS87" s="7">
        <f>'AS400'!AR87</f>
        <v>0</v>
      </c>
      <c r="AT87" s="7">
        <f>'AS400'!AS87</f>
        <v>0</v>
      </c>
      <c r="AU87" s="7">
        <f>'AS400'!AT87</f>
        <v>0</v>
      </c>
      <c r="AV87" s="7">
        <f>'AS400'!AU87</f>
        <v>0</v>
      </c>
      <c r="AW87" s="7">
        <f>'AS400'!AV87</f>
        <v>0</v>
      </c>
      <c r="AX87" s="7">
        <f>'AS400'!AW87</f>
        <v>0</v>
      </c>
      <c r="AY87" s="7">
        <f>'AS400'!AX87</f>
        <v>0</v>
      </c>
      <c r="AZ87" s="8">
        <f>'AS400'!AY87</f>
        <v>1</v>
      </c>
      <c r="BA87" s="7">
        <f>'AS400'!AZ87</f>
        <v>2</v>
      </c>
      <c r="BB87" s="7" t="str">
        <f>'AS400'!BA87</f>
        <v>PURO</v>
      </c>
      <c r="BC87" s="7">
        <f>'AS400'!BB87</f>
        <v>100</v>
      </c>
      <c r="BD87" s="7">
        <f>'AS400'!BC87</f>
        <v>20180301</v>
      </c>
      <c r="BE87" s="7">
        <f>'AS400'!BD87</f>
        <v>20180301</v>
      </c>
      <c r="BF87" s="7" t="str">
        <f>'AS400'!BE87</f>
        <v>S</v>
      </c>
      <c r="BG87" s="7" t="str">
        <f>'AS400'!BF87</f>
        <v>ME</v>
      </c>
      <c r="BH87" s="7">
        <f>'AS400'!BG87</f>
        <v>20180301</v>
      </c>
      <c r="BI87" s="7">
        <f>'AS400'!BH87</f>
        <v>0</v>
      </c>
      <c r="BJ87" s="7">
        <f>'AS400'!BI87</f>
        <v>0</v>
      </c>
      <c r="BK87" s="7">
        <f>'AS400'!BJ87</f>
        <v>0</v>
      </c>
      <c r="BL87" s="7">
        <f>'AS400'!BK87</f>
        <v>0</v>
      </c>
      <c r="BM87" s="7" t="str">
        <f>'AS400'!BL87</f>
        <v>STLV</v>
      </c>
      <c r="BN87" s="7">
        <f>'AS400'!BM87</f>
        <v>818</v>
      </c>
      <c r="BO87" s="7">
        <f>'AS400'!BN87</f>
        <v>0</v>
      </c>
      <c r="BP87" s="7">
        <f>'AS400'!BO87</f>
        <v>12</v>
      </c>
      <c r="BQ87" s="7">
        <f>'AS400'!BP87</f>
        <v>20180201</v>
      </c>
      <c r="BR87" s="7">
        <f>'AS400'!BQ87</f>
        <v>0</v>
      </c>
      <c r="BS87" s="7">
        <f>'AS400'!BR87</f>
        <v>0</v>
      </c>
      <c r="BT87" s="7">
        <f>'AS400'!BS87</f>
        <v>1</v>
      </c>
      <c r="BV87" s="7">
        <f>'AS400'!BT87</f>
        <v>32</v>
      </c>
      <c r="BW87" s="7">
        <f>'AS400'!BU87</f>
        <v>0</v>
      </c>
      <c r="BX87" s="7">
        <f>'AS400'!BV87</f>
        <v>0</v>
      </c>
      <c r="BY87" s="7">
        <f>'AS400'!BW87</f>
        <v>0</v>
      </c>
      <c r="BZ87" s="7">
        <f>'AS400'!BX87</f>
        <v>0</v>
      </c>
      <c r="CA87" s="7">
        <f>'AS400'!BY87</f>
        <v>0</v>
      </c>
      <c r="CB87" s="7">
        <f>'AS400'!BZ87</f>
        <v>0</v>
      </c>
      <c r="CC87" s="7">
        <f>'AS400'!CA87</f>
        <v>0</v>
      </c>
      <c r="CD87" s="7">
        <f>'AS400'!CB87</f>
        <v>0</v>
      </c>
      <c r="CE87" s="7">
        <f>'AS400'!CC87</f>
        <v>0</v>
      </c>
      <c r="CF87" s="7">
        <f>'AS400'!CD87</f>
        <v>0</v>
      </c>
      <c r="CG87" s="7">
        <f>'AS400'!CE87</f>
        <v>0</v>
      </c>
      <c r="CH87" s="7">
        <f>'AS400'!CF87</f>
        <v>0</v>
      </c>
      <c r="CI87" s="7">
        <f>'AS400'!CG87</f>
        <v>0</v>
      </c>
      <c r="CJ87" s="7">
        <f>'AS400'!CH87</f>
        <v>0</v>
      </c>
      <c r="CK87" s="7">
        <f>'AS400'!CI87</f>
        <v>0</v>
      </c>
      <c r="CL87" s="7">
        <f>'AS400'!CJ87</f>
        <v>0</v>
      </c>
      <c r="CM87" s="8">
        <f>'AS400'!CK87</f>
        <v>1</v>
      </c>
      <c r="CN87" s="7">
        <f>'AS400'!CL87</f>
        <v>3</v>
      </c>
      <c r="CO87" s="7" t="str">
        <f>'AS400'!CM87</f>
        <v>PUDT</v>
      </c>
      <c r="CP87" s="7">
        <f>'AS400'!CN87</f>
        <v>100</v>
      </c>
      <c r="CQ87" s="7">
        <f>'AS400'!CO87</f>
        <v>20180301</v>
      </c>
      <c r="CR87" s="7">
        <f>'AS400'!CP87</f>
        <v>20180301</v>
      </c>
      <c r="CS87" s="7" t="str">
        <f>'AS400'!CQ87</f>
        <v>S</v>
      </c>
      <c r="CT87" s="7" t="str">
        <f>'AS400'!CR87</f>
        <v>MT</v>
      </c>
      <c r="CU87" s="7">
        <f>'AS400'!CS87</f>
        <v>20180301</v>
      </c>
      <c r="CV87" s="7">
        <f>'AS400'!CT87</f>
        <v>0</v>
      </c>
      <c r="CW87" s="7">
        <f>'AS400'!CU87</f>
        <v>0</v>
      </c>
      <c r="CX87" s="7">
        <f>'AS400'!CV87</f>
        <v>0</v>
      </c>
      <c r="CY87" s="7">
        <f>'AS400'!CW87</f>
        <v>0</v>
      </c>
      <c r="CZ87" s="7" t="str">
        <f>'AS400'!CX87</f>
        <v>STLV</v>
      </c>
      <c r="DA87" s="7">
        <f>'AS400'!CY87</f>
        <v>818</v>
      </c>
      <c r="DB87" s="7">
        <f>'AS400'!CZ87</f>
        <v>0</v>
      </c>
      <c r="DC87" s="7">
        <f>'AS400'!DA87</f>
        <v>12</v>
      </c>
      <c r="DD87" s="7">
        <f>'AS400'!DB87</f>
        <v>20180201</v>
      </c>
      <c r="DE87" s="7">
        <f>'AS400'!DC87</f>
        <v>0</v>
      </c>
      <c r="DF87" s="7">
        <f>'AS400'!DD87</f>
        <v>0</v>
      </c>
      <c r="DG87" s="7">
        <f>'AS400'!DE87</f>
        <v>1</v>
      </c>
      <c r="DI87" s="7">
        <f>'AS400'!DF87</f>
        <v>32</v>
      </c>
      <c r="DJ87" s="7">
        <f>'AS400'!DG87</f>
        <v>0</v>
      </c>
      <c r="DK87" s="7">
        <f>'AS400'!DH87</f>
        <v>0</v>
      </c>
      <c r="DL87" s="7">
        <f>'AS400'!DI87</f>
        <v>0</v>
      </c>
      <c r="DM87" s="7">
        <f>'AS400'!DJ87</f>
        <v>0</v>
      </c>
      <c r="DN87" s="7">
        <f>'AS400'!DK87</f>
        <v>0</v>
      </c>
      <c r="DO87" s="7">
        <f>'AS400'!DL87</f>
        <v>0</v>
      </c>
      <c r="DP87" s="7">
        <f>'AS400'!DM87</f>
        <v>0</v>
      </c>
      <c r="DQ87" s="7">
        <f>'AS400'!DN87</f>
        <v>0</v>
      </c>
      <c r="DR87" s="7">
        <f>'AS400'!DO87</f>
        <v>0</v>
      </c>
      <c r="DS87" s="7">
        <f>'AS400'!DP87</f>
        <v>0</v>
      </c>
      <c r="DT87" s="7">
        <f>'AS400'!DQ87</f>
        <v>0</v>
      </c>
      <c r="DU87" s="7">
        <f>'AS400'!DR87</f>
        <v>0</v>
      </c>
      <c r="DV87" s="7">
        <f>'AS400'!DS87</f>
        <v>0</v>
      </c>
      <c r="DW87" s="7">
        <f>'AS400'!DT87</f>
        <v>0</v>
      </c>
      <c r="DX87" s="7">
        <f>'AS400'!DU87</f>
        <v>0</v>
      </c>
      <c r="DY87" s="7">
        <f>'AS400'!DV87</f>
        <v>0</v>
      </c>
      <c r="DZ87" s="8">
        <f>'AS400'!DW87</f>
        <v>1</v>
      </c>
      <c r="EA87" s="7">
        <f>'AS400'!DX87</f>
        <v>4</v>
      </c>
      <c r="EB87" s="7" t="str">
        <f>'AS400'!DY87</f>
        <v>PUDS</v>
      </c>
      <c r="EC87" s="7">
        <f>'AS400'!DZ87</f>
        <v>100</v>
      </c>
      <c r="ED87" s="7">
        <f>'AS400'!EA87</f>
        <v>20180301</v>
      </c>
      <c r="EE87" s="7">
        <f>'AS400'!EB87</f>
        <v>20180301</v>
      </c>
      <c r="EF87" s="7" t="str">
        <f>'AS400'!EC87</f>
        <v>S</v>
      </c>
      <c r="EG87" s="7" t="str">
        <f>'AS400'!ED87</f>
        <v>MS</v>
      </c>
      <c r="EH87" s="7">
        <f>'AS400'!EE87</f>
        <v>20180301</v>
      </c>
      <c r="EI87" s="7">
        <f>'AS400'!EF87</f>
        <v>0</v>
      </c>
      <c r="EJ87" s="7">
        <f>'AS400'!EG87</f>
        <v>0</v>
      </c>
      <c r="EK87" s="7">
        <f>'AS400'!EH87</f>
        <v>0</v>
      </c>
      <c r="EL87" s="7">
        <f>'AS400'!EI87</f>
        <v>0</v>
      </c>
      <c r="EM87" s="7" t="str">
        <f>'AS400'!EJ87</f>
        <v>STLV</v>
      </c>
      <c r="EN87" s="7">
        <f>'AS400'!EK87</f>
        <v>818</v>
      </c>
      <c r="EO87" s="7">
        <f>'AS400'!EL87</f>
        <v>0</v>
      </c>
      <c r="EP87" s="7">
        <f>'AS400'!EM87</f>
        <v>12</v>
      </c>
      <c r="EQ87" s="7">
        <f>'AS400'!EN87</f>
        <v>20180201</v>
      </c>
      <c r="ER87" s="7">
        <f>'AS400'!EO87</f>
        <v>0</v>
      </c>
      <c r="ES87" s="7">
        <f>'AS400'!EP87</f>
        <v>0</v>
      </c>
      <c r="ET87" s="7">
        <f>'AS400'!EQ87</f>
        <v>1</v>
      </c>
      <c r="EV87" s="7">
        <f>'AS400'!ER87</f>
        <v>32</v>
      </c>
      <c r="EW87" s="7">
        <f>'AS400'!ES87</f>
        <v>0</v>
      </c>
      <c r="EX87" s="7">
        <f>'AS400'!ET87</f>
        <v>0</v>
      </c>
      <c r="EY87" s="7">
        <f>'AS400'!EU87</f>
        <v>0</v>
      </c>
      <c r="EZ87" s="7">
        <f>'AS400'!EV87</f>
        <v>0</v>
      </c>
      <c r="FA87" s="7">
        <f>'AS400'!EW87</f>
        <v>0</v>
      </c>
      <c r="FB87" s="7">
        <f>'AS400'!EX87</f>
        <v>0</v>
      </c>
      <c r="FC87" s="7">
        <f>'AS400'!EY87</f>
        <v>0</v>
      </c>
      <c r="FD87" s="7">
        <f>'AS400'!EZ87</f>
        <v>0</v>
      </c>
      <c r="FE87" s="7">
        <f>'AS400'!FA87</f>
        <v>0</v>
      </c>
      <c r="FF87" s="7">
        <f>'AS400'!FB87</f>
        <v>0</v>
      </c>
      <c r="FG87" s="7">
        <f>'AS400'!FC87</f>
        <v>0</v>
      </c>
      <c r="FH87" s="7">
        <f>'AS400'!FD87</f>
        <v>0</v>
      </c>
      <c r="FI87" s="7">
        <f>'AS400'!FE87</f>
        <v>0</v>
      </c>
      <c r="FJ87" s="7">
        <f>'AS400'!FF87</f>
        <v>0</v>
      </c>
      <c r="FK87" s="7">
        <f>'AS400'!FG87</f>
        <v>0</v>
      </c>
      <c r="FL87" s="7">
        <f>'AS400'!FH87</f>
        <v>0</v>
      </c>
      <c r="FM87" s="7">
        <f>'AS400'!FI87</f>
        <v>1</v>
      </c>
      <c r="FN87" s="7">
        <f>'AS400'!FJ87</f>
        <v>1</v>
      </c>
      <c r="FO87" s="7">
        <f>'AS400'!FO87</f>
        <v>0</v>
      </c>
      <c r="FP87" s="7">
        <f>'AS400'!FP87</f>
        <v>4</v>
      </c>
      <c r="FQ87" s="7">
        <f>'AS400'!FQ87</f>
        <v>1</v>
      </c>
      <c r="FR87" s="7">
        <f>'AS400'!FR87</f>
        <v>1</v>
      </c>
      <c r="FS87" s="13">
        <f>'AS400'!FO87</f>
        <v>0</v>
      </c>
    </row>
    <row r="88" spans="1:175">
      <c r="A88" s="7">
        <f>'AS400'!A88</f>
        <v>82</v>
      </c>
      <c r="B88" s="7">
        <f>'AS400'!B88</f>
        <v>20190301</v>
      </c>
      <c r="C88" s="7">
        <f>'AS400'!C88</f>
        <v>0</v>
      </c>
      <c r="D88" s="7" t="str">
        <f>'AS400'!D88</f>
        <v>N</v>
      </c>
      <c r="E88" s="7" t="str">
        <f>'AS400'!E88</f>
        <v>N</v>
      </c>
      <c r="F88" s="7" t="str">
        <f>'AS400'!F88</f>
        <v>Y</v>
      </c>
      <c r="G88" s="7">
        <f>'AS400'!G88</f>
        <v>0</v>
      </c>
      <c r="H88" s="14"/>
      <c r="I88" s="7" t="str">
        <f>'AS400'!I88</f>
        <v>RSA</v>
      </c>
      <c r="J88" s="7" t="str">
        <f>'AS400'!J88</f>
        <v>METR</v>
      </c>
      <c r="K88" s="7" t="str">
        <f>'AS400'!K88</f>
        <v>N</v>
      </c>
      <c r="L88" s="7">
        <f>'AS400'!L88</f>
        <v>4</v>
      </c>
      <c r="M88" s="8">
        <f>'AS400'!M88</f>
        <v>1</v>
      </c>
      <c r="N88" s="7">
        <f>'AS400'!N88</f>
        <v>1</v>
      </c>
      <c r="O88" s="7" t="str">
        <f>'AS400'!O88</f>
        <v>MFUC</v>
      </c>
      <c r="P88" s="7">
        <f>'AS400'!P88</f>
        <v>100</v>
      </c>
      <c r="Q88" s="7">
        <f>'AS400'!Q88</f>
        <v>20180301</v>
      </c>
      <c r="R88" s="7">
        <f>'AS400'!R88</f>
        <v>20180301</v>
      </c>
      <c r="S88" s="7" t="str">
        <f>'AS400'!S88</f>
        <v>M</v>
      </c>
      <c r="T88" s="7" t="str">
        <f>'AS400'!T88</f>
        <v>ML</v>
      </c>
      <c r="U88" s="7">
        <f>'AS400'!U88</f>
        <v>20190301</v>
      </c>
      <c r="V88" s="7">
        <f>'AS400'!V88</f>
        <v>10</v>
      </c>
      <c r="W88" s="7">
        <f>'AS400'!W88</f>
        <v>10</v>
      </c>
      <c r="X88" s="7" t="str">
        <f>'AS400'!X88</f>
        <v>MFIX</v>
      </c>
      <c r="Y88" s="7">
        <f>'AS400'!Y88</f>
        <v>0</v>
      </c>
      <c r="Z88" s="7" t="str">
        <f>'AS400'!Z88</f>
        <v>STLV</v>
      </c>
      <c r="AA88" s="7">
        <f>'AS400'!AA88</f>
        <v>818</v>
      </c>
      <c r="AB88" s="7">
        <f>'AS400'!AB88</f>
        <v>0</v>
      </c>
      <c r="AC88" s="7">
        <f>'AS400'!AC88</f>
        <v>12</v>
      </c>
      <c r="AD88" s="7">
        <f>'AS400'!AD88</f>
        <v>20180201</v>
      </c>
      <c r="AE88" s="7">
        <f>'AS400'!AE88</f>
        <v>0</v>
      </c>
      <c r="AF88" s="7">
        <f>'AS400'!AF88</f>
        <v>25000</v>
      </c>
      <c r="AG88" s="7">
        <f>'AS400'!AG88</f>
        <v>7</v>
      </c>
      <c r="AI88" s="7">
        <f>'AS400'!AH88</f>
        <v>31</v>
      </c>
      <c r="AJ88" s="7">
        <f>'AS400'!AI88</f>
        <v>0</v>
      </c>
      <c r="AK88" s="7">
        <f>'AS400'!AJ88</f>
        <v>0</v>
      </c>
      <c r="AL88" s="7">
        <f>'AS400'!AK88</f>
        <v>0</v>
      </c>
      <c r="AM88" s="7">
        <f>'AS400'!AL88</f>
        <v>0</v>
      </c>
      <c r="AN88" s="7">
        <f>'AS400'!AM88</f>
        <v>0</v>
      </c>
      <c r="AO88" s="7">
        <f>'AS400'!AN88</f>
        <v>0</v>
      </c>
      <c r="AP88" s="7">
        <f>'AS400'!AO88</f>
        <v>0</v>
      </c>
      <c r="AQ88" s="7">
        <f>'AS400'!AP88</f>
        <v>0</v>
      </c>
      <c r="AR88" s="7">
        <f>'AS400'!AQ88</f>
        <v>0</v>
      </c>
      <c r="AS88" s="7">
        <f>'AS400'!AR88</f>
        <v>0</v>
      </c>
      <c r="AT88" s="7">
        <f>'AS400'!AS88</f>
        <v>0</v>
      </c>
      <c r="AU88" s="7">
        <f>'AS400'!AT88</f>
        <v>0</v>
      </c>
      <c r="AV88" s="7">
        <f>'AS400'!AU88</f>
        <v>0</v>
      </c>
      <c r="AW88" s="7">
        <f>'AS400'!AV88</f>
        <v>0</v>
      </c>
      <c r="AX88" s="7">
        <f>'AS400'!AW88</f>
        <v>0</v>
      </c>
      <c r="AY88" s="7">
        <f>'AS400'!AX88</f>
        <v>0</v>
      </c>
      <c r="AZ88" s="8">
        <f>'AS400'!AY88</f>
        <v>1</v>
      </c>
      <c r="BA88" s="7">
        <f>'AS400'!AZ88</f>
        <v>2</v>
      </c>
      <c r="BB88" s="7" t="str">
        <f>'AS400'!BA88</f>
        <v>PURO</v>
      </c>
      <c r="BC88" s="7">
        <f>'AS400'!BB88</f>
        <v>100</v>
      </c>
      <c r="BD88" s="7">
        <f>'AS400'!BC88</f>
        <v>20180301</v>
      </c>
      <c r="BE88" s="7">
        <f>'AS400'!BD88</f>
        <v>20180301</v>
      </c>
      <c r="BF88" s="7" t="str">
        <f>'AS400'!BE88</f>
        <v>S</v>
      </c>
      <c r="BG88" s="7" t="str">
        <f>'AS400'!BF88</f>
        <v>ME</v>
      </c>
      <c r="BH88" s="7">
        <f>'AS400'!BG88</f>
        <v>20180301</v>
      </c>
      <c r="BI88" s="7">
        <f>'AS400'!BH88</f>
        <v>0</v>
      </c>
      <c r="BJ88" s="7">
        <f>'AS400'!BI88</f>
        <v>0</v>
      </c>
      <c r="BK88" s="7">
        <f>'AS400'!BJ88</f>
        <v>0</v>
      </c>
      <c r="BL88" s="7">
        <f>'AS400'!BK88</f>
        <v>0</v>
      </c>
      <c r="BM88" s="7" t="str">
        <f>'AS400'!BL88</f>
        <v>STLV</v>
      </c>
      <c r="BN88" s="7">
        <f>'AS400'!BM88</f>
        <v>818</v>
      </c>
      <c r="BO88" s="7">
        <f>'AS400'!BN88</f>
        <v>0</v>
      </c>
      <c r="BP88" s="7">
        <f>'AS400'!BO88</f>
        <v>12</v>
      </c>
      <c r="BQ88" s="7">
        <f>'AS400'!BP88</f>
        <v>20180201</v>
      </c>
      <c r="BR88" s="7">
        <f>'AS400'!BQ88</f>
        <v>0</v>
      </c>
      <c r="BS88" s="7">
        <f>'AS400'!BR88</f>
        <v>0</v>
      </c>
      <c r="BT88" s="7">
        <f>'AS400'!BS88</f>
        <v>1</v>
      </c>
      <c r="BV88" s="7">
        <f>'AS400'!BT88</f>
        <v>31</v>
      </c>
      <c r="BW88" s="7">
        <f>'AS400'!BU88</f>
        <v>0</v>
      </c>
      <c r="BX88" s="7">
        <f>'AS400'!BV88</f>
        <v>0</v>
      </c>
      <c r="BY88" s="7">
        <f>'AS400'!BW88</f>
        <v>0</v>
      </c>
      <c r="BZ88" s="7">
        <f>'AS400'!BX88</f>
        <v>0</v>
      </c>
      <c r="CA88" s="7">
        <f>'AS400'!BY88</f>
        <v>0</v>
      </c>
      <c r="CB88" s="7">
        <f>'AS400'!BZ88</f>
        <v>0</v>
      </c>
      <c r="CC88" s="7">
        <f>'AS400'!CA88</f>
        <v>0</v>
      </c>
      <c r="CD88" s="7">
        <f>'AS400'!CB88</f>
        <v>0</v>
      </c>
      <c r="CE88" s="7">
        <f>'AS400'!CC88</f>
        <v>0</v>
      </c>
      <c r="CF88" s="7">
        <f>'AS400'!CD88</f>
        <v>0</v>
      </c>
      <c r="CG88" s="7">
        <f>'AS400'!CE88</f>
        <v>0</v>
      </c>
      <c r="CH88" s="7">
        <f>'AS400'!CF88</f>
        <v>0</v>
      </c>
      <c r="CI88" s="7">
        <f>'AS400'!CG88</f>
        <v>0</v>
      </c>
      <c r="CJ88" s="7">
        <f>'AS400'!CH88</f>
        <v>0</v>
      </c>
      <c r="CK88" s="7">
        <f>'AS400'!CI88</f>
        <v>0</v>
      </c>
      <c r="CL88" s="7">
        <f>'AS400'!CJ88</f>
        <v>0</v>
      </c>
      <c r="CM88" s="8">
        <f>'AS400'!CK88</f>
        <v>1</v>
      </c>
      <c r="CN88" s="7">
        <f>'AS400'!CL88</f>
        <v>3</v>
      </c>
      <c r="CO88" s="7" t="str">
        <f>'AS400'!CM88</f>
        <v>PUDT</v>
      </c>
      <c r="CP88" s="7">
        <f>'AS400'!CN88</f>
        <v>100</v>
      </c>
      <c r="CQ88" s="7">
        <f>'AS400'!CO88</f>
        <v>20180301</v>
      </c>
      <c r="CR88" s="7">
        <f>'AS400'!CP88</f>
        <v>20180301</v>
      </c>
      <c r="CS88" s="7" t="str">
        <f>'AS400'!CQ88</f>
        <v>S</v>
      </c>
      <c r="CT88" s="7" t="str">
        <f>'AS400'!CR88</f>
        <v>MT</v>
      </c>
      <c r="CU88" s="7">
        <f>'AS400'!CS88</f>
        <v>20180301</v>
      </c>
      <c r="CV88" s="7">
        <f>'AS400'!CT88</f>
        <v>0</v>
      </c>
      <c r="CW88" s="7">
        <f>'AS400'!CU88</f>
        <v>0</v>
      </c>
      <c r="CX88" s="7">
        <f>'AS400'!CV88</f>
        <v>0</v>
      </c>
      <c r="CY88" s="7">
        <f>'AS400'!CW88</f>
        <v>0</v>
      </c>
      <c r="CZ88" s="7" t="str">
        <f>'AS400'!CX88</f>
        <v>STLV</v>
      </c>
      <c r="DA88" s="7">
        <f>'AS400'!CY88</f>
        <v>818</v>
      </c>
      <c r="DB88" s="7">
        <f>'AS400'!CZ88</f>
        <v>0</v>
      </c>
      <c r="DC88" s="7">
        <f>'AS400'!DA88</f>
        <v>12</v>
      </c>
      <c r="DD88" s="7">
        <f>'AS400'!DB88</f>
        <v>20180201</v>
      </c>
      <c r="DE88" s="7">
        <f>'AS400'!DC88</f>
        <v>0</v>
      </c>
      <c r="DF88" s="7">
        <f>'AS400'!DD88</f>
        <v>0</v>
      </c>
      <c r="DG88" s="7">
        <f>'AS400'!DE88</f>
        <v>1</v>
      </c>
      <c r="DI88" s="7">
        <f>'AS400'!DF88</f>
        <v>31</v>
      </c>
      <c r="DJ88" s="7">
        <f>'AS400'!DG88</f>
        <v>0</v>
      </c>
      <c r="DK88" s="7">
        <f>'AS400'!DH88</f>
        <v>0</v>
      </c>
      <c r="DL88" s="7">
        <f>'AS400'!DI88</f>
        <v>0</v>
      </c>
      <c r="DM88" s="7">
        <f>'AS400'!DJ88</f>
        <v>0</v>
      </c>
      <c r="DN88" s="7">
        <f>'AS400'!DK88</f>
        <v>0</v>
      </c>
      <c r="DO88" s="7">
        <f>'AS400'!DL88</f>
        <v>0</v>
      </c>
      <c r="DP88" s="7">
        <f>'AS400'!DM88</f>
        <v>0</v>
      </c>
      <c r="DQ88" s="7">
        <f>'AS400'!DN88</f>
        <v>0</v>
      </c>
      <c r="DR88" s="7">
        <f>'AS400'!DO88</f>
        <v>0</v>
      </c>
      <c r="DS88" s="7">
        <f>'AS400'!DP88</f>
        <v>0</v>
      </c>
      <c r="DT88" s="7">
        <f>'AS400'!DQ88</f>
        <v>0</v>
      </c>
      <c r="DU88" s="7">
        <f>'AS400'!DR88</f>
        <v>0</v>
      </c>
      <c r="DV88" s="7">
        <f>'AS400'!DS88</f>
        <v>0</v>
      </c>
      <c r="DW88" s="7">
        <f>'AS400'!DT88</f>
        <v>0</v>
      </c>
      <c r="DX88" s="7">
        <f>'AS400'!DU88</f>
        <v>0</v>
      </c>
      <c r="DY88" s="7">
        <f>'AS400'!DV88</f>
        <v>0</v>
      </c>
      <c r="DZ88" s="8">
        <f>'AS400'!DW88</f>
        <v>1</v>
      </c>
      <c r="EA88" s="7">
        <f>'AS400'!DX88</f>
        <v>4</v>
      </c>
      <c r="EB88" s="7" t="str">
        <f>'AS400'!DY88</f>
        <v>PUDS</v>
      </c>
      <c r="EC88" s="7">
        <f>'AS400'!DZ88</f>
        <v>100</v>
      </c>
      <c r="ED88" s="7">
        <f>'AS400'!EA88</f>
        <v>20180301</v>
      </c>
      <c r="EE88" s="7">
        <f>'AS400'!EB88</f>
        <v>20180301</v>
      </c>
      <c r="EF88" s="7" t="str">
        <f>'AS400'!EC88</f>
        <v>S</v>
      </c>
      <c r="EG88" s="7" t="str">
        <f>'AS400'!ED88</f>
        <v>MS</v>
      </c>
      <c r="EH88" s="7">
        <f>'AS400'!EE88</f>
        <v>20180301</v>
      </c>
      <c r="EI88" s="7">
        <f>'AS400'!EF88</f>
        <v>0</v>
      </c>
      <c r="EJ88" s="7">
        <f>'AS400'!EG88</f>
        <v>0</v>
      </c>
      <c r="EK88" s="7">
        <f>'AS400'!EH88</f>
        <v>0</v>
      </c>
      <c r="EL88" s="7">
        <f>'AS400'!EI88</f>
        <v>0</v>
      </c>
      <c r="EM88" s="7" t="str">
        <f>'AS400'!EJ88</f>
        <v>STLV</v>
      </c>
      <c r="EN88" s="7">
        <f>'AS400'!EK88</f>
        <v>818</v>
      </c>
      <c r="EO88" s="7">
        <f>'AS400'!EL88</f>
        <v>0</v>
      </c>
      <c r="EP88" s="7">
        <f>'AS400'!EM88</f>
        <v>12</v>
      </c>
      <c r="EQ88" s="7">
        <f>'AS400'!EN88</f>
        <v>20180201</v>
      </c>
      <c r="ER88" s="7">
        <f>'AS400'!EO88</f>
        <v>0</v>
      </c>
      <c r="ES88" s="7">
        <f>'AS400'!EP88</f>
        <v>0</v>
      </c>
      <c r="ET88" s="7">
        <f>'AS400'!EQ88</f>
        <v>1</v>
      </c>
      <c r="EV88" s="7">
        <f>'AS400'!ER88</f>
        <v>31</v>
      </c>
      <c r="EW88" s="7">
        <f>'AS400'!ES88</f>
        <v>0</v>
      </c>
      <c r="EX88" s="7">
        <f>'AS400'!ET88</f>
        <v>0</v>
      </c>
      <c r="EY88" s="7">
        <f>'AS400'!EU88</f>
        <v>0</v>
      </c>
      <c r="EZ88" s="7">
        <f>'AS400'!EV88</f>
        <v>0</v>
      </c>
      <c r="FA88" s="7">
        <f>'AS400'!EW88</f>
        <v>0</v>
      </c>
      <c r="FB88" s="7">
        <f>'AS400'!EX88</f>
        <v>0</v>
      </c>
      <c r="FC88" s="7">
        <f>'AS400'!EY88</f>
        <v>0</v>
      </c>
      <c r="FD88" s="7">
        <f>'AS400'!EZ88</f>
        <v>0</v>
      </c>
      <c r="FE88" s="7">
        <f>'AS400'!FA88</f>
        <v>0</v>
      </c>
      <c r="FF88" s="7">
        <f>'AS400'!FB88</f>
        <v>0</v>
      </c>
      <c r="FG88" s="7">
        <f>'AS400'!FC88</f>
        <v>0</v>
      </c>
      <c r="FH88" s="7">
        <f>'AS400'!FD88</f>
        <v>0</v>
      </c>
      <c r="FI88" s="7">
        <f>'AS400'!FE88</f>
        <v>0</v>
      </c>
      <c r="FJ88" s="7">
        <f>'AS400'!FF88</f>
        <v>0</v>
      </c>
      <c r="FK88" s="7">
        <f>'AS400'!FG88</f>
        <v>0</v>
      </c>
      <c r="FL88" s="7">
        <f>'AS400'!FH88</f>
        <v>0</v>
      </c>
      <c r="FM88" s="7">
        <f>'AS400'!FI88</f>
        <v>1</v>
      </c>
      <c r="FN88" s="7">
        <f>'AS400'!FJ88</f>
        <v>1</v>
      </c>
      <c r="FO88" s="7">
        <f>'AS400'!FO88</f>
        <v>0</v>
      </c>
      <c r="FP88" s="7">
        <f>'AS400'!FP88</f>
        <v>4</v>
      </c>
      <c r="FQ88" s="7">
        <f>'AS400'!FQ88</f>
        <v>1</v>
      </c>
      <c r="FR88" s="7">
        <f>'AS400'!FR88</f>
        <v>1</v>
      </c>
      <c r="FS88" s="13">
        <f>'AS400'!FO88</f>
        <v>0</v>
      </c>
    </row>
    <row r="89" spans="1:175">
      <c r="A89" s="7">
        <f>'AS400'!A89</f>
        <v>83</v>
      </c>
      <c r="B89" s="7">
        <f>'AS400'!B89</f>
        <v>20190301</v>
      </c>
      <c r="C89" s="7">
        <f>'AS400'!C89</f>
        <v>0</v>
      </c>
      <c r="D89" s="7" t="str">
        <f>'AS400'!D89</f>
        <v>N</v>
      </c>
      <c r="E89" s="7" t="str">
        <f>'AS400'!E89</f>
        <v>N</v>
      </c>
      <c r="F89" s="7" t="str">
        <f>'AS400'!F89</f>
        <v>Y</v>
      </c>
      <c r="G89" s="7">
        <f>'AS400'!G89</f>
        <v>0</v>
      </c>
      <c r="H89" s="14"/>
      <c r="I89" s="7" t="str">
        <f>'AS400'!I89</f>
        <v>RSA</v>
      </c>
      <c r="J89" s="7" t="str">
        <f>'AS400'!J89</f>
        <v>METR</v>
      </c>
      <c r="K89" s="7" t="str">
        <f>'AS400'!K89</f>
        <v>N</v>
      </c>
      <c r="L89" s="7">
        <f>'AS400'!L89</f>
        <v>4</v>
      </c>
      <c r="M89" s="8">
        <f>'AS400'!M89</f>
        <v>1</v>
      </c>
      <c r="N89" s="7">
        <f>'AS400'!N89</f>
        <v>1</v>
      </c>
      <c r="O89" s="7" t="str">
        <f>'AS400'!O89</f>
        <v>MFUC</v>
      </c>
      <c r="P89" s="7">
        <f>'AS400'!P89</f>
        <v>100</v>
      </c>
      <c r="Q89" s="7">
        <f>'AS400'!Q89</f>
        <v>20180301</v>
      </c>
      <c r="R89" s="7">
        <f>'AS400'!R89</f>
        <v>20180301</v>
      </c>
      <c r="S89" s="7" t="str">
        <f>'AS400'!S89</f>
        <v>M</v>
      </c>
      <c r="T89" s="7" t="str">
        <f>'AS400'!T89</f>
        <v>ML</v>
      </c>
      <c r="U89" s="7">
        <f>'AS400'!U89</f>
        <v>20190301</v>
      </c>
      <c r="V89" s="7">
        <f>'AS400'!V89</f>
        <v>10</v>
      </c>
      <c r="W89" s="7">
        <f>'AS400'!W89</f>
        <v>10</v>
      </c>
      <c r="X89" s="7" t="str">
        <f>'AS400'!X89</f>
        <v>MFIX</v>
      </c>
      <c r="Y89" s="7">
        <f>'AS400'!Y89</f>
        <v>0</v>
      </c>
      <c r="Z89" s="7" t="str">
        <f>'AS400'!Z89</f>
        <v>STLV</v>
      </c>
      <c r="AA89" s="7">
        <f>'AS400'!AA89</f>
        <v>818</v>
      </c>
      <c r="AB89" s="7">
        <f>'AS400'!AB89</f>
        <v>0</v>
      </c>
      <c r="AC89" s="7">
        <f>'AS400'!AC89</f>
        <v>12</v>
      </c>
      <c r="AD89" s="7">
        <f>'AS400'!AD89</f>
        <v>20180201</v>
      </c>
      <c r="AE89" s="7">
        <f>'AS400'!AE89</f>
        <v>0</v>
      </c>
      <c r="AF89" s="7">
        <f>'AS400'!AF89</f>
        <v>30000</v>
      </c>
      <c r="AG89" s="7">
        <f>'AS400'!AG89</f>
        <v>8</v>
      </c>
      <c r="AI89" s="7">
        <f>'AS400'!AH89</f>
        <v>30</v>
      </c>
      <c r="AJ89" s="7">
        <f>'AS400'!AI89</f>
        <v>0</v>
      </c>
      <c r="AK89" s="7">
        <f>'AS400'!AJ89</f>
        <v>0</v>
      </c>
      <c r="AL89" s="7">
        <f>'AS400'!AK89</f>
        <v>0</v>
      </c>
      <c r="AM89" s="7">
        <f>'AS400'!AL89</f>
        <v>0</v>
      </c>
      <c r="AN89" s="7">
        <f>'AS400'!AM89</f>
        <v>0</v>
      </c>
      <c r="AO89" s="7">
        <f>'AS400'!AN89</f>
        <v>0</v>
      </c>
      <c r="AP89" s="7">
        <f>'AS400'!AO89</f>
        <v>0</v>
      </c>
      <c r="AQ89" s="7">
        <f>'AS400'!AP89</f>
        <v>0</v>
      </c>
      <c r="AR89" s="7">
        <f>'AS400'!AQ89</f>
        <v>0</v>
      </c>
      <c r="AS89" s="7">
        <f>'AS400'!AR89</f>
        <v>0</v>
      </c>
      <c r="AT89" s="7">
        <f>'AS400'!AS89</f>
        <v>0</v>
      </c>
      <c r="AU89" s="7">
        <f>'AS400'!AT89</f>
        <v>0</v>
      </c>
      <c r="AV89" s="7">
        <f>'AS400'!AU89</f>
        <v>0</v>
      </c>
      <c r="AW89" s="7">
        <f>'AS400'!AV89</f>
        <v>0</v>
      </c>
      <c r="AX89" s="7">
        <f>'AS400'!AW89</f>
        <v>0</v>
      </c>
      <c r="AY89" s="7">
        <f>'AS400'!AX89</f>
        <v>0</v>
      </c>
      <c r="AZ89" s="8">
        <f>'AS400'!AY89</f>
        <v>1</v>
      </c>
      <c r="BA89" s="7">
        <f>'AS400'!AZ89</f>
        <v>2</v>
      </c>
      <c r="BB89" s="7" t="str">
        <f>'AS400'!BA89</f>
        <v>PURO</v>
      </c>
      <c r="BC89" s="7">
        <f>'AS400'!BB89</f>
        <v>100</v>
      </c>
      <c r="BD89" s="7">
        <f>'AS400'!BC89</f>
        <v>20180301</v>
      </c>
      <c r="BE89" s="7">
        <f>'AS400'!BD89</f>
        <v>20180301</v>
      </c>
      <c r="BF89" s="7" t="str">
        <f>'AS400'!BE89</f>
        <v>S</v>
      </c>
      <c r="BG89" s="7" t="str">
        <f>'AS400'!BF89</f>
        <v>ME</v>
      </c>
      <c r="BH89" s="7">
        <f>'AS400'!BG89</f>
        <v>20180301</v>
      </c>
      <c r="BI89" s="7">
        <f>'AS400'!BH89</f>
        <v>0</v>
      </c>
      <c r="BJ89" s="7">
        <f>'AS400'!BI89</f>
        <v>0</v>
      </c>
      <c r="BK89" s="7">
        <f>'AS400'!BJ89</f>
        <v>0</v>
      </c>
      <c r="BL89" s="7">
        <f>'AS400'!BK89</f>
        <v>0</v>
      </c>
      <c r="BM89" s="7" t="str">
        <f>'AS400'!BL89</f>
        <v>STLV</v>
      </c>
      <c r="BN89" s="7">
        <f>'AS400'!BM89</f>
        <v>818</v>
      </c>
      <c r="BO89" s="7">
        <f>'AS400'!BN89</f>
        <v>0</v>
      </c>
      <c r="BP89" s="7">
        <f>'AS400'!BO89</f>
        <v>12</v>
      </c>
      <c r="BQ89" s="7">
        <f>'AS400'!BP89</f>
        <v>20180201</v>
      </c>
      <c r="BR89" s="7">
        <f>'AS400'!BQ89</f>
        <v>0</v>
      </c>
      <c r="BS89" s="7">
        <f>'AS400'!BR89</f>
        <v>0</v>
      </c>
      <c r="BT89" s="7">
        <f>'AS400'!BS89</f>
        <v>1</v>
      </c>
      <c r="BV89" s="7">
        <f>'AS400'!BT89</f>
        <v>30</v>
      </c>
      <c r="BW89" s="7">
        <f>'AS400'!BU89</f>
        <v>0</v>
      </c>
      <c r="BX89" s="7">
        <f>'AS400'!BV89</f>
        <v>0</v>
      </c>
      <c r="BY89" s="7">
        <f>'AS400'!BW89</f>
        <v>0</v>
      </c>
      <c r="BZ89" s="7">
        <f>'AS400'!BX89</f>
        <v>0</v>
      </c>
      <c r="CA89" s="7">
        <f>'AS400'!BY89</f>
        <v>0</v>
      </c>
      <c r="CB89" s="7">
        <f>'AS400'!BZ89</f>
        <v>0</v>
      </c>
      <c r="CC89" s="7">
        <f>'AS400'!CA89</f>
        <v>0</v>
      </c>
      <c r="CD89" s="7">
        <f>'AS400'!CB89</f>
        <v>0</v>
      </c>
      <c r="CE89" s="7">
        <f>'AS400'!CC89</f>
        <v>0</v>
      </c>
      <c r="CF89" s="7">
        <f>'AS400'!CD89</f>
        <v>0</v>
      </c>
      <c r="CG89" s="7">
        <f>'AS400'!CE89</f>
        <v>0</v>
      </c>
      <c r="CH89" s="7">
        <f>'AS400'!CF89</f>
        <v>0</v>
      </c>
      <c r="CI89" s="7">
        <f>'AS400'!CG89</f>
        <v>0</v>
      </c>
      <c r="CJ89" s="7">
        <f>'AS400'!CH89</f>
        <v>0</v>
      </c>
      <c r="CK89" s="7">
        <f>'AS400'!CI89</f>
        <v>0</v>
      </c>
      <c r="CL89" s="7">
        <f>'AS400'!CJ89</f>
        <v>0</v>
      </c>
      <c r="CM89" s="8">
        <f>'AS400'!CK89</f>
        <v>1</v>
      </c>
      <c r="CN89" s="7">
        <f>'AS400'!CL89</f>
        <v>3</v>
      </c>
      <c r="CO89" s="7" t="str">
        <f>'AS400'!CM89</f>
        <v>PUDT</v>
      </c>
      <c r="CP89" s="7">
        <f>'AS400'!CN89</f>
        <v>100</v>
      </c>
      <c r="CQ89" s="7">
        <f>'AS400'!CO89</f>
        <v>20180301</v>
      </c>
      <c r="CR89" s="7">
        <f>'AS400'!CP89</f>
        <v>20180301</v>
      </c>
      <c r="CS89" s="7" t="str">
        <f>'AS400'!CQ89</f>
        <v>S</v>
      </c>
      <c r="CT89" s="7" t="str">
        <f>'AS400'!CR89</f>
        <v>MT</v>
      </c>
      <c r="CU89" s="7">
        <f>'AS400'!CS89</f>
        <v>20180301</v>
      </c>
      <c r="CV89" s="7">
        <f>'AS400'!CT89</f>
        <v>0</v>
      </c>
      <c r="CW89" s="7">
        <f>'AS400'!CU89</f>
        <v>0</v>
      </c>
      <c r="CX89" s="7">
        <f>'AS400'!CV89</f>
        <v>0</v>
      </c>
      <c r="CY89" s="7">
        <f>'AS400'!CW89</f>
        <v>0</v>
      </c>
      <c r="CZ89" s="7" t="str">
        <f>'AS400'!CX89</f>
        <v>STLV</v>
      </c>
      <c r="DA89" s="7">
        <f>'AS400'!CY89</f>
        <v>818</v>
      </c>
      <c r="DB89" s="7">
        <f>'AS400'!CZ89</f>
        <v>0</v>
      </c>
      <c r="DC89" s="7">
        <f>'AS400'!DA89</f>
        <v>12</v>
      </c>
      <c r="DD89" s="7">
        <f>'AS400'!DB89</f>
        <v>20180201</v>
      </c>
      <c r="DE89" s="7">
        <f>'AS400'!DC89</f>
        <v>0</v>
      </c>
      <c r="DF89" s="7">
        <f>'AS400'!DD89</f>
        <v>0</v>
      </c>
      <c r="DG89" s="7">
        <f>'AS400'!DE89</f>
        <v>1</v>
      </c>
      <c r="DI89" s="7">
        <f>'AS400'!DF89</f>
        <v>30</v>
      </c>
      <c r="DJ89" s="7">
        <f>'AS400'!DG89</f>
        <v>0</v>
      </c>
      <c r="DK89" s="7">
        <f>'AS400'!DH89</f>
        <v>0</v>
      </c>
      <c r="DL89" s="7">
        <f>'AS400'!DI89</f>
        <v>0</v>
      </c>
      <c r="DM89" s="7">
        <f>'AS400'!DJ89</f>
        <v>0</v>
      </c>
      <c r="DN89" s="7">
        <f>'AS400'!DK89</f>
        <v>0</v>
      </c>
      <c r="DO89" s="7">
        <f>'AS400'!DL89</f>
        <v>0</v>
      </c>
      <c r="DP89" s="7">
        <f>'AS400'!DM89</f>
        <v>0</v>
      </c>
      <c r="DQ89" s="7">
        <f>'AS400'!DN89</f>
        <v>0</v>
      </c>
      <c r="DR89" s="7">
        <f>'AS400'!DO89</f>
        <v>0</v>
      </c>
      <c r="DS89" s="7">
        <f>'AS400'!DP89</f>
        <v>0</v>
      </c>
      <c r="DT89" s="7">
        <f>'AS400'!DQ89</f>
        <v>0</v>
      </c>
      <c r="DU89" s="7">
        <f>'AS400'!DR89</f>
        <v>0</v>
      </c>
      <c r="DV89" s="7">
        <f>'AS400'!DS89</f>
        <v>0</v>
      </c>
      <c r="DW89" s="7">
        <f>'AS400'!DT89</f>
        <v>0</v>
      </c>
      <c r="DX89" s="7">
        <f>'AS400'!DU89</f>
        <v>0</v>
      </c>
      <c r="DY89" s="7">
        <f>'AS400'!DV89</f>
        <v>0</v>
      </c>
      <c r="DZ89" s="8">
        <f>'AS400'!DW89</f>
        <v>1</v>
      </c>
      <c r="EA89" s="7">
        <f>'AS400'!DX89</f>
        <v>4</v>
      </c>
      <c r="EB89" s="7" t="str">
        <f>'AS400'!DY89</f>
        <v>PUDS</v>
      </c>
      <c r="EC89" s="7">
        <f>'AS400'!DZ89</f>
        <v>100</v>
      </c>
      <c r="ED89" s="7">
        <f>'AS400'!EA89</f>
        <v>20180301</v>
      </c>
      <c r="EE89" s="7">
        <f>'AS400'!EB89</f>
        <v>20180301</v>
      </c>
      <c r="EF89" s="7" t="str">
        <f>'AS400'!EC89</f>
        <v>S</v>
      </c>
      <c r="EG89" s="7" t="str">
        <f>'AS400'!ED89</f>
        <v>MS</v>
      </c>
      <c r="EH89" s="7">
        <f>'AS400'!EE89</f>
        <v>20180301</v>
      </c>
      <c r="EI89" s="7">
        <f>'AS400'!EF89</f>
        <v>0</v>
      </c>
      <c r="EJ89" s="7">
        <f>'AS400'!EG89</f>
        <v>0</v>
      </c>
      <c r="EK89" s="7">
        <f>'AS400'!EH89</f>
        <v>0</v>
      </c>
      <c r="EL89" s="7">
        <f>'AS400'!EI89</f>
        <v>0</v>
      </c>
      <c r="EM89" s="7" t="str">
        <f>'AS400'!EJ89</f>
        <v>STLV</v>
      </c>
      <c r="EN89" s="7">
        <f>'AS400'!EK89</f>
        <v>818</v>
      </c>
      <c r="EO89" s="7">
        <f>'AS400'!EL89</f>
        <v>0</v>
      </c>
      <c r="EP89" s="7">
        <f>'AS400'!EM89</f>
        <v>12</v>
      </c>
      <c r="EQ89" s="7">
        <f>'AS400'!EN89</f>
        <v>20180201</v>
      </c>
      <c r="ER89" s="7">
        <f>'AS400'!EO89</f>
        <v>0</v>
      </c>
      <c r="ES89" s="7">
        <f>'AS400'!EP89</f>
        <v>0</v>
      </c>
      <c r="ET89" s="7">
        <f>'AS400'!EQ89</f>
        <v>1</v>
      </c>
      <c r="EV89" s="7">
        <f>'AS400'!ER89</f>
        <v>30</v>
      </c>
      <c r="EW89" s="7">
        <f>'AS400'!ES89</f>
        <v>0</v>
      </c>
      <c r="EX89" s="7">
        <f>'AS400'!ET89</f>
        <v>0</v>
      </c>
      <c r="EY89" s="7">
        <f>'AS400'!EU89</f>
        <v>0</v>
      </c>
      <c r="EZ89" s="7">
        <f>'AS400'!EV89</f>
        <v>0</v>
      </c>
      <c r="FA89" s="7">
        <f>'AS400'!EW89</f>
        <v>0</v>
      </c>
      <c r="FB89" s="7">
        <f>'AS400'!EX89</f>
        <v>0</v>
      </c>
      <c r="FC89" s="7">
        <f>'AS400'!EY89</f>
        <v>0</v>
      </c>
      <c r="FD89" s="7">
        <f>'AS400'!EZ89</f>
        <v>0</v>
      </c>
      <c r="FE89" s="7">
        <f>'AS400'!FA89</f>
        <v>0</v>
      </c>
      <c r="FF89" s="7">
        <f>'AS400'!FB89</f>
        <v>0</v>
      </c>
      <c r="FG89" s="7">
        <f>'AS400'!FC89</f>
        <v>0</v>
      </c>
      <c r="FH89" s="7">
        <f>'AS400'!FD89</f>
        <v>0</v>
      </c>
      <c r="FI89" s="7">
        <f>'AS400'!FE89</f>
        <v>0</v>
      </c>
      <c r="FJ89" s="7">
        <f>'AS400'!FF89</f>
        <v>0</v>
      </c>
      <c r="FK89" s="7">
        <f>'AS400'!FG89</f>
        <v>0</v>
      </c>
      <c r="FL89" s="7">
        <f>'AS400'!FH89</f>
        <v>0</v>
      </c>
      <c r="FM89" s="7">
        <f>'AS400'!FI89</f>
        <v>1</v>
      </c>
      <c r="FN89" s="7">
        <f>'AS400'!FJ89</f>
        <v>1</v>
      </c>
      <c r="FO89" s="7">
        <f>'AS400'!FO89</f>
        <v>0</v>
      </c>
      <c r="FP89" s="7">
        <f>'AS400'!FP89</f>
        <v>4</v>
      </c>
      <c r="FQ89" s="7">
        <f>'AS400'!FQ89</f>
        <v>1</v>
      </c>
      <c r="FR89" s="7">
        <f>'AS400'!FR89</f>
        <v>1</v>
      </c>
      <c r="FS89" s="13">
        <f>'AS400'!FO89</f>
        <v>0</v>
      </c>
    </row>
    <row r="90" spans="1:175">
      <c r="A90" s="7">
        <f>'AS400'!A90</f>
        <v>84</v>
      </c>
      <c r="B90" s="7">
        <f>'AS400'!B90</f>
        <v>20190301</v>
      </c>
      <c r="C90" s="7">
        <f>'AS400'!C90</f>
        <v>0</v>
      </c>
      <c r="D90" s="7" t="str">
        <f>'AS400'!D90</f>
        <v>N</v>
      </c>
      <c r="E90" s="7" t="str">
        <f>'AS400'!E90</f>
        <v>N</v>
      </c>
      <c r="F90" s="7" t="str">
        <f>'AS400'!F90</f>
        <v>Y</v>
      </c>
      <c r="G90" s="7">
        <f>'AS400'!G90</f>
        <v>0</v>
      </c>
      <c r="H90" s="14"/>
      <c r="I90" s="7" t="str">
        <f>'AS400'!I90</f>
        <v>RSA</v>
      </c>
      <c r="J90" s="7" t="str">
        <f>'AS400'!J90</f>
        <v>METR</v>
      </c>
      <c r="K90" s="7" t="str">
        <f>'AS400'!K90</f>
        <v>N</v>
      </c>
      <c r="L90" s="7">
        <f>'AS400'!L90</f>
        <v>4</v>
      </c>
      <c r="M90" s="8">
        <f>'AS400'!M90</f>
        <v>1</v>
      </c>
      <c r="N90" s="7">
        <f>'AS400'!N90</f>
        <v>1</v>
      </c>
      <c r="O90" s="7" t="str">
        <f>'AS400'!O90</f>
        <v>MFUC</v>
      </c>
      <c r="P90" s="7">
        <f>'AS400'!P90</f>
        <v>100</v>
      </c>
      <c r="Q90" s="7">
        <f>'AS400'!Q90</f>
        <v>20180301</v>
      </c>
      <c r="R90" s="7">
        <f>'AS400'!R90</f>
        <v>20180301</v>
      </c>
      <c r="S90" s="7" t="str">
        <f>'AS400'!S90</f>
        <v>M</v>
      </c>
      <c r="T90" s="7" t="str">
        <f>'AS400'!T90</f>
        <v>MP</v>
      </c>
      <c r="U90" s="7">
        <f>'AS400'!U90</f>
        <v>20190301</v>
      </c>
      <c r="V90" s="7">
        <f>'AS400'!V90</f>
        <v>10</v>
      </c>
      <c r="W90" s="7">
        <f>'AS400'!W90</f>
        <v>10</v>
      </c>
      <c r="X90" s="7" t="str">
        <f>'AS400'!X90</f>
        <v>MFIX</v>
      </c>
      <c r="Y90" s="7">
        <f>'AS400'!Y90</f>
        <v>0</v>
      </c>
      <c r="Z90" s="7" t="str">
        <f>'AS400'!Z90</f>
        <v>STLV</v>
      </c>
      <c r="AA90" s="7">
        <f>'AS400'!AA90</f>
        <v>818</v>
      </c>
      <c r="AB90" s="7">
        <f>'AS400'!AB90</f>
        <v>0</v>
      </c>
      <c r="AC90" s="7">
        <f>'AS400'!AC90</f>
        <v>12</v>
      </c>
      <c r="AD90" s="7">
        <f>'AS400'!AD90</f>
        <v>20180201</v>
      </c>
      <c r="AE90" s="7">
        <f>'AS400'!AE90</f>
        <v>0</v>
      </c>
      <c r="AF90" s="7">
        <f>'AS400'!AF90</f>
        <v>35000</v>
      </c>
      <c r="AG90" s="7">
        <f>'AS400'!AG90</f>
        <v>10</v>
      </c>
      <c r="AI90" s="7">
        <f>'AS400'!AH90</f>
        <v>29</v>
      </c>
      <c r="AJ90" s="7">
        <f>'AS400'!AI90</f>
        <v>0</v>
      </c>
      <c r="AK90" s="7">
        <f>'AS400'!AJ90</f>
        <v>0</v>
      </c>
      <c r="AL90" s="7">
        <f>'AS400'!AK90</f>
        <v>0</v>
      </c>
      <c r="AM90" s="7">
        <f>'AS400'!AL90</f>
        <v>0</v>
      </c>
      <c r="AN90" s="7">
        <f>'AS400'!AM90</f>
        <v>0</v>
      </c>
      <c r="AO90" s="7">
        <f>'AS400'!AN90</f>
        <v>0</v>
      </c>
      <c r="AP90" s="7">
        <f>'AS400'!AO90</f>
        <v>0</v>
      </c>
      <c r="AQ90" s="7">
        <f>'AS400'!AP90</f>
        <v>0</v>
      </c>
      <c r="AR90" s="7">
        <f>'AS400'!AQ90</f>
        <v>0</v>
      </c>
      <c r="AS90" s="7">
        <f>'AS400'!AR90</f>
        <v>0</v>
      </c>
      <c r="AT90" s="7">
        <f>'AS400'!AS90</f>
        <v>0</v>
      </c>
      <c r="AU90" s="7">
        <f>'AS400'!AT90</f>
        <v>0</v>
      </c>
      <c r="AV90" s="7">
        <f>'AS400'!AU90</f>
        <v>0</v>
      </c>
      <c r="AW90" s="7">
        <f>'AS400'!AV90</f>
        <v>0</v>
      </c>
      <c r="AX90" s="7">
        <f>'AS400'!AW90</f>
        <v>0</v>
      </c>
      <c r="AY90" s="7">
        <f>'AS400'!AX90</f>
        <v>0</v>
      </c>
      <c r="AZ90" s="8">
        <f>'AS400'!AY90</f>
        <v>1</v>
      </c>
      <c r="BA90" s="7">
        <f>'AS400'!AZ90</f>
        <v>2</v>
      </c>
      <c r="BB90" s="7" t="str">
        <f>'AS400'!BA90</f>
        <v>PURO</v>
      </c>
      <c r="BC90" s="7">
        <f>'AS400'!BB90</f>
        <v>100</v>
      </c>
      <c r="BD90" s="7">
        <f>'AS400'!BC90</f>
        <v>20180301</v>
      </c>
      <c r="BE90" s="7">
        <f>'AS400'!BD90</f>
        <v>20180301</v>
      </c>
      <c r="BF90" s="7" t="str">
        <f>'AS400'!BE90</f>
        <v>S</v>
      </c>
      <c r="BG90" s="7" t="str">
        <f>'AS400'!BF90</f>
        <v>ME</v>
      </c>
      <c r="BH90" s="7">
        <f>'AS400'!BG90</f>
        <v>20180301</v>
      </c>
      <c r="BI90" s="7">
        <f>'AS400'!BH90</f>
        <v>0</v>
      </c>
      <c r="BJ90" s="7">
        <f>'AS400'!BI90</f>
        <v>0</v>
      </c>
      <c r="BK90" s="7">
        <f>'AS400'!BJ90</f>
        <v>0</v>
      </c>
      <c r="BL90" s="7">
        <f>'AS400'!BK90</f>
        <v>0</v>
      </c>
      <c r="BM90" s="7" t="str">
        <f>'AS400'!BL90</f>
        <v>STLV</v>
      </c>
      <c r="BN90" s="7">
        <f>'AS400'!BM90</f>
        <v>818</v>
      </c>
      <c r="BO90" s="7">
        <f>'AS400'!BN90</f>
        <v>0</v>
      </c>
      <c r="BP90" s="7">
        <f>'AS400'!BO90</f>
        <v>12</v>
      </c>
      <c r="BQ90" s="7">
        <f>'AS400'!BP90</f>
        <v>20180201</v>
      </c>
      <c r="BR90" s="7">
        <f>'AS400'!BQ90</f>
        <v>0</v>
      </c>
      <c r="BS90" s="7">
        <f>'AS400'!BR90</f>
        <v>0</v>
      </c>
      <c r="BT90" s="7">
        <f>'AS400'!BS90</f>
        <v>1</v>
      </c>
      <c r="BV90" s="7">
        <f>'AS400'!BT90</f>
        <v>29</v>
      </c>
      <c r="BW90" s="7">
        <f>'AS400'!BU90</f>
        <v>0</v>
      </c>
      <c r="BX90" s="7">
        <f>'AS400'!BV90</f>
        <v>0</v>
      </c>
      <c r="BY90" s="7">
        <f>'AS400'!BW90</f>
        <v>0</v>
      </c>
      <c r="BZ90" s="7">
        <f>'AS400'!BX90</f>
        <v>0</v>
      </c>
      <c r="CA90" s="7">
        <f>'AS400'!BY90</f>
        <v>0</v>
      </c>
      <c r="CB90" s="7">
        <f>'AS400'!BZ90</f>
        <v>0</v>
      </c>
      <c r="CC90" s="7">
        <f>'AS400'!CA90</f>
        <v>0</v>
      </c>
      <c r="CD90" s="7">
        <f>'AS400'!CB90</f>
        <v>0</v>
      </c>
      <c r="CE90" s="7">
        <f>'AS400'!CC90</f>
        <v>0</v>
      </c>
      <c r="CF90" s="7">
        <f>'AS400'!CD90</f>
        <v>0</v>
      </c>
      <c r="CG90" s="7">
        <f>'AS400'!CE90</f>
        <v>0</v>
      </c>
      <c r="CH90" s="7">
        <f>'AS400'!CF90</f>
        <v>0</v>
      </c>
      <c r="CI90" s="7">
        <f>'AS400'!CG90</f>
        <v>0</v>
      </c>
      <c r="CJ90" s="7">
        <f>'AS400'!CH90</f>
        <v>0</v>
      </c>
      <c r="CK90" s="7">
        <f>'AS400'!CI90</f>
        <v>0</v>
      </c>
      <c r="CL90" s="7">
        <f>'AS400'!CJ90</f>
        <v>0</v>
      </c>
      <c r="CM90" s="8">
        <f>'AS400'!CK90</f>
        <v>1</v>
      </c>
      <c r="CN90" s="7">
        <f>'AS400'!CL90</f>
        <v>3</v>
      </c>
      <c r="CO90" s="7" t="str">
        <f>'AS400'!CM90</f>
        <v>PUDT</v>
      </c>
      <c r="CP90" s="7">
        <f>'AS400'!CN90</f>
        <v>100</v>
      </c>
      <c r="CQ90" s="7">
        <f>'AS400'!CO90</f>
        <v>20180301</v>
      </c>
      <c r="CR90" s="7">
        <f>'AS400'!CP90</f>
        <v>20180301</v>
      </c>
      <c r="CS90" s="7" t="str">
        <f>'AS400'!CQ90</f>
        <v>S</v>
      </c>
      <c r="CT90" s="7" t="str">
        <f>'AS400'!CR90</f>
        <v>MT</v>
      </c>
      <c r="CU90" s="7">
        <f>'AS400'!CS90</f>
        <v>20180301</v>
      </c>
      <c r="CV90" s="7">
        <f>'AS400'!CT90</f>
        <v>0</v>
      </c>
      <c r="CW90" s="7">
        <f>'AS400'!CU90</f>
        <v>0</v>
      </c>
      <c r="CX90" s="7">
        <f>'AS400'!CV90</f>
        <v>0</v>
      </c>
      <c r="CY90" s="7">
        <f>'AS400'!CW90</f>
        <v>0</v>
      </c>
      <c r="CZ90" s="7" t="str">
        <f>'AS400'!CX90</f>
        <v>STLV</v>
      </c>
      <c r="DA90" s="7">
        <f>'AS400'!CY90</f>
        <v>818</v>
      </c>
      <c r="DB90" s="7">
        <f>'AS400'!CZ90</f>
        <v>0</v>
      </c>
      <c r="DC90" s="7">
        <f>'AS400'!DA90</f>
        <v>12</v>
      </c>
      <c r="DD90" s="7">
        <f>'AS400'!DB90</f>
        <v>20180201</v>
      </c>
      <c r="DE90" s="7">
        <f>'AS400'!DC90</f>
        <v>0</v>
      </c>
      <c r="DF90" s="7">
        <f>'AS400'!DD90</f>
        <v>0</v>
      </c>
      <c r="DG90" s="7">
        <f>'AS400'!DE90</f>
        <v>1</v>
      </c>
      <c r="DI90" s="7">
        <f>'AS400'!DF90</f>
        <v>29</v>
      </c>
      <c r="DJ90" s="7">
        <f>'AS400'!DG90</f>
        <v>0</v>
      </c>
      <c r="DK90" s="7">
        <f>'AS400'!DH90</f>
        <v>0</v>
      </c>
      <c r="DL90" s="7">
        <f>'AS400'!DI90</f>
        <v>0</v>
      </c>
      <c r="DM90" s="7">
        <f>'AS400'!DJ90</f>
        <v>0</v>
      </c>
      <c r="DN90" s="7">
        <f>'AS400'!DK90</f>
        <v>0</v>
      </c>
      <c r="DO90" s="7">
        <f>'AS400'!DL90</f>
        <v>0</v>
      </c>
      <c r="DP90" s="7">
        <f>'AS400'!DM90</f>
        <v>0</v>
      </c>
      <c r="DQ90" s="7">
        <f>'AS400'!DN90</f>
        <v>0</v>
      </c>
      <c r="DR90" s="7">
        <f>'AS400'!DO90</f>
        <v>0</v>
      </c>
      <c r="DS90" s="7">
        <f>'AS400'!DP90</f>
        <v>0</v>
      </c>
      <c r="DT90" s="7">
        <f>'AS400'!DQ90</f>
        <v>0</v>
      </c>
      <c r="DU90" s="7">
        <f>'AS400'!DR90</f>
        <v>0</v>
      </c>
      <c r="DV90" s="7">
        <f>'AS400'!DS90</f>
        <v>0</v>
      </c>
      <c r="DW90" s="7">
        <f>'AS400'!DT90</f>
        <v>0</v>
      </c>
      <c r="DX90" s="7">
        <f>'AS400'!DU90</f>
        <v>0</v>
      </c>
      <c r="DY90" s="7">
        <f>'AS400'!DV90</f>
        <v>0</v>
      </c>
      <c r="DZ90" s="8">
        <f>'AS400'!DW90</f>
        <v>1</v>
      </c>
      <c r="EA90" s="7">
        <f>'AS400'!DX90</f>
        <v>4</v>
      </c>
      <c r="EB90" s="7" t="str">
        <f>'AS400'!DY90</f>
        <v>PUDS</v>
      </c>
      <c r="EC90" s="7">
        <f>'AS400'!DZ90</f>
        <v>100</v>
      </c>
      <c r="ED90" s="7">
        <f>'AS400'!EA90</f>
        <v>20180301</v>
      </c>
      <c r="EE90" s="7">
        <f>'AS400'!EB90</f>
        <v>20180301</v>
      </c>
      <c r="EF90" s="7" t="str">
        <f>'AS400'!EC90</f>
        <v>S</v>
      </c>
      <c r="EG90" s="7" t="str">
        <f>'AS400'!ED90</f>
        <v>MS</v>
      </c>
      <c r="EH90" s="7">
        <f>'AS400'!EE90</f>
        <v>20180301</v>
      </c>
      <c r="EI90" s="7">
        <f>'AS400'!EF90</f>
        <v>0</v>
      </c>
      <c r="EJ90" s="7">
        <f>'AS400'!EG90</f>
        <v>0</v>
      </c>
      <c r="EK90" s="7">
        <f>'AS400'!EH90</f>
        <v>0</v>
      </c>
      <c r="EL90" s="7">
        <f>'AS400'!EI90</f>
        <v>0</v>
      </c>
      <c r="EM90" s="7" t="str">
        <f>'AS400'!EJ90</f>
        <v>STLV</v>
      </c>
      <c r="EN90" s="7">
        <f>'AS400'!EK90</f>
        <v>818</v>
      </c>
      <c r="EO90" s="7">
        <f>'AS400'!EL90</f>
        <v>0</v>
      </c>
      <c r="EP90" s="7">
        <f>'AS400'!EM90</f>
        <v>12</v>
      </c>
      <c r="EQ90" s="7">
        <f>'AS400'!EN90</f>
        <v>20180201</v>
      </c>
      <c r="ER90" s="7">
        <f>'AS400'!EO90</f>
        <v>0</v>
      </c>
      <c r="ES90" s="7">
        <f>'AS400'!EP90</f>
        <v>0</v>
      </c>
      <c r="ET90" s="7">
        <f>'AS400'!EQ90</f>
        <v>1</v>
      </c>
      <c r="EV90" s="7">
        <f>'AS400'!ER90</f>
        <v>29</v>
      </c>
      <c r="EW90" s="7">
        <f>'AS400'!ES90</f>
        <v>0</v>
      </c>
      <c r="EX90" s="7">
        <f>'AS400'!ET90</f>
        <v>0</v>
      </c>
      <c r="EY90" s="7">
        <f>'AS400'!EU90</f>
        <v>0</v>
      </c>
      <c r="EZ90" s="7">
        <f>'AS400'!EV90</f>
        <v>0</v>
      </c>
      <c r="FA90" s="7">
        <f>'AS400'!EW90</f>
        <v>0</v>
      </c>
      <c r="FB90" s="7">
        <f>'AS400'!EX90</f>
        <v>0</v>
      </c>
      <c r="FC90" s="7">
        <f>'AS400'!EY90</f>
        <v>0</v>
      </c>
      <c r="FD90" s="7">
        <f>'AS400'!EZ90</f>
        <v>0</v>
      </c>
      <c r="FE90" s="7">
        <f>'AS400'!FA90</f>
        <v>0</v>
      </c>
      <c r="FF90" s="7">
        <f>'AS400'!FB90</f>
        <v>0</v>
      </c>
      <c r="FG90" s="7">
        <f>'AS400'!FC90</f>
        <v>0</v>
      </c>
      <c r="FH90" s="7">
        <f>'AS400'!FD90</f>
        <v>0</v>
      </c>
      <c r="FI90" s="7">
        <f>'AS400'!FE90</f>
        <v>0</v>
      </c>
      <c r="FJ90" s="7">
        <f>'AS400'!FF90</f>
        <v>0</v>
      </c>
      <c r="FK90" s="7">
        <f>'AS400'!FG90</f>
        <v>0</v>
      </c>
      <c r="FL90" s="7">
        <f>'AS400'!FH90</f>
        <v>0</v>
      </c>
      <c r="FM90" s="7">
        <f>'AS400'!FI90</f>
        <v>1</v>
      </c>
      <c r="FN90" s="7">
        <f>'AS400'!FJ90</f>
        <v>1</v>
      </c>
      <c r="FO90" s="7">
        <f>'AS400'!FO90</f>
        <v>0</v>
      </c>
      <c r="FP90" s="7">
        <f>'AS400'!FP90</f>
        <v>4</v>
      </c>
      <c r="FQ90" s="7">
        <f>'AS400'!FQ90</f>
        <v>1</v>
      </c>
      <c r="FR90" s="7">
        <f>'AS400'!FR90</f>
        <v>1</v>
      </c>
      <c r="FS90" s="13">
        <f>'AS400'!FO90</f>
        <v>0</v>
      </c>
    </row>
    <row r="91" spans="1:175">
      <c r="A91" s="7">
        <f>'AS400'!A91</f>
        <v>85</v>
      </c>
      <c r="B91" s="7">
        <f>'AS400'!B91</f>
        <v>20190301</v>
      </c>
      <c r="C91" s="7">
        <f>'AS400'!C91</f>
        <v>0</v>
      </c>
      <c r="D91" s="7" t="str">
        <f>'AS400'!D91</f>
        <v>N</v>
      </c>
      <c r="E91" s="7" t="str">
        <f>'AS400'!E91</f>
        <v>N</v>
      </c>
      <c r="F91" s="7" t="str">
        <f>'AS400'!F91</f>
        <v>Y</v>
      </c>
      <c r="G91" s="7">
        <f>'AS400'!G91</f>
        <v>0</v>
      </c>
      <c r="H91" s="14"/>
      <c r="I91" s="7" t="str">
        <f>'AS400'!I91</f>
        <v>RSA</v>
      </c>
      <c r="J91" s="7" t="str">
        <f>'AS400'!J91</f>
        <v>METR</v>
      </c>
      <c r="K91" s="7" t="str">
        <f>'AS400'!K91</f>
        <v>N</v>
      </c>
      <c r="L91" s="7">
        <f>'AS400'!L91</f>
        <v>4</v>
      </c>
      <c r="M91" s="8">
        <f>'AS400'!M91</f>
        <v>1</v>
      </c>
      <c r="N91" s="7">
        <f>'AS400'!N91</f>
        <v>1</v>
      </c>
      <c r="O91" s="7" t="str">
        <f>'AS400'!O91</f>
        <v>MFUC</v>
      </c>
      <c r="P91" s="7">
        <f>'AS400'!P91</f>
        <v>100</v>
      </c>
      <c r="Q91" s="7">
        <f>'AS400'!Q91</f>
        <v>20180301</v>
      </c>
      <c r="R91" s="7">
        <f>'AS400'!R91</f>
        <v>20180301</v>
      </c>
      <c r="S91" s="7" t="str">
        <f>'AS400'!S91</f>
        <v>M</v>
      </c>
      <c r="T91" s="7" t="str">
        <f>'AS400'!T91</f>
        <v>MP</v>
      </c>
      <c r="U91" s="7">
        <f>'AS400'!U91</f>
        <v>20190301</v>
      </c>
      <c r="V91" s="7">
        <f>'AS400'!V91</f>
        <v>6</v>
      </c>
      <c r="W91" s="7">
        <f>'AS400'!W91</f>
        <v>6</v>
      </c>
      <c r="X91" s="7" t="str">
        <f>'AS400'!X91</f>
        <v>MFIX</v>
      </c>
      <c r="Y91" s="7">
        <f>'AS400'!Y91</f>
        <v>0</v>
      </c>
      <c r="Z91" s="7" t="str">
        <f>'AS400'!Z91</f>
        <v>STLV</v>
      </c>
      <c r="AA91" s="7">
        <f>'AS400'!AA91</f>
        <v>818</v>
      </c>
      <c r="AB91" s="7">
        <f>'AS400'!AB91</f>
        <v>0</v>
      </c>
      <c r="AC91" s="7">
        <f>'AS400'!AC91</f>
        <v>12</v>
      </c>
      <c r="AD91" s="7">
        <f>'AS400'!AD91</f>
        <v>20180201</v>
      </c>
      <c r="AE91" s="7">
        <f>'AS400'!AE91</f>
        <v>0</v>
      </c>
      <c r="AF91" s="7">
        <f>'AS400'!AF91</f>
        <v>40000</v>
      </c>
      <c r="AG91" s="7">
        <f>'AS400'!AG91</f>
        <v>11</v>
      </c>
      <c r="AI91" s="7">
        <f>'AS400'!AH91</f>
        <v>28</v>
      </c>
      <c r="AJ91" s="7">
        <f>'AS400'!AI91</f>
        <v>0</v>
      </c>
      <c r="AK91" s="7">
        <f>'AS400'!AJ91</f>
        <v>0</v>
      </c>
      <c r="AL91" s="7">
        <f>'AS400'!AK91</f>
        <v>0</v>
      </c>
      <c r="AM91" s="7">
        <f>'AS400'!AL91</f>
        <v>0</v>
      </c>
      <c r="AN91" s="7">
        <f>'AS400'!AM91</f>
        <v>0</v>
      </c>
      <c r="AO91" s="7">
        <f>'AS400'!AN91</f>
        <v>0</v>
      </c>
      <c r="AP91" s="7">
        <f>'AS400'!AO91</f>
        <v>0</v>
      </c>
      <c r="AQ91" s="7">
        <f>'AS400'!AP91</f>
        <v>0</v>
      </c>
      <c r="AR91" s="7">
        <f>'AS400'!AQ91</f>
        <v>0</v>
      </c>
      <c r="AS91" s="7">
        <f>'AS400'!AR91</f>
        <v>0</v>
      </c>
      <c r="AT91" s="7">
        <f>'AS400'!AS91</f>
        <v>0</v>
      </c>
      <c r="AU91" s="7">
        <f>'AS400'!AT91</f>
        <v>0</v>
      </c>
      <c r="AV91" s="7">
        <f>'AS400'!AU91</f>
        <v>0</v>
      </c>
      <c r="AW91" s="7">
        <f>'AS400'!AV91</f>
        <v>0</v>
      </c>
      <c r="AX91" s="7">
        <f>'AS400'!AW91</f>
        <v>0</v>
      </c>
      <c r="AY91" s="7">
        <f>'AS400'!AX91</f>
        <v>0</v>
      </c>
      <c r="AZ91" s="8">
        <f>'AS400'!AY91</f>
        <v>1</v>
      </c>
      <c r="BA91" s="7">
        <f>'AS400'!AZ91</f>
        <v>2</v>
      </c>
      <c r="BB91" s="7" t="str">
        <f>'AS400'!BA91</f>
        <v>PURO</v>
      </c>
      <c r="BC91" s="7">
        <f>'AS400'!BB91</f>
        <v>100</v>
      </c>
      <c r="BD91" s="7">
        <f>'AS400'!BC91</f>
        <v>20180301</v>
      </c>
      <c r="BE91" s="7">
        <f>'AS400'!BD91</f>
        <v>20180301</v>
      </c>
      <c r="BF91" s="7" t="str">
        <f>'AS400'!BE91</f>
        <v>S</v>
      </c>
      <c r="BG91" s="7" t="str">
        <f>'AS400'!BF91</f>
        <v>ME</v>
      </c>
      <c r="BH91" s="7">
        <f>'AS400'!BG91</f>
        <v>20180301</v>
      </c>
      <c r="BI91" s="7">
        <f>'AS400'!BH91</f>
        <v>0</v>
      </c>
      <c r="BJ91" s="7">
        <f>'AS400'!BI91</f>
        <v>0</v>
      </c>
      <c r="BK91" s="7">
        <f>'AS400'!BJ91</f>
        <v>0</v>
      </c>
      <c r="BL91" s="7">
        <f>'AS400'!BK91</f>
        <v>0</v>
      </c>
      <c r="BM91" s="7" t="str">
        <f>'AS400'!BL91</f>
        <v>STLV</v>
      </c>
      <c r="BN91" s="7">
        <f>'AS400'!BM91</f>
        <v>818</v>
      </c>
      <c r="BO91" s="7">
        <f>'AS400'!BN91</f>
        <v>0</v>
      </c>
      <c r="BP91" s="7">
        <f>'AS400'!BO91</f>
        <v>12</v>
      </c>
      <c r="BQ91" s="7">
        <f>'AS400'!BP91</f>
        <v>20180201</v>
      </c>
      <c r="BR91" s="7">
        <f>'AS400'!BQ91</f>
        <v>0</v>
      </c>
      <c r="BS91" s="7">
        <f>'AS400'!BR91</f>
        <v>0</v>
      </c>
      <c r="BT91" s="7">
        <f>'AS400'!BS91</f>
        <v>1</v>
      </c>
      <c r="BV91" s="7">
        <f>'AS400'!BT91</f>
        <v>28</v>
      </c>
      <c r="BW91" s="7">
        <f>'AS400'!BU91</f>
        <v>0</v>
      </c>
      <c r="BX91" s="7">
        <f>'AS400'!BV91</f>
        <v>0</v>
      </c>
      <c r="BY91" s="7">
        <f>'AS400'!BW91</f>
        <v>0</v>
      </c>
      <c r="BZ91" s="7">
        <f>'AS400'!BX91</f>
        <v>0</v>
      </c>
      <c r="CA91" s="7">
        <f>'AS400'!BY91</f>
        <v>0</v>
      </c>
      <c r="CB91" s="7">
        <f>'AS400'!BZ91</f>
        <v>0</v>
      </c>
      <c r="CC91" s="7">
        <f>'AS400'!CA91</f>
        <v>0</v>
      </c>
      <c r="CD91" s="7">
        <f>'AS400'!CB91</f>
        <v>0</v>
      </c>
      <c r="CE91" s="7">
        <f>'AS400'!CC91</f>
        <v>0</v>
      </c>
      <c r="CF91" s="7">
        <f>'AS400'!CD91</f>
        <v>0</v>
      </c>
      <c r="CG91" s="7">
        <f>'AS400'!CE91</f>
        <v>0</v>
      </c>
      <c r="CH91" s="7">
        <f>'AS400'!CF91</f>
        <v>0</v>
      </c>
      <c r="CI91" s="7">
        <f>'AS400'!CG91</f>
        <v>0</v>
      </c>
      <c r="CJ91" s="7">
        <f>'AS400'!CH91</f>
        <v>0</v>
      </c>
      <c r="CK91" s="7">
        <f>'AS400'!CI91</f>
        <v>0</v>
      </c>
      <c r="CL91" s="7">
        <f>'AS400'!CJ91</f>
        <v>0</v>
      </c>
      <c r="CM91" s="8">
        <f>'AS400'!CK91</f>
        <v>1</v>
      </c>
      <c r="CN91" s="7">
        <f>'AS400'!CL91</f>
        <v>3</v>
      </c>
      <c r="CO91" s="7" t="str">
        <f>'AS400'!CM91</f>
        <v>PUDT</v>
      </c>
      <c r="CP91" s="7">
        <f>'AS400'!CN91</f>
        <v>100</v>
      </c>
      <c r="CQ91" s="7">
        <f>'AS400'!CO91</f>
        <v>20180301</v>
      </c>
      <c r="CR91" s="7">
        <f>'AS400'!CP91</f>
        <v>20180301</v>
      </c>
      <c r="CS91" s="7" t="str">
        <f>'AS400'!CQ91</f>
        <v>S</v>
      </c>
      <c r="CT91" s="7" t="str">
        <f>'AS400'!CR91</f>
        <v>MT</v>
      </c>
      <c r="CU91" s="7">
        <f>'AS400'!CS91</f>
        <v>20180301</v>
      </c>
      <c r="CV91" s="7">
        <f>'AS400'!CT91</f>
        <v>0</v>
      </c>
      <c r="CW91" s="7">
        <f>'AS400'!CU91</f>
        <v>0</v>
      </c>
      <c r="CX91" s="7">
        <f>'AS400'!CV91</f>
        <v>0</v>
      </c>
      <c r="CY91" s="7">
        <f>'AS400'!CW91</f>
        <v>0</v>
      </c>
      <c r="CZ91" s="7" t="str">
        <f>'AS400'!CX91</f>
        <v>STLV</v>
      </c>
      <c r="DA91" s="7">
        <f>'AS400'!CY91</f>
        <v>818</v>
      </c>
      <c r="DB91" s="7">
        <f>'AS400'!CZ91</f>
        <v>0</v>
      </c>
      <c r="DC91" s="7">
        <f>'AS400'!DA91</f>
        <v>12</v>
      </c>
      <c r="DD91" s="7">
        <f>'AS400'!DB91</f>
        <v>20180201</v>
      </c>
      <c r="DE91" s="7">
        <f>'AS400'!DC91</f>
        <v>0</v>
      </c>
      <c r="DF91" s="7">
        <f>'AS400'!DD91</f>
        <v>0</v>
      </c>
      <c r="DG91" s="7">
        <f>'AS400'!DE91</f>
        <v>1</v>
      </c>
      <c r="DI91" s="7">
        <f>'AS400'!DF91</f>
        <v>28</v>
      </c>
      <c r="DJ91" s="7">
        <f>'AS400'!DG91</f>
        <v>0</v>
      </c>
      <c r="DK91" s="7">
        <f>'AS400'!DH91</f>
        <v>0</v>
      </c>
      <c r="DL91" s="7">
        <f>'AS400'!DI91</f>
        <v>0</v>
      </c>
      <c r="DM91" s="7">
        <f>'AS400'!DJ91</f>
        <v>0</v>
      </c>
      <c r="DN91" s="7">
        <f>'AS400'!DK91</f>
        <v>0</v>
      </c>
      <c r="DO91" s="7">
        <f>'AS400'!DL91</f>
        <v>0</v>
      </c>
      <c r="DP91" s="7">
        <f>'AS400'!DM91</f>
        <v>0</v>
      </c>
      <c r="DQ91" s="7">
        <f>'AS400'!DN91</f>
        <v>0</v>
      </c>
      <c r="DR91" s="7">
        <f>'AS400'!DO91</f>
        <v>0</v>
      </c>
      <c r="DS91" s="7">
        <f>'AS400'!DP91</f>
        <v>0</v>
      </c>
      <c r="DT91" s="7">
        <f>'AS400'!DQ91</f>
        <v>0</v>
      </c>
      <c r="DU91" s="7">
        <f>'AS400'!DR91</f>
        <v>0</v>
      </c>
      <c r="DV91" s="7">
        <f>'AS400'!DS91</f>
        <v>0</v>
      </c>
      <c r="DW91" s="7">
        <f>'AS400'!DT91</f>
        <v>0</v>
      </c>
      <c r="DX91" s="7">
        <f>'AS400'!DU91</f>
        <v>0</v>
      </c>
      <c r="DY91" s="7">
        <f>'AS400'!DV91</f>
        <v>0</v>
      </c>
      <c r="DZ91" s="8">
        <f>'AS400'!DW91</f>
        <v>1</v>
      </c>
      <c r="EA91" s="7">
        <f>'AS400'!DX91</f>
        <v>4</v>
      </c>
      <c r="EB91" s="7" t="str">
        <f>'AS400'!DY91</f>
        <v>PUDS</v>
      </c>
      <c r="EC91" s="7">
        <f>'AS400'!DZ91</f>
        <v>100</v>
      </c>
      <c r="ED91" s="7">
        <f>'AS400'!EA91</f>
        <v>20180301</v>
      </c>
      <c r="EE91" s="7">
        <f>'AS400'!EB91</f>
        <v>20180301</v>
      </c>
      <c r="EF91" s="7" t="str">
        <f>'AS400'!EC91</f>
        <v>S</v>
      </c>
      <c r="EG91" s="7" t="str">
        <f>'AS400'!ED91</f>
        <v>MS</v>
      </c>
      <c r="EH91" s="7">
        <f>'AS400'!EE91</f>
        <v>20180301</v>
      </c>
      <c r="EI91" s="7">
        <f>'AS400'!EF91</f>
        <v>0</v>
      </c>
      <c r="EJ91" s="7">
        <f>'AS400'!EG91</f>
        <v>0</v>
      </c>
      <c r="EK91" s="7">
        <f>'AS400'!EH91</f>
        <v>0</v>
      </c>
      <c r="EL91" s="7">
        <f>'AS400'!EI91</f>
        <v>0</v>
      </c>
      <c r="EM91" s="7" t="str">
        <f>'AS400'!EJ91</f>
        <v>STLV</v>
      </c>
      <c r="EN91" s="7">
        <f>'AS400'!EK91</f>
        <v>818</v>
      </c>
      <c r="EO91" s="7">
        <f>'AS400'!EL91</f>
        <v>0</v>
      </c>
      <c r="EP91" s="7">
        <f>'AS400'!EM91</f>
        <v>12</v>
      </c>
      <c r="EQ91" s="7">
        <f>'AS400'!EN91</f>
        <v>20180201</v>
      </c>
      <c r="ER91" s="7">
        <f>'AS400'!EO91</f>
        <v>0</v>
      </c>
      <c r="ES91" s="7">
        <f>'AS400'!EP91</f>
        <v>0</v>
      </c>
      <c r="ET91" s="7">
        <f>'AS400'!EQ91</f>
        <v>1</v>
      </c>
      <c r="EV91" s="7">
        <f>'AS400'!ER91</f>
        <v>28</v>
      </c>
      <c r="EW91" s="7">
        <f>'AS400'!ES91</f>
        <v>0</v>
      </c>
      <c r="EX91" s="7">
        <f>'AS400'!ET91</f>
        <v>0</v>
      </c>
      <c r="EY91" s="7">
        <f>'AS400'!EU91</f>
        <v>0</v>
      </c>
      <c r="EZ91" s="7">
        <f>'AS400'!EV91</f>
        <v>0</v>
      </c>
      <c r="FA91" s="7">
        <f>'AS400'!EW91</f>
        <v>0</v>
      </c>
      <c r="FB91" s="7">
        <f>'AS400'!EX91</f>
        <v>0</v>
      </c>
      <c r="FC91" s="7">
        <f>'AS400'!EY91</f>
        <v>0</v>
      </c>
      <c r="FD91" s="7">
        <f>'AS400'!EZ91</f>
        <v>0</v>
      </c>
      <c r="FE91" s="7">
        <f>'AS400'!FA91</f>
        <v>0</v>
      </c>
      <c r="FF91" s="7">
        <f>'AS400'!FB91</f>
        <v>0</v>
      </c>
      <c r="FG91" s="7">
        <f>'AS400'!FC91</f>
        <v>0</v>
      </c>
      <c r="FH91" s="7">
        <f>'AS400'!FD91</f>
        <v>0</v>
      </c>
      <c r="FI91" s="7">
        <f>'AS400'!FE91</f>
        <v>0</v>
      </c>
      <c r="FJ91" s="7">
        <f>'AS400'!FF91</f>
        <v>0</v>
      </c>
      <c r="FK91" s="7">
        <f>'AS400'!FG91</f>
        <v>0</v>
      </c>
      <c r="FL91" s="7">
        <f>'AS400'!FH91</f>
        <v>0</v>
      </c>
      <c r="FM91" s="7">
        <f>'AS400'!FI91</f>
        <v>1</v>
      </c>
      <c r="FN91" s="7">
        <f>'AS400'!FJ91</f>
        <v>1</v>
      </c>
      <c r="FO91" s="7">
        <f>'AS400'!FO91</f>
        <v>0</v>
      </c>
      <c r="FP91" s="7">
        <f>'AS400'!FP91</f>
        <v>4</v>
      </c>
      <c r="FQ91" s="7">
        <f>'AS400'!FQ91</f>
        <v>1</v>
      </c>
      <c r="FR91" s="7">
        <f>'AS400'!FR91</f>
        <v>1</v>
      </c>
      <c r="FS91" s="13">
        <f>'AS400'!FO91</f>
        <v>0</v>
      </c>
    </row>
    <row r="92" spans="1:175">
      <c r="A92" s="7">
        <f>'AS400'!A92</f>
        <v>86</v>
      </c>
      <c r="B92" s="7">
        <f>'AS400'!B92</f>
        <v>20190301</v>
      </c>
      <c r="C92" s="7">
        <f>'AS400'!C92</f>
        <v>0</v>
      </c>
      <c r="D92" s="7" t="str">
        <f>'AS400'!D92</f>
        <v>N</v>
      </c>
      <c r="E92" s="7" t="str">
        <f>'AS400'!E92</f>
        <v>N</v>
      </c>
      <c r="F92" s="7" t="str">
        <f>'AS400'!F92</f>
        <v>Y</v>
      </c>
      <c r="G92" s="7">
        <f>'AS400'!G92</f>
        <v>0</v>
      </c>
      <c r="H92" s="14"/>
      <c r="I92" s="7" t="str">
        <f>'AS400'!I92</f>
        <v>RSA</v>
      </c>
      <c r="J92" s="7" t="str">
        <f>'AS400'!J92</f>
        <v>METR</v>
      </c>
      <c r="K92" s="7" t="str">
        <f>'AS400'!K92</f>
        <v>N</v>
      </c>
      <c r="L92" s="7">
        <f>'AS400'!L92</f>
        <v>4</v>
      </c>
      <c r="M92" s="8">
        <f>'AS400'!M92</f>
        <v>1</v>
      </c>
      <c r="N92" s="7">
        <f>'AS400'!N92</f>
        <v>1</v>
      </c>
      <c r="O92" s="7" t="str">
        <f>'AS400'!O92</f>
        <v>MFUC</v>
      </c>
      <c r="P92" s="7">
        <f>'AS400'!P92</f>
        <v>100</v>
      </c>
      <c r="Q92" s="7">
        <f>'AS400'!Q92</f>
        <v>20180301</v>
      </c>
      <c r="R92" s="7">
        <f>'AS400'!R92</f>
        <v>20180301</v>
      </c>
      <c r="S92" s="7" t="str">
        <f>'AS400'!S92</f>
        <v>M</v>
      </c>
      <c r="T92" s="7" t="str">
        <f>'AS400'!T92</f>
        <v>MP</v>
      </c>
      <c r="U92" s="7">
        <f>'AS400'!U92</f>
        <v>20190301</v>
      </c>
      <c r="V92" s="7">
        <f>'AS400'!V92</f>
        <v>6</v>
      </c>
      <c r="W92" s="7">
        <f>'AS400'!W92</f>
        <v>6</v>
      </c>
      <c r="X92" s="7" t="str">
        <f>'AS400'!X92</f>
        <v>MFIX</v>
      </c>
      <c r="Y92" s="7">
        <f>'AS400'!Y92</f>
        <v>0</v>
      </c>
      <c r="Z92" s="7" t="str">
        <f>'AS400'!Z92</f>
        <v>STLV</v>
      </c>
      <c r="AA92" s="7">
        <f>'AS400'!AA92</f>
        <v>818</v>
      </c>
      <c r="AB92" s="7">
        <f>'AS400'!AB92</f>
        <v>0</v>
      </c>
      <c r="AC92" s="7">
        <f>'AS400'!AC92</f>
        <v>12</v>
      </c>
      <c r="AD92" s="7">
        <f>'AS400'!AD92</f>
        <v>20180201</v>
      </c>
      <c r="AE92" s="7">
        <f>'AS400'!AE92</f>
        <v>0</v>
      </c>
      <c r="AF92" s="7">
        <f>'AS400'!AF92</f>
        <v>45000</v>
      </c>
      <c r="AG92" s="7">
        <f>'AS400'!AG92</f>
        <v>13</v>
      </c>
      <c r="AI92" s="7">
        <f>'AS400'!AH92</f>
        <v>27</v>
      </c>
      <c r="AJ92" s="7">
        <f>'AS400'!AI92</f>
        <v>0</v>
      </c>
      <c r="AK92" s="7">
        <f>'AS400'!AJ92</f>
        <v>0</v>
      </c>
      <c r="AL92" s="7">
        <f>'AS400'!AK92</f>
        <v>0</v>
      </c>
      <c r="AM92" s="7">
        <f>'AS400'!AL92</f>
        <v>0</v>
      </c>
      <c r="AN92" s="7">
        <f>'AS400'!AM92</f>
        <v>0</v>
      </c>
      <c r="AO92" s="7">
        <f>'AS400'!AN92</f>
        <v>0</v>
      </c>
      <c r="AP92" s="7">
        <f>'AS400'!AO92</f>
        <v>0</v>
      </c>
      <c r="AQ92" s="7">
        <f>'AS400'!AP92</f>
        <v>0</v>
      </c>
      <c r="AR92" s="7">
        <f>'AS400'!AQ92</f>
        <v>0</v>
      </c>
      <c r="AS92" s="7">
        <f>'AS400'!AR92</f>
        <v>0</v>
      </c>
      <c r="AT92" s="7">
        <f>'AS400'!AS92</f>
        <v>0</v>
      </c>
      <c r="AU92" s="7">
        <f>'AS400'!AT92</f>
        <v>0</v>
      </c>
      <c r="AV92" s="7">
        <f>'AS400'!AU92</f>
        <v>0</v>
      </c>
      <c r="AW92" s="7">
        <f>'AS400'!AV92</f>
        <v>0</v>
      </c>
      <c r="AX92" s="7">
        <f>'AS400'!AW92</f>
        <v>0</v>
      </c>
      <c r="AY92" s="7">
        <f>'AS400'!AX92</f>
        <v>0</v>
      </c>
      <c r="AZ92" s="8">
        <f>'AS400'!AY92</f>
        <v>1</v>
      </c>
      <c r="BA92" s="7">
        <f>'AS400'!AZ92</f>
        <v>2</v>
      </c>
      <c r="BB92" s="7" t="str">
        <f>'AS400'!BA92</f>
        <v>PURO</v>
      </c>
      <c r="BC92" s="7">
        <f>'AS400'!BB92</f>
        <v>100</v>
      </c>
      <c r="BD92" s="7">
        <f>'AS400'!BC92</f>
        <v>20180301</v>
      </c>
      <c r="BE92" s="7">
        <f>'AS400'!BD92</f>
        <v>20180301</v>
      </c>
      <c r="BF92" s="7" t="str">
        <f>'AS400'!BE92</f>
        <v>S</v>
      </c>
      <c r="BG92" s="7" t="str">
        <f>'AS400'!BF92</f>
        <v>ME</v>
      </c>
      <c r="BH92" s="7">
        <f>'AS400'!BG92</f>
        <v>20180301</v>
      </c>
      <c r="BI92" s="7">
        <f>'AS400'!BH92</f>
        <v>0</v>
      </c>
      <c r="BJ92" s="7">
        <f>'AS400'!BI92</f>
        <v>0</v>
      </c>
      <c r="BK92" s="7">
        <f>'AS400'!BJ92</f>
        <v>0</v>
      </c>
      <c r="BL92" s="7">
        <f>'AS400'!BK92</f>
        <v>0</v>
      </c>
      <c r="BM92" s="7" t="str">
        <f>'AS400'!BL92</f>
        <v>STLV</v>
      </c>
      <c r="BN92" s="7">
        <f>'AS400'!BM92</f>
        <v>818</v>
      </c>
      <c r="BO92" s="7">
        <f>'AS400'!BN92</f>
        <v>0</v>
      </c>
      <c r="BP92" s="7">
        <f>'AS400'!BO92</f>
        <v>12</v>
      </c>
      <c r="BQ92" s="7">
        <f>'AS400'!BP92</f>
        <v>20180201</v>
      </c>
      <c r="BR92" s="7">
        <f>'AS400'!BQ92</f>
        <v>0</v>
      </c>
      <c r="BS92" s="7">
        <f>'AS400'!BR92</f>
        <v>0</v>
      </c>
      <c r="BT92" s="7">
        <f>'AS400'!BS92</f>
        <v>1</v>
      </c>
      <c r="BV92" s="7">
        <f>'AS400'!BT92</f>
        <v>27</v>
      </c>
      <c r="BW92" s="7">
        <f>'AS400'!BU92</f>
        <v>0</v>
      </c>
      <c r="BX92" s="7">
        <f>'AS400'!BV92</f>
        <v>0</v>
      </c>
      <c r="BY92" s="7">
        <f>'AS400'!BW92</f>
        <v>0</v>
      </c>
      <c r="BZ92" s="7">
        <f>'AS400'!BX92</f>
        <v>0</v>
      </c>
      <c r="CA92" s="7">
        <f>'AS400'!BY92</f>
        <v>0</v>
      </c>
      <c r="CB92" s="7">
        <f>'AS400'!BZ92</f>
        <v>0</v>
      </c>
      <c r="CC92" s="7">
        <f>'AS400'!CA92</f>
        <v>0</v>
      </c>
      <c r="CD92" s="7">
        <f>'AS400'!CB92</f>
        <v>0</v>
      </c>
      <c r="CE92" s="7">
        <f>'AS400'!CC92</f>
        <v>0</v>
      </c>
      <c r="CF92" s="7">
        <f>'AS400'!CD92</f>
        <v>0</v>
      </c>
      <c r="CG92" s="7">
        <f>'AS400'!CE92</f>
        <v>0</v>
      </c>
      <c r="CH92" s="7">
        <f>'AS400'!CF92</f>
        <v>0</v>
      </c>
      <c r="CI92" s="7">
        <f>'AS400'!CG92</f>
        <v>0</v>
      </c>
      <c r="CJ92" s="7">
        <f>'AS400'!CH92</f>
        <v>0</v>
      </c>
      <c r="CK92" s="7">
        <f>'AS400'!CI92</f>
        <v>0</v>
      </c>
      <c r="CL92" s="7">
        <f>'AS400'!CJ92</f>
        <v>0</v>
      </c>
      <c r="CM92" s="8">
        <f>'AS400'!CK92</f>
        <v>1</v>
      </c>
      <c r="CN92" s="7">
        <f>'AS400'!CL92</f>
        <v>3</v>
      </c>
      <c r="CO92" s="7" t="str">
        <f>'AS400'!CM92</f>
        <v>PUDT</v>
      </c>
      <c r="CP92" s="7">
        <f>'AS400'!CN92</f>
        <v>100</v>
      </c>
      <c r="CQ92" s="7">
        <f>'AS400'!CO92</f>
        <v>20180301</v>
      </c>
      <c r="CR92" s="7">
        <f>'AS400'!CP92</f>
        <v>20180301</v>
      </c>
      <c r="CS92" s="7" t="str">
        <f>'AS400'!CQ92</f>
        <v>S</v>
      </c>
      <c r="CT92" s="7" t="str">
        <f>'AS400'!CR92</f>
        <v>MT</v>
      </c>
      <c r="CU92" s="7">
        <f>'AS400'!CS92</f>
        <v>20180301</v>
      </c>
      <c r="CV92" s="7">
        <f>'AS400'!CT92</f>
        <v>0</v>
      </c>
      <c r="CW92" s="7">
        <f>'AS400'!CU92</f>
        <v>0</v>
      </c>
      <c r="CX92" s="7">
        <f>'AS400'!CV92</f>
        <v>0</v>
      </c>
      <c r="CY92" s="7">
        <f>'AS400'!CW92</f>
        <v>0</v>
      </c>
      <c r="CZ92" s="7" t="str">
        <f>'AS400'!CX92</f>
        <v>STLV</v>
      </c>
      <c r="DA92" s="7">
        <f>'AS400'!CY92</f>
        <v>818</v>
      </c>
      <c r="DB92" s="7">
        <f>'AS400'!CZ92</f>
        <v>0</v>
      </c>
      <c r="DC92" s="7">
        <f>'AS400'!DA92</f>
        <v>12</v>
      </c>
      <c r="DD92" s="7">
        <f>'AS400'!DB92</f>
        <v>20180201</v>
      </c>
      <c r="DE92" s="7">
        <f>'AS400'!DC92</f>
        <v>0</v>
      </c>
      <c r="DF92" s="7">
        <f>'AS400'!DD92</f>
        <v>0</v>
      </c>
      <c r="DG92" s="7">
        <f>'AS400'!DE92</f>
        <v>1</v>
      </c>
      <c r="DI92" s="7">
        <f>'AS400'!DF92</f>
        <v>27</v>
      </c>
      <c r="DJ92" s="7">
        <f>'AS400'!DG92</f>
        <v>0</v>
      </c>
      <c r="DK92" s="7">
        <f>'AS400'!DH92</f>
        <v>0</v>
      </c>
      <c r="DL92" s="7">
        <f>'AS400'!DI92</f>
        <v>0</v>
      </c>
      <c r="DM92" s="7">
        <f>'AS400'!DJ92</f>
        <v>0</v>
      </c>
      <c r="DN92" s="7">
        <f>'AS400'!DK92</f>
        <v>0</v>
      </c>
      <c r="DO92" s="7">
        <f>'AS400'!DL92</f>
        <v>0</v>
      </c>
      <c r="DP92" s="7">
        <f>'AS400'!DM92</f>
        <v>0</v>
      </c>
      <c r="DQ92" s="7">
        <f>'AS400'!DN92</f>
        <v>0</v>
      </c>
      <c r="DR92" s="7">
        <f>'AS400'!DO92</f>
        <v>0</v>
      </c>
      <c r="DS92" s="7">
        <f>'AS400'!DP92</f>
        <v>0</v>
      </c>
      <c r="DT92" s="7">
        <f>'AS400'!DQ92</f>
        <v>0</v>
      </c>
      <c r="DU92" s="7">
        <f>'AS400'!DR92</f>
        <v>0</v>
      </c>
      <c r="DV92" s="7">
        <f>'AS400'!DS92</f>
        <v>0</v>
      </c>
      <c r="DW92" s="7">
        <f>'AS400'!DT92</f>
        <v>0</v>
      </c>
      <c r="DX92" s="7">
        <f>'AS400'!DU92</f>
        <v>0</v>
      </c>
      <c r="DY92" s="7">
        <f>'AS400'!DV92</f>
        <v>0</v>
      </c>
      <c r="DZ92" s="8">
        <f>'AS400'!DW92</f>
        <v>1</v>
      </c>
      <c r="EA92" s="7">
        <f>'AS400'!DX92</f>
        <v>4</v>
      </c>
      <c r="EB92" s="7" t="str">
        <f>'AS400'!DY92</f>
        <v>PUDS</v>
      </c>
      <c r="EC92" s="7">
        <f>'AS400'!DZ92</f>
        <v>100</v>
      </c>
      <c r="ED92" s="7">
        <f>'AS400'!EA92</f>
        <v>20180301</v>
      </c>
      <c r="EE92" s="7">
        <f>'AS400'!EB92</f>
        <v>20180301</v>
      </c>
      <c r="EF92" s="7" t="str">
        <f>'AS400'!EC92</f>
        <v>S</v>
      </c>
      <c r="EG92" s="7" t="str">
        <f>'AS400'!ED92</f>
        <v>MS</v>
      </c>
      <c r="EH92" s="7">
        <f>'AS400'!EE92</f>
        <v>20180301</v>
      </c>
      <c r="EI92" s="7">
        <f>'AS400'!EF92</f>
        <v>0</v>
      </c>
      <c r="EJ92" s="7">
        <f>'AS400'!EG92</f>
        <v>0</v>
      </c>
      <c r="EK92" s="7">
        <f>'AS400'!EH92</f>
        <v>0</v>
      </c>
      <c r="EL92" s="7">
        <f>'AS400'!EI92</f>
        <v>0</v>
      </c>
      <c r="EM92" s="7" t="str">
        <f>'AS400'!EJ92</f>
        <v>STLV</v>
      </c>
      <c r="EN92" s="7">
        <f>'AS400'!EK92</f>
        <v>818</v>
      </c>
      <c r="EO92" s="7">
        <f>'AS400'!EL92</f>
        <v>0</v>
      </c>
      <c r="EP92" s="7">
        <f>'AS400'!EM92</f>
        <v>12</v>
      </c>
      <c r="EQ92" s="7">
        <f>'AS400'!EN92</f>
        <v>20180201</v>
      </c>
      <c r="ER92" s="7">
        <f>'AS400'!EO92</f>
        <v>0</v>
      </c>
      <c r="ES92" s="7">
        <f>'AS400'!EP92</f>
        <v>0</v>
      </c>
      <c r="ET92" s="7">
        <f>'AS400'!EQ92</f>
        <v>1</v>
      </c>
      <c r="EV92" s="7">
        <f>'AS400'!ER92</f>
        <v>27</v>
      </c>
      <c r="EW92" s="7">
        <f>'AS400'!ES92</f>
        <v>0</v>
      </c>
      <c r="EX92" s="7">
        <f>'AS400'!ET92</f>
        <v>0</v>
      </c>
      <c r="EY92" s="7">
        <f>'AS400'!EU92</f>
        <v>0</v>
      </c>
      <c r="EZ92" s="7">
        <f>'AS400'!EV92</f>
        <v>0</v>
      </c>
      <c r="FA92" s="7">
        <f>'AS400'!EW92</f>
        <v>0</v>
      </c>
      <c r="FB92" s="7">
        <f>'AS400'!EX92</f>
        <v>0</v>
      </c>
      <c r="FC92" s="7">
        <f>'AS400'!EY92</f>
        <v>0</v>
      </c>
      <c r="FD92" s="7">
        <f>'AS400'!EZ92</f>
        <v>0</v>
      </c>
      <c r="FE92" s="7">
        <f>'AS400'!FA92</f>
        <v>0</v>
      </c>
      <c r="FF92" s="7">
        <f>'AS400'!FB92</f>
        <v>0</v>
      </c>
      <c r="FG92" s="7">
        <f>'AS400'!FC92</f>
        <v>0</v>
      </c>
      <c r="FH92" s="7">
        <f>'AS400'!FD92</f>
        <v>0</v>
      </c>
      <c r="FI92" s="7">
        <f>'AS400'!FE92</f>
        <v>0</v>
      </c>
      <c r="FJ92" s="7">
        <f>'AS400'!FF92</f>
        <v>0</v>
      </c>
      <c r="FK92" s="7">
        <f>'AS400'!FG92</f>
        <v>0</v>
      </c>
      <c r="FL92" s="7">
        <f>'AS400'!FH92</f>
        <v>0</v>
      </c>
      <c r="FM92" s="7">
        <f>'AS400'!FI92</f>
        <v>1</v>
      </c>
      <c r="FN92" s="7">
        <f>'AS400'!FJ92</f>
        <v>1</v>
      </c>
      <c r="FO92" s="7">
        <f>'AS400'!FO92</f>
        <v>0</v>
      </c>
      <c r="FP92" s="7">
        <f>'AS400'!FP92</f>
        <v>4</v>
      </c>
      <c r="FQ92" s="7">
        <f>'AS400'!FQ92</f>
        <v>1</v>
      </c>
      <c r="FR92" s="7">
        <f>'AS400'!FR92</f>
        <v>1</v>
      </c>
      <c r="FS92" s="13">
        <f>'AS400'!FO92</f>
        <v>0</v>
      </c>
    </row>
    <row r="93" spans="1:175">
      <c r="A93" s="7">
        <f>'AS400'!A93</f>
        <v>87</v>
      </c>
      <c r="B93" s="7">
        <f>'AS400'!B93</f>
        <v>20190301</v>
      </c>
      <c r="C93" s="7">
        <f>'AS400'!C93</f>
        <v>0</v>
      </c>
      <c r="D93" s="7" t="str">
        <f>'AS400'!D93</f>
        <v>N</v>
      </c>
      <c r="E93" s="7" t="str">
        <f>'AS400'!E93</f>
        <v>N</v>
      </c>
      <c r="F93" s="7" t="str">
        <f>'AS400'!F93</f>
        <v>Y</v>
      </c>
      <c r="G93" s="7">
        <f>'AS400'!G93</f>
        <v>0</v>
      </c>
      <c r="H93" s="14"/>
      <c r="I93" s="7" t="str">
        <f>'AS400'!I93</f>
        <v>RSA</v>
      </c>
      <c r="J93" s="7" t="str">
        <f>'AS400'!J93</f>
        <v>METR</v>
      </c>
      <c r="K93" s="7" t="str">
        <f>'AS400'!K93</f>
        <v>N</v>
      </c>
      <c r="L93" s="7">
        <f>'AS400'!L93</f>
        <v>4</v>
      </c>
      <c r="M93" s="8">
        <f>'AS400'!M93</f>
        <v>1</v>
      </c>
      <c r="N93" s="7">
        <f>'AS400'!N93</f>
        <v>1</v>
      </c>
      <c r="O93" s="7" t="str">
        <f>'AS400'!O93</f>
        <v>MFUC</v>
      </c>
      <c r="P93" s="7">
        <f>'AS400'!P93</f>
        <v>100</v>
      </c>
      <c r="Q93" s="7">
        <f>'AS400'!Q93</f>
        <v>20180301</v>
      </c>
      <c r="R93" s="7">
        <f>'AS400'!R93</f>
        <v>20180301</v>
      </c>
      <c r="S93" s="7" t="str">
        <f>'AS400'!S93</f>
        <v>M</v>
      </c>
      <c r="T93" s="7" t="str">
        <f>'AS400'!T93</f>
        <v>MP</v>
      </c>
      <c r="U93" s="7">
        <f>'AS400'!U93</f>
        <v>20190301</v>
      </c>
      <c r="V93" s="7">
        <f>'AS400'!V93</f>
        <v>6</v>
      </c>
      <c r="W93" s="7">
        <f>'AS400'!W93</f>
        <v>6</v>
      </c>
      <c r="X93" s="7" t="str">
        <f>'AS400'!X93</f>
        <v>MFIX</v>
      </c>
      <c r="Y93" s="7">
        <f>'AS400'!Y93</f>
        <v>0</v>
      </c>
      <c r="Z93" s="7" t="str">
        <f>'AS400'!Z93</f>
        <v>STLV</v>
      </c>
      <c r="AA93" s="7">
        <f>'AS400'!AA93</f>
        <v>818</v>
      </c>
      <c r="AB93" s="7">
        <f>'AS400'!AB93</f>
        <v>0</v>
      </c>
      <c r="AC93" s="7">
        <f>'AS400'!AC93</f>
        <v>12</v>
      </c>
      <c r="AD93" s="7">
        <f>'AS400'!AD93</f>
        <v>20180201</v>
      </c>
      <c r="AE93" s="7">
        <f>'AS400'!AE93</f>
        <v>0</v>
      </c>
      <c r="AF93" s="7">
        <f>'AS400'!AF93</f>
        <v>50000</v>
      </c>
      <c r="AG93" s="7">
        <f>'AS400'!AG93</f>
        <v>14</v>
      </c>
      <c r="AI93" s="7">
        <f>'AS400'!AH93</f>
        <v>26</v>
      </c>
      <c r="AJ93" s="7">
        <f>'AS400'!AI93</f>
        <v>0</v>
      </c>
      <c r="AK93" s="7">
        <f>'AS400'!AJ93</f>
        <v>0</v>
      </c>
      <c r="AL93" s="7">
        <f>'AS400'!AK93</f>
        <v>0</v>
      </c>
      <c r="AM93" s="7">
        <f>'AS400'!AL93</f>
        <v>0</v>
      </c>
      <c r="AN93" s="7">
        <f>'AS400'!AM93</f>
        <v>0</v>
      </c>
      <c r="AO93" s="7">
        <f>'AS400'!AN93</f>
        <v>0</v>
      </c>
      <c r="AP93" s="7">
        <f>'AS400'!AO93</f>
        <v>0</v>
      </c>
      <c r="AQ93" s="7">
        <f>'AS400'!AP93</f>
        <v>0</v>
      </c>
      <c r="AR93" s="7">
        <f>'AS400'!AQ93</f>
        <v>0</v>
      </c>
      <c r="AS93" s="7">
        <f>'AS400'!AR93</f>
        <v>0</v>
      </c>
      <c r="AT93" s="7">
        <f>'AS400'!AS93</f>
        <v>0</v>
      </c>
      <c r="AU93" s="7">
        <f>'AS400'!AT93</f>
        <v>0</v>
      </c>
      <c r="AV93" s="7">
        <f>'AS400'!AU93</f>
        <v>0</v>
      </c>
      <c r="AW93" s="7">
        <f>'AS400'!AV93</f>
        <v>0</v>
      </c>
      <c r="AX93" s="7">
        <f>'AS400'!AW93</f>
        <v>0</v>
      </c>
      <c r="AY93" s="7">
        <f>'AS400'!AX93</f>
        <v>0</v>
      </c>
      <c r="AZ93" s="8">
        <f>'AS400'!AY93</f>
        <v>1</v>
      </c>
      <c r="BA93" s="7">
        <f>'AS400'!AZ93</f>
        <v>2</v>
      </c>
      <c r="BB93" s="7" t="str">
        <f>'AS400'!BA93</f>
        <v>PURO</v>
      </c>
      <c r="BC93" s="7">
        <f>'AS400'!BB93</f>
        <v>100</v>
      </c>
      <c r="BD93" s="7">
        <f>'AS400'!BC93</f>
        <v>20180301</v>
      </c>
      <c r="BE93" s="7">
        <f>'AS400'!BD93</f>
        <v>20180301</v>
      </c>
      <c r="BF93" s="7" t="str">
        <f>'AS400'!BE93</f>
        <v>S</v>
      </c>
      <c r="BG93" s="7" t="str">
        <f>'AS400'!BF93</f>
        <v>ME</v>
      </c>
      <c r="BH93" s="7">
        <f>'AS400'!BG93</f>
        <v>20180301</v>
      </c>
      <c r="BI93" s="7">
        <f>'AS400'!BH93</f>
        <v>0</v>
      </c>
      <c r="BJ93" s="7">
        <f>'AS400'!BI93</f>
        <v>0</v>
      </c>
      <c r="BK93" s="7">
        <f>'AS400'!BJ93</f>
        <v>0</v>
      </c>
      <c r="BL93" s="7">
        <f>'AS400'!BK93</f>
        <v>0</v>
      </c>
      <c r="BM93" s="7" t="str">
        <f>'AS400'!BL93</f>
        <v>STLV</v>
      </c>
      <c r="BN93" s="7">
        <f>'AS400'!BM93</f>
        <v>818</v>
      </c>
      <c r="BO93" s="7">
        <f>'AS400'!BN93</f>
        <v>0</v>
      </c>
      <c r="BP93" s="7">
        <f>'AS400'!BO93</f>
        <v>12</v>
      </c>
      <c r="BQ93" s="7">
        <f>'AS400'!BP93</f>
        <v>20180201</v>
      </c>
      <c r="BR93" s="7">
        <f>'AS400'!BQ93</f>
        <v>0</v>
      </c>
      <c r="BS93" s="7">
        <f>'AS400'!BR93</f>
        <v>0</v>
      </c>
      <c r="BT93" s="7">
        <f>'AS400'!BS93</f>
        <v>1</v>
      </c>
      <c r="BV93" s="7">
        <f>'AS400'!BT93</f>
        <v>26</v>
      </c>
      <c r="BW93" s="7">
        <f>'AS400'!BU93</f>
        <v>0</v>
      </c>
      <c r="BX93" s="7">
        <f>'AS400'!BV93</f>
        <v>0</v>
      </c>
      <c r="BY93" s="7">
        <f>'AS400'!BW93</f>
        <v>0</v>
      </c>
      <c r="BZ93" s="7">
        <f>'AS400'!BX93</f>
        <v>0</v>
      </c>
      <c r="CA93" s="7">
        <f>'AS400'!BY93</f>
        <v>0</v>
      </c>
      <c r="CB93" s="7">
        <f>'AS400'!BZ93</f>
        <v>0</v>
      </c>
      <c r="CC93" s="7">
        <f>'AS400'!CA93</f>
        <v>0</v>
      </c>
      <c r="CD93" s="7">
        <f>'AS400'!CB93</f>
        <v>0</v>
      </c>
      <c r="CE93" s="7">
        <f>'AS400'!CC93</f>
        <v>0</v>
      </c>
      <c r="CF93" s="7">
        <f>'AS400'!CD93</f>
        <v>0</v>
      </c>
      <c r="CG93" s="7">
        <f>'AS400'!CE93</f>
        <v>0</v>
      </c>
      <c r="CH93" s="7">
        <f>'AS400'!CF93</f>
        <v>0</v>
      </c>
      <c r="CI93" s="7">
        <f>'AS400'!CG93</f>
        <v>0</v>
      </c>
      <c r="CJ93" s="7">
        <f>'AS400'!CH93</f>
        <v>0</v>
      </c>
      <c r="CK93" s="7">
        <f>'AS400'!CI93</f>
        <v>0</v>
      </c>
      <c r="CL93" s="7">
        <f>'AS400'!CJ93</f>
        <v>0</v>
      </c>
      <c r="CM93" s="8">
        <f>'AS400'!CK93</f>
        <v>1</v>
      </c>
      <c r="CN93" s="7">
        <f>'AS400'!CL93</f>
        <v>3</v>
      </c>
      <c r="CO93" s="7" t="str">
        <f>'AS400'!CM93</f>
        <v>PUDT</v>
      </c>
      <c r="CP93" s="7">
        <f>'AS400'!CN93</f>
        <v>100</v>
      </c>
      <c r="CQ93" s="7">
        <f>'AS400'!CO93</f>
        <v>20180301</v>
      </c>
      <c r="CR93" s="7">
        <f>'AS400'!CP93</f>
        <v>20180301</v>
      </c>
      <c r="CS93" s="7" t="str">
        <f>'AS400'!CQ93</f>
        <v>S</v>
      </c>
      <c r="CT93" s="7" t="str">
        <f>'AS400'!CR93</f>
        <v>MT</v>
      </c>
      <c r="CU93" s="7">
        <f>'AS400'!CS93</f>
        <v>20180301</v>
      </c>
      <c r="CV93" s="7">
        <f>'AS400'!CT93</f>
        <v>0</v>
      </c>
      <c r="CW93" s="7">
        <f>'AS400'!CU93</f>
        <v>0</v>
      </c>
      <c r="CX93" s="7">
        <f>'AS400'!CV93</f>
        <v>0</v>
      </c>
      <c r="CY93" s="7">
        <f>'AS400'!CW93</f>
        <v>0</v>
      </c>
      <c r="CZ93" s="7" t="str">
        <f>'AS400'!CX93</f>
        <v>STLV</v>
      </c>
      <c r="DA93" s="7">
        <f>'AS400'!CY93</f>
        <v>818</v>
      </c>
      <c r="DB93" s="7">
        <f>'AS400'!CZ93</f>
        <v>0</v>
      </c>
      <c r="DC93" s="7">
        <f>'AS400'!DA93</f>
        <v>12</v>
      </c>
      <c r="DD93" s="7">
        <f>'AS400'!DB93</f>
        <v>20180201</v>
      </c>
      <c r="DE93" s="7">
        <f>'AS400'!DC93</f>
        <v>0</v>
      </c>
      <c r="DF93" s="7">
        <f>'AS400'!DD93</f>
        <v>0</v>
      </c>
      <c r="DG93" s="7">
        <f>'AS400'!DE93</f>
        <v>1</v>
      </c>
      <c r="DI93" s="7">
        <f>'AS400'!DF93</f>
        <v>26</v>
      </c>
      <c r="DJ93" s="7">
        <f>'AS400'!DG93</f>
        <v>0</v>
      </c>
      <c r="DK93" s="7">
        <f>'AS400'!DH93</f>
        <v>0</v>
      </c>
      <c r="DL93" s="7">
        <f>'AS400'!DI93</f>
        <v>0</v>
      </c>
      <c r="DM93" s="7">
        <f>'AS400'!DJ93</f>
        <v>0</v>
      </c>
      <c r="DN93" s="7">
        <f>'AS400'!DK93</f>
        <v>0</v>
      </c>
      <c r="DO93" s="7">
        <f>'AS400'!DL93</f>
        <v>0</v>
      </c>
      <c r="DP93" s="7">
        <f>'AS400'!DM93</f>
        <v>0</v>
      </c>
      <c r="DQ93" s="7">
        <f>'AS400'!DN93</f>
        <v>0</v>
      </c>
      <c r="DR93" s="7">
        <f>'AS400'!DO93</f>
        <v>0</v>
      </c>
      <c r="DS93" s="7">
        <f>'AS400'!DP93</f>
        <v>0</v>
      </c>
      <c r="DT93" s="7">
        <f>'AS400'!DQ93</f>
        <v>0</v>
      </c>
      <c r="DU93" s="7">
        <f>'AS400'!DR93</f>
        <v>0</v>
      </c>
      <c r="DV93" s="7">
        <f>'AS400'!DS93</f>
        <v>0</v>
      </c>
      <c r="DW93" s="7">
        <f>'AS400'!DT93</f>
        <v>0</v>
      </c>
      <c r="DX93" s="7">
        <f>'AS400'!DU93</f>
        <v>0</v>
      </c>
      <c r="DY93" s="7">
        <f>'AS400'!DV93</f>
        <v>0</v>
      </c>
      <c r="DZ93" s="8">
        <f>'AS400'!DW93</f>
        <v>1</v>
      </c>
      <c r="EA93" s="7">
        <f>'AS400'!DX93</f>
        <v>4</v>
      </c>
      <c r="EB93" s="7" t="str">
        <f>'AS400'!DY93</f>
        <v>PUDS</v>
      </c>
      <c r="EC93" s="7">
        <f>'AS400'!DZ93</f>
        <v>100</v>
      </c>
      <c r="ED93" s="7">
        <f>'AS400'!EA93</f>
        <v>20180301</v>
      </c>
      <c r="EE93" s="7">
        <f>'AS400'!EB93</f>
        <v>20180301</v>
      </c>
      <c r="EF93" s="7" t="str">
        <f>'AS400'!EC93</f>
        <v>S</v>
      </c>
      <c r="EG93" s="7" t="str">
        <f>'AS400'!ED93</f>
        <v>MS</v>
      </c>
      <c r="EH93" s="7">
        <f>'AS400'!EE93</f>
        <v>20180301</v>
      </c>
      <c r="EI93" s="7">
        <f>'AS400'!EF93</f>
        <v>0</v>
      </c>
      <c r="EJ93" s="7">
        <f>'AS400'!EG93</f>
        <v>0</v>
      </c>
      <c r="EK93" s="7">
        <f>'AS400'!EH93</f>
        <v>0</v>
      </c>
      <c r="EL93" s="7">
        <f>'AS400'!EI93</f>
        <v>0</v>
      </c>
      <c r="EM93" s="7" t="str">
        <f>'AS400'!EJ93</f>
        <v>STLV</v>
      </c>
      <c r="EN93" s="7">
        <f>'AS400'!EK93</f>
        <v>818</v>
      </c>
      <c r="EO93" s="7">
        <f>'AS400'!EL93</f>
        <v>0</v>
      </c>
      <c r="EP93" s="7">
        <f>'AS400'!EM93</f>
        <v>12</v>
      </c>
      <c r="EQ93" s="7">
        <f>'AS400'!EN93</f>
        <v>20180201</v>
      </c>
      <c r="ER93" s="7">
        <f>'AS400'!EO93</f>
        <v>0</v>
      </c>
      <c r="ES93" s="7">
        <f>'AS400'!EP93</f>
        <v>0</v>
      </c>
      <c r="ET93" s="7">
        <f>'AS400'!EQ93</f>
        <v>1</v>
      </c>
      <c r="EV93" s="7">
        <f>'AS400'!ER93</f>
        <v>26</v>
      </c>
      <c r="EW93" s="7">
        <f>'AS400'!ES93</f>
        <v>0</v>
      </c>
      <c r="EX93" s="7">
        <f>'AS400'!ET93</f>
        <v>0</v>
      </c>
      <c r="EY93" s="7">
        <f>'AS400'!EU93</f>
        <v>0</v>
      </c>
      <c r="EZ93" s="7">
        <f>'AS400'!EV93</f>
        <v>0</v>
      </c>
      <c r="FA93" s="7">
        <f>'AS400'!EW93</f>
        <v>0</v>
      </c>
      <c r="FB93" s="7">
        <f>'AS400'!EX93</f>
        <v>0</v>
      </c>
      <c r="FC93" s="7">
        <f>'AS400'!EY93</f>
        <v>0</v>
      </c>
      <c r="FD93" s="7">
        <f>'AS400'!EZ93</f>
        <v>0</v>
      </c>
      <c r="FE93" s="7">
        <f>'AS400'!FA93</f>
        <v>0</v>
      </c>
      <c r="FF93" s="7">
        <f>'AS400'!FB93</f>
        <v>0</v>
      </c>
      <c r="FG93" s="7">
        <f>'AS400'!FC93</f>
        <v>0</v>
      </c>
      <c r="FH93" s="7">
        <f>'AS400'!FD93</f>
        <v>0</v>
      </c>
      <c r="FI93" s="7">
        <f>'AS400'!FE93</f>
        <v>0</v>
      </c>
      <c r="FJ93" s="7">
        <f>'AS400'!FF93</f>
        <v>0</v>
      </c>
      <c r="FK93" s="7">
        <f>'AS400'!FG93</f>
        <v>0</v>
      </c>
      <c r="FL93" s="7">
        <f>'AS400'!FH93</f>
        <v>0</v>
      </c>
      <c r="FM93" s="7">
        <f>'AS400'!FI93</f>
        <v>1</v>
      </c>
      <c r="FN93" s="7">
        <f>'AS400'!FJ93</f>
        <v>1</v>
      </c>
      <c r="FO93" s="7">
        <f>'AS400'!FO93</f>
        <v>0</v>
      </c>
      <c r="FP93" s="7">
        <f>'AS400'!FP93</f>
        <v>4</v>
      </c>
      <c r="FQ93" s="7">
        <f>'AS400'!FQ93</f>
        <v>1</v>
      </c>
      <c r="FR93" s="7">
        <f>'AS400'!FR93</f>
        <v>1</v>
      </c>
      <c r="FS93" s="13">
        <f>'AS400'!FO93</f>
        <v>0</v>
      </c>
    </row>
    <row r="94" spans="1:175">
      <c r="A94" s="7">
        <f>'AS400'!A94</f>
        <v>88</v>
      </c>
      <c r="B94" s="7">
        <f>'AS400'!B94</f>
        <v>20190301</v>
      </c>
      <c r="C94" s="7">
        <f>'AS400'!C94</f>
        <v>0</v>
      </c>
      <c r="D94" s="7" t="str">
        <f>'AS400'!D94</f>
        <v>N</v>
      </c>
      <c r="E94" s="7" t="str">
        <f>'AS400'!E94</f>
        <v>N</v>
      </c>
      <c r="F94" s="7" t="str">
        <f>'AS400'!F94</f>
        <v>Y</v>
      </c>
      <c r="G94" s="7">
        <f>'AS400'!G94</f>
        <v>0</v>
      </c>
      <c r="H94" s="14"/>
      <c r="I94" s="7" t="str">
        <f>'AS400'!I94</f>
        <v>RSA</v>
      </c>
      <c r="J94" s="7" t="str">
        <f>'AS400'!J94</f>
        <v>METR</v>
      </c>
      <c r="K94" s="7" t="str">
        <f>'AS400'!K94</f>
        <v>N</v>
      </c>
      <c r="L94" s="7">
        <f>'AS400'!L94</f>
        <v>4</v>
      </c>
      <c r="M94" s="8">
        <f>'AS400'!M94</f>
        <v>1</v>
      </c>
      <c r="N94" s="7">
        <f>'AS400'!N94</f>
        <v>1</v>
      </c>
      <c r="O94" s="7" t="str">
        <f>'AS400'!O94</f>
        <v>MFUC</v>
      </c>
      <c r="P94" s="7">
        <f>'AS400'!P94</f>
        <v>100</v>
      </c>
      <c r="Q94" s="7">
        <f>'AS400'!Q94</f>
        <v>20180301</v>
      </c>
      <c r="R94" s="7">
        <f>'AS400'!R94</f>
        <v>20180301</v>
      </c>
      <c r="S94" s="7" t="str">
        <f>'AS400'!S94</f>
        <v>M</v>
      </c>
      <c r="T94" s="7" t="str">
        <f>'AS400'!T94</f>
        <v>MP</v>
      </c>
      <c r="U94" s="7">
        <f>'AS400'!U94</f>
        <v>20190301</v>
      </c>
      <c r="V94" s="7">
        <f>'AS400'!V94</f>
        <v>6</v>
      </c>
      <c r="W94" s="7">
        <f>'AS400'!W94</f>
        <v>6</v>
      </c>
      <c r="X94" s="7" t="str">
        <f>'AS400'!X94</f>
        <v>MFIX</v>
      </c>
      <c r="Y94" s="7">
        <f>'AS400'!Y94</f>
        <v>0</v>
      </c>
      <c r="Z94" s="7" t="str">
        <f>'AS400'!Z94</f>
        <v>STLV</v>
      </c>
      <c r="AA94" s="7">
        <f>'AS400'!AA94</f>
        <v>818</v>
      </c>
      <c r="AB94" s="7">
        <f>'AS400'!AB94</f>
        <v>0</v>
      </c>
      <c r="AC94" s="7">
        <f>'AS400'!AC94</f>
        <v>12</v>
      </c>
      <c r="AD94" s="7">
        <f>'AS400'!AD94</f>
        <v>20180201</v>
      </c>
      <c r="AE94" s="7">
        <f>'AS400'!AE94</f>
        <v>0</v>
      </c>
      <c r="AF94" s="7">
        <f>'AS400'!AF94</f>
        <v>55000</v>
      </c>
      <c r="AG94" s="7">
        <f>'AS400'!AG94</f>
        <v>15</v>
      </c>
      <c r="AI94" s="7">
        <f>'AS400'!AH94</f>
        <v>25</v>
      </c>
      <c r="AJ94" s="7">
        <f>'AS400'!AI94</f>
        <v>0</v>
      </c>
      <c r="AK94" s="7">
        <f>'AS400'!AJ94</f>
        <v>0</v>
      </c>
      <c r="AL94" s="7">
        <f>'AS400'!AK94</f>
        <v>0</v>
      </c>
      <c r="AM94" s="7">
        <f>'AS400'!AL94</f>
        <v>0</v>
      </c>
      <c r="AN94" s="7">
        <f>'AS400'!AM94</f>
        <v>0</v>
      </c>
      <c r="AO94" s="7">
        <f>'AS400'!AN94</f>
        <v>0</v>
      </c>
      <c r="AP94" s="7">
        <f>'AS400'!AO94</f>
        <v>0</v>
      </c>
      <c r="AQ94" s="7">
        <f>'AS400'!AP94</f>
        <v>0</v>
      </c>
      <c r="AR94" s="7">
        <f>'AS400'!AQ94</f>
        <v>0</v>
      </c>
      <c r="AS94" s="7">
        <f>'AS400'!AR94</f>
        <v>0</v>
      </c>
      <c r="AT94" s="7">
        <f>'AS400'!AS94</f>
        <v>0</v>
      </c>
      <c r="AU94" s="7">
        <f>'AS400'!AT94</f>
        <v>0</v>
      </c>
      <c r="AV94" s="7">
        <f>'AS400'!AU94</f>
        <v>0</v>
      </c>
      <c r="AW94" s="7">
        <f>'AS400'!AV94</f>
        <v>0</v>
      </c>
      <c r="AX94" s="7">
        <f>'AS400'!AW94</f>
        <v>0</v>
      </c>
      <c r="AY94" s="7">
        <f>'AS400'!AX94</f>
        <v>0</v>
      </c>
      <c r="AZ94" s="8">
        <f>'AS400'!AY94</f>
        <v>1</v>
      </c>
      <c r="BA94" s="7">
        <f>'AS400'!AZ94</f>
        <v>2</v>
      </c>
      <c r="BB94" s="7" t="str">
        <f>'AS400'!BA94</f>
        <v>PURO</v>
      </c>
      <c r="BC94" s="7">
        <f>'AS400'!BB94</f>
        <v>100</v>
      </c>
      <c r="BD94" s="7">
        <f>'AS400'!BC94</f>
        <v>20180301</v>
      </c>
      <c r="BE94" s="7">
        <f>'AS400'!BD94</f>
        <v>20180301</v>
      </c>
      <c r="BF94" s="7" t="str">
        <f>'AS400'!BE94</f>
        <v>S</v>
      </c>
      <c r="BG94" s="7" t="str">
        <f>'AS400'!BF94</f>
        <v>ME</v>
      </c>
      <c r="BH94" s="7">
        <f>'AS400'!BG94</f>
        <v>20180301</v>
      </c>
      <c r="BI94" s="7">
        <f>'AS400'!BH94</f>
        <v>0</v>
      </c>
      <c r="BJ94" s="7">
        <f>'AS400'!BI94</f>
        <v>0</v>
      </c>
      <c r="BK94" s="7">
        <f>'AS400'!BJ94</f>
        <v>0</v>
      </c>
      <c r="BL94" s="7">
        <f>'AS400'!BK94</f>
        <v>0</v>
      </c>
      <c r="BM94" s="7" t="str">
        <f>'AS400'!BL94</f>
        <v>STLV</v>
      </c>
      <c r="BN94" s="7">
        <f>'AS400'!BM94</f>
        <v>818</v>
      </c>
      <c r="BO94" s="7">
        <f>'AS400'!BN94</f>
        <v>0</v>
      </c>
      <c r="BP94" s="7">
        <f>'AS400'!BO94</f>
        <v>12</v>
      </c>
      <c r="BQ94" s="7">
        <f>'AS400'!BP94</f>
        <v>20180201</v>
      </c>
      <c r="BR94" s="7">
        <f>'AS400'!BQ94</f>
        <v>0</v>
      </c>
      <c r="BS94" s="7">
        <f>'AS400'!BR94</f>
        <v>0</v>
      </c>
      <c r="BT94" s="7">
        <f>'AS400'!BS94</f>
        <v>1</v>
      </c>
      <c r="BV94" s="7">
        <f>'AS400'!BT94</f>
        <v>25</v>
      </c>
      <c r="BW94" s="7">
        <f>'AS400'!BU94</f>
        <v>0</v>
      </c>
      <c r="BX94" s="7">
        <f>'AS400'!BV94</f>
        <v>0</v>
      </c>
      <c r="BY94" s="7">
        <f>'AS400'!BW94</f>
        <v>0</v>
      </c>
      <c r="BZ94" s="7">
        <f>'AS400'!BX94</f>
        <v>0</v>
      </c>
      <c r="CA94" s="7">
        <f>'AS400'!BY94</f>
        <v>0</v>
      </c>
      <c r="CB94" s="7">
        <f>'AS400'!BZ94</f>
        <v>0</v>
      </c>
      <c r="CC94" s="7">
        <f>'AS400'!CA94</f>
        <v>0</v>
      </c>
      <c r="CD94" s="7">
        <f>'AS400'!CB94</f>
        <v>0</v>
      </c>
      <c r="CE94" s="7">
        <f>'AS400'!CC94</f>
        <v>0</v>
      </c>
      <c r="CF94" s="7">
        <f>'AS400'!CD94</f>
        <v>0</v>
      </c>
      <c r="CG94" s="7">
        <f>'AS400'!CE94</f>
        <v>0</v>
      </c>
      <c r="CH94" s="7">
        <f>'AS400'!CF94</f>
        <v>0</v>
      </c>
      <c r="CI94" s="7">
        <f>'AS400'!CG94</f>
        <v>0</v>
      </c>
      <c r="CJ94" s="7">
        <f>'AS400'!CH94</f>
        <v>0</v>
      </c>
      <c r="CK94" s="7">
        <f>'AS400'!CI94</f>
        <v>0</v>
      </c>
      <c r="CL94" s="7">
        <f>'AS400'!CJ94</f>
        <v>0</v>
      </c>
      <c r="CM94" s="8">
        <f>'AS400'!CK94</f>
        <v>1</v>
      </c>
      <c r="CN94" s="7">
        <f>'AS400'!CL94</f>
        <v>3</v>
      </c>
      <c r="CO94" s="7" t="str">
        <f>'AS400'!CM94</f>
        <v>PUDT</v>
      </c>
      <c r="CP94" s="7">
        <f>'AS400'!CN94</f>
        <v>100</v>
      </c>
      <c r="CQ94" s="7">
        <f>'AS400'!CO94</f>
        <v>20180301</v>
      </c>
      <c r="CR94" s="7">
        <f>'AS400'!CP94</f>
        <v>20180301</v>
      </c>
      <c r="CS94" s="7" t="str">
        <f>'AS400'!CQ94</f>
        <v>S</v>
      </c>
      <c r="CT94" s="7" t="str">
        <f>'AS400'!CR94</f>
        <v>MT</v>
      </c>
      <c r="CU94" s="7">
        <f>'AS400'!CS94</f>
        <v>20180301</v>
      </c>
      <c r="CV94" s="7">
        <f>'AS400'!CT94</f>
        <v>0</v>
      </c>
      <c r="CW94" s="7">
        <f>'AS400'!CU94</f>
        <v>0</v>
      </c>
      <c r="CX94" s="7">
        <f>'AS400'!CV94</f>
        <v>0</v>
      </c>
      <c r="CY94" s="7">
        <f>'AS400'!CW94</f>
        <v>0</v>
      </c>
      <c r="CZ94" s="7" t="str">
        <f>'AS400'!CX94</f>
        <v>STLV</v>
      </c>
      <c r="DA94" s="7">
        <f>'AS400'!CY94</f>
        <v>818</v>
      </c>
      <c r="DB94" s="7">
        <f>'AS400'!CZ94</f>
        <v>0</v>
      </c>
      <c r="DC94" s="7">
        <f>'AS400'!DA94</f>
        <v>12</v>
      </c>
      <c r="DD94" s="7">
        <f>'AS400'!DB94</f>
        <v>20180201</v>
      </c>
      <c r="DE94" s="7">
        <f>'AS400'!DC94</f>
        <v>0</v>
      </c>
      <c r="DF94" s="7">
        <f>'AS400'!DD94</f>
        <v>0</v>
      </c>
      <c r="DG94" s="7">
        <f>'AS400'!DE94</f>
        <v>1</v>
      </c>
      <c r="DI94" s="7">
        <f>'AS400'!DF94</f>
        <v>25</v>
      </c>
      <c r="DJ94" s="7">
        <f>'AS400'!DG94</f>
        <v>0</v>
      </c>
      <c r="DK94" s="7">
        <f>'AS400'!DH94</f>
        <v>0</v>
      </c>
      <c r="DL94" s="7">
        <f>'AS400'!DI94</f>
        <v>0</v>
      </c>
      <c r="DM94" s="7">
        <f>'AS400'!DJ94</f>
        <v>0</v>
      </c>
      <c r="DN94" s="7">
        <f>'AS400'!DK94</f>
        <v>0</v>
      </c>
      <c r="DO94" s="7">
        <f>'AS400'!DL94</f>
        <v>0</v>
      </c>
      <c r="DP94" s="7">
        <f>'AS400'!DM94</f>
        <v>0</v>
      </c>
      <c r="DQ94" s="7">
        <f>'AS400'!DN94</f>
        <v>0</v>
      </c>
      <c r="DR94" s="7">
        <f>'AS400'!DO94</f>
        <v>0</v>
      </c>
      <c r="DS94" s="7">
        <f>'AS400'!DP94</f>
        <v>0</v>
      </c>
      <c r="DT94" s="7">
        <f>'AS400'!DQ94</f>
        <v>0</v>
      </c>
      <c r="DU94" s="7">
        <f>'AS400'!DR94</f>
        <v>0</v>
      </c>
      <c r="DV94" s="7">
        <f>'AS400'!DS94</f>
        <v>0</v>
      </c>
      <c r="DW94" s="7">
        <f>'AS400'!DT94</f>
        <v>0</v>
      </c>
      <c r="DX94" s="7">
        <f>'AS400'!DU94</f>
        <v>0</v>
      </c>
      <c r="DY94" s="7">
        <f>'AS400'!DV94</f>
        <v>0</v>
      </c>
      <c r="DZ94" s="8">
        <f>'AS400'!DW94</f>
        <v>1</v>
      </c>
      <c r="EA94" s="7">
        <f>'AS400'!DX94</f>
        <v>4</v>
      </c>
      <c r="EB94" s="7" t="str">
        <f>'AS400'!DY94</f>
        <v>PUDS</v>
      </c>
      <c r="EC94" s="7">
        <f>'AS400'!DZ94</f>
        <v>100</v>
      </c>
      <c r="ED94" s="7">
        <f>'AS400'!EA94</f>
        <v>20180301</v>
      </c>
      <c r="EE94" s="7">
        <f>'AS400'!EB94</f>
        <v>20180301</v>
      </c>
      <c r="EF94" s="7" t="str">
        <f>'AS400'!EC94</f>
        <v>S</v>
      </c>
      <c r="EG94" s="7" t="str">
        <f>'AS400'!ED94</f>
        <v>MS</v>
      </c>
      <c r="EH94" s="7">
        <f>'AS400'!EE94</f>
        <v>20180301</v>
      </c>
      <c r="EI94" s="7">
        <f>'AS400'!EF94</f>
        <v>0</v>
      </c>
      <c r="EJ94" s="7">
        <f>'AS400'!EG94</f>
        <v>0</v>
      </c>
      <c r="EK94" s="7">
        <f>'AS400'!EH94</f>
        <v>0</v>
      </c>
      <c r="EL94" s="7">
        <f>'AS400'!EI94</f>
        <v>0</v>
      </c>
      <c r="EM94" s="7" t="str">
        <f>'AS400'!EJ94</f>
        <v>STLV</v>
      </c>
      <c r="EN94" s="7">
        <f>'AS400'!EK94</f>
        <v>818</v>
      </c>
      <c r="EO94" s="7">
        <f>'AS400'!EL94</f>
        <v>0</v>
      </c>
      <c r="EP94" s="7">
        <f>'AS400'!EM94</f>
        <v>12</v>
      </c>
      <c r="EQ94" s="7">
        <f>'AS400'!EN94</f>
        <v>20180201</v>
      </c>
      <c r="ER94" s="7">
        <f>'AS400'!EO94</f>
        <v>0</v>
      </c>
      <c r="ES94" s="7">
        <f>'AS400'!EP94</f>
        <v>0</v>
      </c>
      <c r="ET94" s="7">
        <f>'AS400'!EQ94</f>
        <v>1</v>
      </c>
      <c r="EV94" s="7">
        <f>'AS400'!ER94</f>
        <v>25</v>
      </c>
      <c r="EW94" s="7">
        <f>'AS400'!ES94</f>
        <v>0</v>
      </c>
      <c r="EX94" s="7">
        <f>'AS400'!ET94</f>
        <v>0</v>
      </c>
      <c r="EY94" s="7">
        <f>'AS400'!EU94</f>
        <v>0</v>
      </c>
      <c r="EZ94" s="7">
        <f>'AS400'!EV94</f>
        <v>0</v>
      </c>
      <c r="FA94" s="7">
        <f>'AS400'!EW94</f>
        <v>0</v>
      </c>
      <c r="FB94" s="7">
        <f>'AS400'!EX94</f>
        <v>0</v>
      </c>
      <c r="FC94" s="7">
        <f>'AS400'!EY94</f>
        <v>0</v>
      </c>
      <c r="FD94" s="7">
        <f>'AS400'!EZ94</f>
        <v>0</v>
      </c>
      <c r="FE94" s="7">
        <f>'AS400'!FA94</f>
        <v>0</v>
      </c>
      <c r="FF94" s="7">
        <f>'AS400'!FB94</f>
        <v>0</v>
      </c>
      <c r="FG94" s="7">
        <f>'AS400'!FC94</f>
        <v>0</v>
      </c>
      <c r="FH94" s="7">
        <f>'AS400'!FD94</f>
        <v>0</v>
      </c>
      <c r="FI94" s="7">
        <f>'AS400'!FE94</f>
        <v>0</v>
      </c>
      <c r="FJ94" s="7">
        <f>'AS400'!FF94</f>
        <v>0</v>
      </c>
      <c r="FK94" s="7">
        <f>'AS400'!FG94</f>
        <v>0</v>
      </c>
      <c r="FL94" s="7">
        <f>'AS400'!FH94</f>
        <v>0</v>
      </c>
      <c r="FM94" s="7">
        <f>'AS400'!FI94</f>
        <v>1</v>
      </c>
      <c r="FN94" s="7">
        <f>'AS400'!FJ94</f>
        <v>1</v>
      </c>
      <c r="FO94" s="7">
        <f>'AS400'!FO94</f>
        <v>0</v>
      </c>
      <c r="FP94" s="7">
        <f>'AS400'!FP94</f>
        <v>4</v>
      </c>
      <c r="FQ94" s="7">
        <f>'AS400'!FQ94</f>
        <v>1</v>
      </c>
      <c r="FR94" s="7">
        <f>'AS400'!FR94</f>
        <v>1</v>
      </c>
      <c r="FS94" s="13">
        <f>'AS400'!FO94</f>
        <v>0</v>
      </c>
    </row>
    <row r="95" spans="1:175">
      <c r="A95" s="7">
        <f>'AS400'!A95</f>
        <v>89</v>
      </c>
      <c r="B95" s="7">
        <f>'AS400'!B95</f>
        <v>20190301</v>
      </c>
      <c r="C95" s="7">
        <f>'AS400'!C95</f>
        <v>0</v>
      </c>
      <c r="D95" s="7" t="str">
        <f>'AS400'!D95</f>
        <v>N</v>
      </c>
      <c r="E95" s="7" t="str">
        <f>'AS400'!E95</f>
        <v>N</v>
      </c>
      <c r="F95" s="7" t="str">
        <f>'AS400'!F95</f>
        <v>Y</v>
      </c>
      <c r="G95" s="7">
        <f>'AS400'!G95</f>
        <v>0</v>
      </c>
      <c r="H95" s="14"/>
      <c r="I95" s="7" t="str">
        <f>'AS400'!I95</f>
        <v>RSA</v>
      </c>
      <c r="J95" s="7" t="str">
        <f>'AS400'!J95</f>
        <v>METR</v>
      </c>
      <c r="K95" s="7" t="str">
        <f>'AS400'!K95</f>
        <v>N</v>
      </c>
      <c r="L95" s="7">
        <f>'AS400'!L95</f>
        <v>4</v>
      </c>
      <c r="M95" s="8">
        <f>'AS400'!M95</f>
        <v>1</v>
      </c>
      <c r="N95" s="7">
        <f>'AS400'!N95</f>
        <v>1</v>
      </c>
      <c r="O95" s="7" t="str">
        <f>'AS400'!O95</f>
        <v>MFUC</v>
      </c>
      <c r="P95" s="7">
        <f>'AS400'!P95</f>
        <v>100</v>
      </c>
      <c r="Q95" s="7">
        <f>'AS400'!Q95</f>
        <v>20180301</v>
      </c>
      <c r="R95" s="7">
        <f>'AS400'!R95</f>
        <v>20180301</v>
      </c>
      <c r="S95" s="7" t="str">
        <f>'AS400'!S95</f>
        <v>M</v>
      </c>
      <c r="T95" s="7" t="str">
        <f>'AS400'!T95</f>
        <v>ME</v>
      </c>
      <c r="U95" s="7">
        <f>'AS400'!U95</f>
        <v>20190301</v>
      </c>
      <c r="V95" s="7">
        <f>'AS400'!V95</f>
        <v>6</v>
      </c>
      <c r="W95" s="7">
        <f>'AS400'!W95</f>
        <v>6</v>
      </c>
      <c r="X95" s="7" t="str">
        <f>'AS400'!X95</f>
        <v>MFIX</v>
      </c>
      <c r="Y95" s="7">
        <f>'AS400'!Y95</f>
        <v>0</v>
      </c>
      <c r="Z95" s="7" t="str">
        <f>'AS400'!Z95</f>
        <v>STLV</v>
      </c>
      <c r="AA95" s="7">
        <f>'AS400'!AA95</f>
        <v>818</v>
      </c>
      <c r="AB95" s="7">
        <f>'AS400'!AB95</f>
        <v>0</v>
      </c>
      <c r="AC95" s="7">
        <f>'AS400'!AC95</f>
        <v>12</v>
      </c>
      <c r="AD95" s="7">
        <f>'AS400'!AD95</f>
        <v>20180201</v>
      </c>
      <c r="AE95" s="7">
        <f>'AS400'!AE95</f>
        <v>0</v>
      </c>
      <c r="AF95" s="7">
        <f>'AS400'!AF95</f>
        <v>60000</v>
      </c>
      <c r="AG95" s="7">
        <f>'AS400'!AG95</f>
        <v>17</v>
      </c>
      <c r="AI95" s="7">
        <f>'AS400'!AH95</f>
        <v>24</v>
      </c>
      <c r="AJ95" s="7">
        <f>'AS400'!AI95</f>
        <v>0</v>
      </c>
      <c r="AK95" s="7">
        <f>'AS400'!AJ95</f>
        <v>0</v>
      </c>
      <c r="AL95" s="7">
        <f>'AS400'!AK95</f>
        <v>0</v>
      </c>
      <c r="AM95" s="7">
        <f>'AS400'!AL95</f>
        <v>0</v>
      </c>
      <c r="AN95" s="7">
        <f>'AS400'!AM95</f>
        <v>0</v>
      </c>
      <c r="AO95" s="7">
        <f>'AS400'!AN95</f>
        <v>0</v>
      </c>
      <c r="AP95" s="7">
        <f>'AS400'!AO95</f>
        <v>0</v>
      </c>
      <c r="AQ95" s="7">
        <f>'AS400'!AP95</f>
        <v>0</v>
      </c>
      <c r="AR95" s="7">
        <f>'AS400'!AQ95</f>
        <v>0</v>
      </c>
      <c r="AS95" s="7">
        <f>'AS400'!AR95</f>
        <v>0</v>
      </c>
      <c r="AT95" s="7">
        <f>'AS400'!AS95</f>
        <v>0</v>
      </c>
      <c r="AU95" s="7">
        <f>'AS400'!AT95</f>
        <v>0</v>
      </c>
      <c r="AV95" s="7">
        <f>'AS400'!AU95</f>
        <v>0</v>
      </c>
      <c r="AW95" s="7">
        <f>'AS400'!AV95</f>
        <v>0</v>
      </c>
      <c r="AX95" s="7">
        <f>'AS400'!AW95</f>
        <v>0</v>
      </c>
      <c r="AY95" s="7">
        <f>'AS400'!AX95</f>
        <v>0</v>
      </c>
      <c r="AZ95" s="8">
        <f>'AS400'!AY95</f>
        <v>1</v>
      </c>
      <c r="BA95" s="7">
        <f>'AS400'!AZ95</f>
        <v>2</v>
      </c>
      <c r="BB95" s="7" t="str">
        <f>'AS400'!BA95</f>
        <v>PURO</v>
      </c>
      <c r="BC95" s="7">
        <f>'AS400'!BB95</f>
        <v>100</v>
      </c>
      <c r="BD95" s="7">
        <f>'AS400'!BC95</f>
        <v>20180301</v>
      </c>
      <c r="BE95" s="7">
        <f>'AS400'!BD95</f>
        <v>20180301</v>
      </c>
      <c r="BF95" s="7" t="str">
        <f>'AS400'!BE95</f>
        <v>S</v>
      </c>
      <c r="BG95" s="7" t="str">
        <f>'AS400'!BF95</f>
        <v>ME</v>
      </c>
      <c r="BH95" s="7">
        <f>'AS400'!BG95</f>
        <v>20180301</v>
      </c>
      <c r="BI95" s="7">
        <f>'AS400'!BH95</f>
        <v>0</v>
      </c>
      <c r="BJ95" s="7">
        <f>'AS400'!BI95</f>
        <v>0</v>
      </c>
      <c r="BK95" s="7">
        <f>'AS400'!BJ95</f>
        <v>0</v>
      </c>
      <c r="BL95" s="7">
        <f>'AS400'!BK95</f>
        <v>0</v>
      </c>
      <c r="BM95" s="7" t="str">
        <f>'AS400'!BL95</f>
        <v>STLV</v>
      </c>
      <c r="BN95" s="7">
        <f>'AS400'!BM95</f>
        <v>818</v>
      </c>
      <c r="BO95" s="7">
        <f>'AS400'!BN95</f>
        <v>0</v>
      </c>
      <c r="BP95" s="7">
        <f>'AS400'!BO95</f>
        <v>12</v>
      </c>
      <c r="BQ95" s="7">
        <f>'AS400'!BP95</f>
        <v>20180201</v>
      </c>
      <c r="BR95" s="7">
        <f>'AS400'!BQ95</f>
        <v>0</v>
      </c>
      <c r="BS95" s="7">
        <f>'AS400'!BR95</f>
        <v>0</v>
      </c>
      <c r="BT95" s="7">
        <f>'AS400'!BS95</f>
        <v>1</v>
      </c>
      <c r="BV95" s="7">
        <f>'AS400'!BT95</f>
        <v>24</v>
      </c>
      <c r="BW95" s="7">
        <f>'AS400'!BU95</f>
        <v>0</v>
      </c>
      <c r="BX95" s="7">
        <f>'AS400'!BV95</f>
        <v>0</v>
      </c>
      <c r="BY95" s="7">
        <f>'AS400'!BW95</f>
        <v>0</v>
      </c>
      <c r="BZ95" s="7">
        <f>'AS400'!BX95</f>
        <v>0</v>
      </c>
      <c r="CA95" s="7">
        <f>'AS400'!BY95</f>
        <v>0</v>
      </c>
      <c r="CB95" s="7">
        <f>'AS400'!BZ95</f>
        <v>0</v>
      </c>
      <c r="CC95" s="7">
        <f>'AS400'!CA95</f>
        <v>0</v>
      </c>
      <c r="CD95" s="7">
        <f>'AS400'!CB95</f>
        <v>0</v>
      </c>
      <c r="CE95" s="7">
        <f>'AS400'!CC95</f>
        <v>0</v>
      </c>
      <c r="CF95" s="7">
        <f>'AS400'!CD95</f>
        <v>0</v>
      </c>
      <c r="CG95" s="7">
        <f>'AS400'!CE95</f>
        <v>0</v>
      </c>
      <c r="CH95" s="7">
        <f>'AS400'!CF95</f>
        <v>0</v>
      </c>
      <c r="CI95" s="7">
        <f>'AS400'!CG95</f>
        <v>0</v>
      </c>
      <c r="CJ95" s="7">
        <f>'AS400'!CH95</f>
        <v>0</v>
      </c>
      <c r="CK95" s="7">
        <f>'AS400'!CI95</f>
        <v>0</v>
      </c>
      <c r="CL95" s="7">
        <f>'AS400'!CJ95</f>
        <v>0</v>
      </c>
      <c r="CM95" s="8">
        <f>'AS400'!CK95</f>
        <v>1</v>
      </c>
      <c r="CN95" s="7">
        <f>'AS400'!CL95</f>
        <v>3</v>
      </c>
      <c r="CO95" s="7" t="str">
        <f>'AS400'!CM95</f>
        <v>PUDT</v>
      </c>
      <c r="CP95" s="7">
        <f>'AS400'!CN95</f>
        <v>100</v>
      </c>
      <c r="CQ95" s="7">
        <f>'AS400'!CO95</f>
        <v>20180301</v>
      </c>
      <c r="CR95" s="7">
        <f>'AS400'!CP95</f>
        <v>20180301</v>
      </c>
      <c r="CS95" s="7" t="str">
        <f>'AS400'!CQ95</f>
        <v>S</v>
      </c>
      <c r="CT95" s="7" t="str">
        <f>'AS400'!CR95</f>
        <v>MT</v>
      </c>
      <c r="CU95" s="7">
        <f>'AS400'!CS95</f>
        <v>20180301</v>
      </c>
      <c r="CV95" s="7">
        <f>'AS400'!CT95</f>
        <v>0</v>
      </c>
      <c r="CW95" s="7">
        <f>'AS400'!CU95</f>
        <v>0</v>
      </c>
      <c r="CX95" s="7">
        <f>'AS400'!CV95</f>
        <v>0</v>
      </c>
      <c r="CY95" s="7">
        <f>'AS400'!CW95</f>
        <v>0</v>
      </c>
      <c r="CZ95" s="7" t="str">
        <f>'AS400'!CX95</f>
        <v>STLV</v>
      </c>
      <c r="DA95" s="7">
        <f>'AS400'!CY95</f>
        <v>818</v>
      </c>
      <c r="DB95" s="7">
        <f>'AS400'!CZ95</f>
        <v>0</v>
      </c>
      <c r="DC95" s="7">
        <f>'AS400'!DA95</f>
        <v>12</v>
      </c>
      <c r="DD95" s="7">
        <f>'AS400'!DB95</f>
        <v>20180201</v>
      </c>
      <c r="DE95" s="7">
        <f>'AS400'!DC95</f>
        <v>0</v>
      </c>
      <c r="DF95" s="7">
        <f>'AS400'!DD95</f>
        <v>0</v>
      </c>
      <c r="DG95" s="7">
        <f>'AS400'!DE95</f>
        <v>1</v>
      </c>
      <c r="DI95" s="7">
        <f>'AS400'!DF95</f>
        <v>24</v>
      </c>
      <c r="DJ95" s="7">
        <f>'AS400'!DG95</f>
        <v>0</v>
      </c>
      <c r="DK95" s="7">
        <f>'AS400'!DH95</f>
        <v>0</v>
      </c>
      <c r="DL95" s="7">
        <f>'AS400'!DI95</f>
        <v>0</v>
      </c>
      <c r="DM95" s="7">
        <f>'AS400'!DJ95</f>
        <v>0</v>
      </c>
      <c r="DN95" s="7">
        <f>'AS400'!DK95</f>
        <v>0</v>
      </c>
      <c r="DO95" s="7">
        <f>'AS400'!DL95</f>
        <v>0</v>
      </c>
      <c r="DP95" s="7">
        <f>'AS400'!DM95</f>
        <v>0</v>
      </c>
      <c r="DQ95" s="7">
        <f>'AS400'!DN95</f>
        <v>0</v>
      </c>
      <c r="DR95" s="7">
        <f>'AS400'!DO95</f>
        <v>0</v>
      </c>
      <c r="DS95" s="7">
        <f>'AS400'!DP95</f>
        <v>0</v>
      </c>
      <c r="DT95" s="7">
        <f>'AS400'!DQ95</f>
        <v>0</v>
      </c>
      <c r="DU95" s="7">
        <f>'AS400'!DR95</f>
        <v>0</v>
      </c>
      <c r="DV95" s="7">
        <f>'AS400'!DS95</f>
        <v>0</v>
      </c>
      <c r="DW95" s="7">
        <f>'AS400'!DT95</f>
        <v>0</v>
      </c>
      <c r="DX95" s="7">
        <f>'AS400'!DU95</f>
        <v>0</v>
      </c>
      <c r="DY95" s="7">
        <f>'AS400'!DV95</f>
        <v>0</v>
      </c>
      <c r="DZ95" s="8">
        <f>'AS400'!DW95</f>
        <v>1</v>
      </c>
      <c r="EA95" s="7">
        <f>'AS400'!DX95</f>
        <v>4</v>
      </c>
      <c r="EB95" s="7" t="str">
        <f>'AS400'!DY95</f>
        <v>PUDS</v>
      </c>
      <c r="EC95" s="7">
        <f>'AS400'!DZ95</f>
        <v>100</v>
      </c>
      <c r="ED95" s="7">
        <f>'AS400'!EA95</f>
        <v>20180301</v>
      </c>
      <c r="EE95" s="7">
        <f>'AS400'!EB95</f>
        <v>20180301</v>
      </c>
      <c r="EF95" s="7" t="str">
        <f>'AS400'!EC95</f>
        <v>S</v>
      </c>
      <c r="EG95" s="7" t="str">
        <f>'AS400'!ED95</f>
        <v>MS</v>
      </c>
      <c r="EH95" s="7">
        <f>'AS400'!EE95</f>
        <v>20180301</v>
      </c>
      <c r="EI95" s="7">
        <f>'AS400'!EF95</f>
        <v>0</v>
      </c>
      <c r="EJ95" s="7">
        <f>'AS400'!EG95</f>
        <v>0</v>
      </c>
      <c r="EK95" s="7">
        <f>'AS400'!EH95</f>
        <v>0</v>
      </c>
      <c r="EL95" s="7">
        <f>'AS400'!EI95</f>
        <v>0</v>
      </c>
      <c r="EM95" s="7" t="str">
        <f>'AS400'!EJ95</f>
        <v>STLV</v>
      </c>
      <c r="EN95" s="7">
        <f>'AS400'!EK95</f>
        <v>818</v>
      </c>
      <c r="EO95" s="7">
        <f>'AS400'!EL95</f>
        <v>0</v>
      </c>
      <c r="EP95" s="7">
        <f>'AS400'!EM95</f>
        <v>12</v>
      </c>
      <c r="EQ95" s="7">
        <f>'AS400'!EN95</f>
        <v>20180201</v>
      </c>
      <c r="ER95" s="7">
        <f>'AS400'!EO95</f>
        <v>0</v>
      </c>
      <c r="ES95" s="7">
        <f>'AS400'!EP95</f>
        <v>0</v>
      </c>
      <c r="ET95" s="7">
        <f>'AS400'!EQ95</f>
        <v>1</v>
      </c>
      <c r="EV95" s="7">
        <f>'AS400'!ER95</f>
        <v>24</v>
      </c>
      <c r="EW95" s="7">
        <f>'AS400'!ES95</f>
        <v>0</v>
      </c>
      <c r="EX95" s="7">
        <f>'AS400'!ET95</f>
        <v>0</v>
      </c>
      <c r="EY95" s="7">
        <f>'AS400'!EU95</f>
        <v>0</v>
      </c>
      <c r="EZ95" s="7">
        <f>'AS400'!EV95</f>
        <v>0</v>
      </c>
      <c r="FA95" s="7">
        <f>'AS400'!EW95</f>
        <v>0</v>
      </c>
      <c r="FB95" s="7">
        <f>'AS400'!EX95</f>
        <v>0</v>
      </c>
      <c r="FC95" s="7">
        <f>'AS400'!EY95</f>
        <v>0</v>
      </c>
      <c r="FD95" s="7">
        <f>'AS400'!EZ95</f>
        <v>0</v>
      </c>
      <c r="FE95" s="7">
        <f>'AS400'!FA95</f>
        <v>0</v>
      </c>
      <c r="FF95" s="7">
        <f>'AS400'!FB95</f>
        <v>0</v>
      </c>
      <c r="FG95" s="7">
        <f>'AS400'!FC95</f>
        <v>0</v>
      </c>
      <c r="FH95" s="7">
        <f>'AS400'!FD95</f>
        <v>0</v>
      </c>
      <c r="FI95" s="7">
        <f>'AS400'!FE95</f>
        <v>0</v>
      </c>
      <c r="FJ95" s="7">
        <f>'AS400'!FF95</f>
        <v>0</v>
      </c>
      <c r="FK95" s="7">
        <f>'AS400'!FG95</f>
        <v>0</v>
      </c>
      <c r="FL95" s="7">
        <f>'AS400'!FH95</f>
        <v>0</v>
      </c>
      <c r="FM95" s="7">
        <f>'AS400'!FI95</f>
        <v>1</v>
      </c>
      <c r="FN95" s="7">
        <f>'AS400'!FJ95</f>
        <v>1</v>
      </c>
      <c r="FO95" s="7">
        <f>'AS400'!FO95</f>
        <v>0</v>
      </c>
      <c r="FP95" s="7">
        <f>'AS400'!FP95</f>
        <v>4</v>
      </c>
      <c r="FQ95" s="7">
        <f>'AS400'!FQ95</f>
        <v>1</v>
      </c>
      <c r="FR95" s="7">
        <f>'AS400'!FR95</f>
        <v>1</v>
      </c>
      <c r="FS95" s="13">
        <f>'AS400'!FO95</f>
        <v>0</v>
      </c>
    </row>
    <row r="96" spans="1:175">
      <c r="A96" s="7">
        <f>'AS400'!A96</f>
        <v>90</v>
      </c>
      <c r="B96" s="7">
        <f>'AS400'!B96</f>
        <v>20190301</v>
      </c>
      <c r="C96" s="7">
        <f>'AS400'!C96</f>
        <v>0</v>
      </c>
      <c r="D96" s="7" t="str">
        <f>'AS400'!D96</f>
        <v>N</v>
      </c>
      <c r="E96" s="7" t="str">
        <f>'AS400'!E96</f>
        <v>N</v>
      </c>
      <c r="F96" s="7" t="str">
        <f>'AS400'!F96</f>
        <v>Y</v>
      </c>
      <c r="G96" s="7">
        <f>'AS400'!G96</f>
        <v>0</v>
      </c>
      <c r="H96" s="14"/>
      <c r="I96" s="7" t="str">
        <f>'AS400'!I96</f>
        <v>RSA</v>
      </c>
      <c r="J96" s="7" t="str">
        <f>'AS400'!J96</f>
        <v>METR</v>
      </c>
      <c r="K96" s="7" t="str">
        <f>'AS400'!K96</f>
        <v>N</v>
      </c>
      <c r="L96" s="7">
        <f>'AS400'!L96</f>
        <v>4</v>
      </c>
      <c r="M96" s="8">
        <f>'AS400'!M96</f>
        <v>1</v>
      </c>
      <c r="N96" s="7">
        <f>'AS400'!N96</f>
        <v>1</v>
      </c>
      <c r="O96" s="7" t="str">
        <f>'AS400'!O96</f>
        <v>MFUC</v>
      </c>
      <c r="P96" s="7">
        <f>'AS400'!P96</f>
        <v>100</v>
      </c>
      <c r="Q96" s="7">
        <f>'AS400'!Q96</f>
        <v>20180301</v>
      </c>
      <c r="R96" s="7">
        <f>'AS400'!R96</f>
        <v>20180301</v>
      </c>
      <c r="S96" s="7" t="str">
        <f>'AS400'!S96</f>
        <v>M</v>
      </c>
      <c r="T96" s="7" t="str">
        <f>'AS400'!T96</f>
        <v>ME</v>
      </c>
      <c r="U96" s="7">
        <f>'AS400'!U96</f>
        <v>20190301</v>
      </c>
      <c r="V96" s="7">
        <f>'AS400'!V96</f>
        <v>6</v>
      </c>
      <c r="W96" s="7">
        <f>'AS400'!W96</f>
        <v>6</v>
      </c>
      <c r="X96" s="7" t="str">
        <f>'AS400'!X96</f>
        <v>MFIX</v>
      </c>
      <c r="Y96" s="7">
        <f>'AS400'!Y96</f>
        <v>0</v>
      </c>
      <c r="Z96" s="7" t="str">
        <f>'AS400'!Z96</f>
        <v>STLV</v>
      </c>
      <c r="AA96" s="7">
        <f>'AS400'!AA96</f>
        <v>818</v>
      </c>
      <c r="AB96" s="7">
        <f>'AS400'!AB96</f>
        <v>0</v>
      </c>
      <c r="AC96" s="7">
        <f>'AS400'!AC96</f>
        <v>12</v>
      </c>
      <c r="AD96" s="7">
        <f>'AS400'!AD96</f>
        <v>20180201</v>
      </c>
      <c r="AE96" s="7">
        <f>'AS400'!AE96</f>
        <v>0</v>
      </c>
      <c r="AF96" s="7">
        <f>'AS400'!AF96</f>
        <v>65000</v>
      </c>
      <c r="AG96" s="7">
        <f>'AS400'!AG96</f>
        <v>18</v>
      </c>
      <c r="AI96" s="7">
        <f>'AS400'!AH96</f>
        <v>23</v>
      </c>
      <c r="AJ96" s="7">
        <f>'AS400'!AI96</f>
        <v>0</v>
      </c>
      <c r="AK96" s="7">
        <f>'AS400'!AJ96</f>
        <v>0</v>
      </c>
      <c r="AL96" s="7">
        <f>'AS400'!AK96</f>
        <v>0</v>
      </c>
      <c r="AM96" s="7">
        <f>'AS400'!AL96</f>
        <v>0</v>
      </c>
      <c r="AN96" s="7">
        <f>'AS400'!AM96</f>
        <v>0</v>
      </c>
      <c r="AO96" s="7">
        <f>'AS400'!AN96</f>
        <v>0</v>
      </c>
      <c r="AP96" s="7">
        <f>'AS400'!AO96</f>
        <v>0</v>
      </c>
      <c r="AQ96" s="7">
        <f>'AS400'!AP96</f>
        <v>0</v>
      </c>
      <c r="AR96" s="7">
        <f>'AS400'!AQ96</f>
        <v>0</v>
      </c>
      <c r="AS96" s="7">
        <f>'AS400'!AR96</f>
        <v>0</v>
      </c>
      <c r="AT96" s="7">
        <f>'AS400'!AS96</f>
        <v>0</v>
      </c>
      <c r="AU96" s="7">
        <f>'AS400'!AT96</f>
        <v>0</v>
      </c>
      <c r="AV96" s="7">
        <f>'AS400'!AU96</f>
        <v>0</v>
      </c>
      <c r="AW96" s="7">
        <f>'AS400'!AV96</f>
        <v>0</v>
      </c>
      <c r="AX96" s="7">
        <f>'AS400'!AW96</f>
        <v>0</v>
      </c>
      <c r="AY96" s="7">
        <f>'AS400'!AX96</f>
        <v>0</v>
      </c>
      <c r="AZ96" s="8">
        <f>'AS400'!AY96</f>
        <v>1</v>
      </c>
      <c r="BA96" s="7">
        <f>'AS400'!AZ96</f>
        <v>2</v>
      </c>
      <c r="BB96" s="7" t="str">
        <f>'AS400'!BA96</f>
        <v>PURO</v>
      </c>
      <c r="BC96" s="7">
        <f>'AS400'!BB96</f>
        <v>100</v>
      </c>
      <c r="BD96" s="7">
        <f>'AS400'!BC96</f>
        <v>20180301</v>
      </c>
      <c r="BE96" s="7">
        <f>'AS400'!BD96</f>
        <v>20180301</v>
      </c>
      <c r="BF96" s="7" t="str">
        <f>'AS400'!BE96</f>
        <v>S</v>
      </c>
      <c r="BG96" s="7" t="str">
        <f>'AS400'!BF96</f>
        <v>ME</v>
      </c>
      <c r="BH96" s="7">
        <f>'AS400'!BG96</f>
        <v>20180301</v>
      </c>
      <c r="BI96" s="7">
        <f>'AS400'!BH96</f>
        <v>0</v>
      </c>
      <c r="BJ96" s="7">
        <f>'AS400'!BI96</f>
        <v>0</v>
      </c>
      <c r="BK96" s="7">
        <f>'AS400'!BJ96</f>
        <v>0</v>
      </c>
      <c r="BL96" s="7">
        <f>'AS400'!BK96</f>
        <v>0</v>
      </c>
      <c r="BM96" s="7" t="str">
        <f>'AS400'!BL96</f>
        <v>STLV</v>
      </c>
      <c r="BN96" s="7">
        <f>'AS400'!BM96</f>
        <v>818</v>
      </c>
      <c r="BO96" s="7">
        <f>'AS400'!BN96</f>
        <v>0</v>
      </c>
      <c r="BP96" s="7">
        <f>'AS400'!BO96</f>
        <v>12</v>
      </c>
      <c r="BQ96" s="7">
        <f>'AS400'!BP96</f>
        <v>20180201</v>
      </c>
      <c r="BR96" s="7">
        <f>'AS400'!BQ96</f>
        <v>0</v>
      </c>
      <c r="BS96" s="7">
        <f>'AS400'!BR96</f>
        <v>0</v>
      </c>
      <c r="BT96" s="7">
        <f>'AS400'!BS96</f>
        <v>1</v>
      </c>
      <c r="BV96" s="7">
        <f>'AS400'!BT96</f>
        <v>23</v>
      </c>
      <c r="BW96" s="7">
        <f>'AS400'!BU96</f>
        <v>0</v>
      </c>
      <c r="BX96" s="7">
        <f>'AS400'!BV96</f>
        <v>0</v>
      </c>
      <c r="BY96" s="7">
        <f>'AS400'!BW96</f>
        <v>0</v>
      </c>
      <c r="BZ96" s="7">
        <f>'AS400'!BX96</f>
        <v>0</v>
      </c>
      <c r="CA96" s="7">
        <f>'AS400'!BY96</f>
        <v>0</v>
      </c>
      <c r="CB96" s="7">
        <f>'AS400'!BZ96</f>
        <v>0</v>
      </c>
      <c r="CC96" s="7">
        <f>'AS400'!CA96</f>
        <v>0</v>
      </c>
      <c r="CD96" s="7">
        <f>'AS400'!CB96</f>
        <v>0</v>
      </c>
      <c r="CE96" s="7">
        <f>'AS400'!CC96</f>
        <v>0</v>
      </c>
      <c r="CF96" s="7">
        <f>'AS400'!CD96</f>
        <v>0</v>
      </c>
      <c r="CG96" s="7">
        <f>'AS400'!CE96</f>
        <v>0</v>
      </c>
      <c r="CH96" s="7">
        <f>'AS400'!CF96</f>
        <v>0</v>
      </c>
      <c r="CI96" s="7">
        <f>'AS400'!CG96</f>
        <v>0</v>
      </c>
      <c r="CJ96" s="7">
        <f>'AS400'!CH96</f>
        <v>0</v>
      </c>
      <c r="CK96" s="7">
        <f>'AS400'!CI96</f>
        <v>0</v>
      </c>
      <c r="CL96" s="7">
        <f>'AS400'!CJ96</f>
        <v>0</v>
      </c>
      <c r="CM96" s="8">
        <f>'AS400'!CK96</f>
        <v>1</v>
      </c>
      <c r="CN96" s="7">
        <f>'AS400'!CL96</f>
        <v>3</v>
      </c>
      <c r="CO96" s="7" t="str">
        <f>'AS400'!CM96</f>
        <v>PUDT</v>
      </c>
      <c r="CP96" s="7">
        <f>'AS400'!CN96</f>
        <v>100</v>
      </c>
      <c r="CQ96" s="7">
        <f>'AS400'!CO96</f>
        <v>20180301</v>
      </c>
      <c r="CR96" s="7">
        <f>'AS400'!CP96</f>
        <v>20180301</v>
      </c>
      <c r="CS96" s="7" t="str">
        <f>'AS400'!CQ96</f>
        <v>S</v>
      </c>
      <c r="CT96" s="7" t="str">
        <f>'AS400'!CR96</f>
        <v>MT</v>
      </c>
      <c r="CU96" s="7">
        <f>'AS400'!CS96</f>
        <v>20180301</v>
      </c>
      <c r="CV96" s="7">
        <f>'AS400'!CT96</f>
        <v>0</v>
      </c>
      <c r="CW96" s="7">
        <f>'AS400'!CU96</f>
        <v>0</v>
      </c>
      <c r="CX96" s="7">
        <f>'AS400'!CV96</f>
        <v>0</v>
      </c>
      <c r="CY96" s="7">
        <f>'AS400'!CW96</f>
        <v>0</v>
      </c>
      <c r="CZ96" s="7" t="str">
        <f>'AS400'!CX96</f>
        <v>STLV</v>
      </c>
      <c r="DA96" s="7">
        <f>'AS400'!CY96</f>
        <v>818</v>
      </c>
      <c r="DB96" s="7">
        <f>'AS400'!CZ96</f>
        <v>0</v>
      </c>
      <c r="DC96" s="7">
        <f>'AS400'!DA96</f>
        <v>12</v>
      </c>
      <c r="DD96" s="7">
        <f>'AS400'!DB96</f>
        <v>20180201</v>
      </c>
      <c r="DE96" s="7">
        <f>'AS400'!DC96</f>
        <v>0</v>
      </c>
      <c r="DF96" s="7">
        <f>'AS400'!DD96</f>
        <v>0</v>
      </c>
      <c r="DG96" s="7">
        <f>'AS400'!DE96</f>
        <v>1</v>
      </c>
      <c r="DI96" s="7">
        <f>'AS400'!DF96</f>
        <v>23</v>
      </c>
      <c r="DJ96" s="7">
        <f>'AS400'!DG96</f>
        <v>0</v>
      </c>
      <c r="DK96" s="7">
        <f>'AS400'!DH96</f>
        <v>0</v>
      </c>
      <c r="DL96" s="7">
        <f>'AS400'!DI96</f>
        <v>0</v>
      </c>
      <c r="DM96" s="7">
        <f>'AS400'!DJ96</f>
        <v>0</v>
      </c>
      <c r="DN96" s="7">
        <f>'AS400'!DK96</f>
        <v>0</v>
      </c>
      <c r="DO96" s="7">
        <f>'AS400'!DL96</f>
        <v>0</v>
      </c>
      <c r="DP96" s="7">
        <f>'AS400'!DM96</f>
        <v>0</v>
      </c>
      <c r="DQ96" s="7">
        <f>'AS400'!DN96</f>
        <v>0</v>
      </c>
      <c r="DR96" s="7">
        <f>'AS400'!DO96</f>
        <v>0</v>
      </c>
      <c r="DS96" s="7">
        <f>'AS400'!DP96</f>
        <v>0</v>
      </c>
      <c r="DT96" s="7">
        <f>'AS400'!DQ96</f>
        <v>0</v>
      </c>
      <c r="DU96" s="7">
        <f>'AS400'!DR96</f>
        <v>0</v>
      </c>
      <c r="DV96" s="7">
        <f>'AS400'!DS96</f>
        <v>0</v>
      </c>
      <c r="DW96" s="7">
        <f>'AS400'!DT96</f>
        <v>0</v>
      </c>
      <c r="DX96" s="7">
        <f>'AS400'!DU96</f>
        <v>0</v>
      </c>
      <c r="DY96" s="7">
        <f>'AS400'!DV96</f>
        <v>0</v>
      </c>
      <c r="DZ96" s="8">
        <f>'AS400'!DW96</f>
        <v>1</v>
      </c>
      <c r="EA96" s="7">
        <f>'AS400'!DX96</f>
        <v>4</v>
      </c>
      <c r="EB96" s="7" t="str">
        <f>'AS400'!DY96</f>
        <v>PUDS</v>
      </c>
      <c r="EC96" s="7">
        <f>'AS400'!DZ96</f>
        <v>100</v>
      </c>
      <c r="ED96" s="7">
        <f>'AS400'!EA96</f>
        <v>20180301</v>
      </c>
      <c r="EE96" s="7">
        <f>'AS400'!EB96</f>
        <v>20180301</v>
      </c>
      <c r="EF96" s="7" t="str">
        <f>'AS400'!EC96</f>
        <v>S</v>
      </c>
      <c r="EG96" s="7" t="str">
        <f>'AS400'!ED96</f>
        <v>MS</v>
      </c>
      <c r="EH96" s="7">
        <f>'AS400'!EE96</f>
        <v>20180301</v>
      </c>
      <c r="EI96" s="7">
        <f>'AS400'!EF96</f>
        <v>0</v>
      </c>
      <c r="EJ96" s="7">
        <f>'AS400'!EG96</f>
        <v>0</v>
      </c>
      <c r="EK96" s="7">
        <f>'AS400'!EH96</f>
        <v>0</v>
      </c>
      <c r="EL96" s="7">
        <f>'AS400'!EI96</f>
        <v>0</v>
      </c>
      <c r="EM96" s="7" t="str">
        <f>'AS400'!EJ96</f>
        <v>STLV</v>
      </c>
      <c r="EN96" s="7">
        <f>'AS400'!EK96</f>
        <v>818</v>
      </c>
      <c r="EO96" s="7">
        <f>'AS400'!EL96</f>
        <v>0</v>
      </c>
      <c r="EP96" s="7">
        <f>'AS400'!EM96</f>
        <v>12</v>
      </c>
      <c r="EQ96" s="7">
        <f>'AS400'!EN96</f>
        <v>20180201</v>
      </c>
      <c r="ER96" s="7">
        <f>'AS400'!EO96</f>
        <v>0</v>
      </c>
      <c r="ES96" s="7">
        <f>'AS400'!EP96</f>
        <v>0</v>
      </c>
      <c r="ET96" s="7">
        <f>'AS400'!EQ96</f>
        <v>1</v>
      </c>
      <c r="EV96" s="7">
        <f>'AS400'!ER96</f>
        <v>23</v>
      </c>
      <c r="EW96" s="7">
        <f>'AS400'!ES96</f>
        <v>0</v>
      </c>
      <c r="EX96" s="7">
        <f>'AS400'!ET96</f>
        <v>0</v>
      </c>
      <c r="EY96" s="7">
        <f>'AS400'!EU96</f>
        <v>0</v>
      </c>
      <c r="EZ96" s="7">
        <f>'AS400'!EV96</f>
        <v>0</v>
      </c>
      <c r="FA96" s="7">
        <f>'AS400'!EW96</f>
        <v>0</v>
      </c>
      <c r="FB96" s="7">
        <f>'AS400'!EX96</f>
        <v>0</v>
      </c>
      <c r="FC96" s="7">
        <f>'AS400'!EY96</f>
        <v>0</v>
      </c>
      <c r="FD96" s="7">
        <f>'AS400'!EZ96</f>
        <v>0</v>
      </c>
      <c r="FE96" s="7">
        <f>'AS400'!FA96</f>
        <v>0</v>
      </c>
      <c r="FF96" s="7">
        <f>'AS400'!FB96</f>
        <v>0</v>
      </c>
      <c r="FG96" s="7">
        <f>'AS400'!FC96</f>
        <v>0</v>
      </c>
      <c r="FH96" s="7">
        <f>'AS400'!FD96</f>
        <v>0</v>
      </c>
      <c r="FI96" s="7">
        <f>'AS400'!FE96</f>
        <v>0</v>
      </c>
      <c r="FJ96" s="7">
        <f>'AS400'!FF96</f>
        <v>0</v>
      </c>
      <c r="FK96" s="7">
        <f>'AS400'!FG96</f>
        <v>0</v>
      </c>
      <c r="FL96" s="7">
        <f>'AS400'!FH96</f>
        <v>0</v>
      </c>
      <c r="FM96" s="7">
        <f>'AS400'!FI96</f>
        <v>1</v>
      </c>
      <c r="FN96" s="7">
        <f>'AS400'!FJ96</f>
        <v>1</v>
      </c>
      <c r="FO96" s="7">
        <f>'AS400'!FO96</f>
        <v>0</v>
      </c>
      <c r="FP96" s="7">
        <f>'AS400'!FP96</f>
        <v>4</v>
      </c>
      <c r="FQ96" s="7">
        <f>'AS400'!FQ96</f>
        <v>1</v>
      </c>
      <c r="FR96" s="7">
        <f>'AS400'!FR96</f>
        <v>1</v>
      </c>
      <c r="FS96" s="13">
        <f>'AS400'!FO96</f>
        <v>0</v>
      </c>
    </row>
    <row r="97" spans="1:175">
      <c r="A97" s="7">
        <f>'AS400'!A97</f>
        <v>91</v>
      </c>
      <c r="B97" s="7">
        <f>'AS400'!B97</f>
        <v>20190301</v>
      </c>
      <c r="C97" s="7">
        <f>'AS400'!C97</f>
        <v>0</v>
      </c>
      <c r="D97" s="7" t="str">
        <f>'AS400'!D97</f>
        <v>N</v>
      </c>
      <c r="E97" s="7" t="str">
        <f>'AS400'!E97</f>
        <v>N</v>
      </c>
      <c r="F97" s="7" t="str">
        <f>'AS400'!F97</f>
        <v>Y</v>
      </c>
      <c r="G97" s="7">
        <f>'AS400'!G97</f>
        <v>0</v>
      </c>
      <c r="H97" s="14"/>
      <c r="I97" s="7" t="str">
        <f>'AS400'!I97</f>
        <v>RSA</v>
      </c>
      <c r="J97" s="7" t="str">
        <f>'AS400'!J97</f>
        <v>METR</v>
      </c>
      <c r="K97" s="7" t="str">
        <f>'AS400'!K97</f>
        <v>N</v>
      </c>
      <c r="L97" s="7">
        <f>'AS400'!L97</f>
        <v>4</v>
      </c>
      <c r="M97" s="8">
        <f>'AS400'!M97</f>
        <v>1</v>
      </c>
      <c r="N97" s="7">
        <f>'AS400'!N97</f>
        <v>1</v>
      </c>
      <c r="O97" s="7" t="str">
        <f>'AS400'!O97</f>
        <v>MFUC</v>
      </c>
      <c r="P97" s="7">
        <f>'AS400'!P97</f>
        <v>100</v>
      </c>
      <c r="Q97" s="7">
        <f>'AS400'!Q97</f>
        <v>20180301</v>
      </c>
      <c r="R97" s="7">
        <f>'AS400'!R97</f>
        <v>20180301</v>
      </c>
      <c r="S97" s="7" t="str">
        <f>'AS400'!S97</f>
        <v>M</v>
      </c>
      <c r="T97" s="7" t="str">
        <f>'AS400'!T97</f>
        <v>ME</v>
      </c>
      <c r="U97" s="7">
        <f>'AS400'!U97</f>
        <v>20190301</v>
      </c>
      <c r="V97" s="7">
        <f>'AS400'!V97</f>
        <v>6</v>
      </c>
      <c r="W97" s="7">
        <f>'AS400'!W97</f>
        <v>6</v>
      </c>
      <c r="X97" s="7" t="str">
        <f>'AS400'!X97</f>
        <v>MFIX</v>
      </c>
      <c r="Y97" s="7">
        <f>'AS400'!Y97</f>
        <v>0</v>
      </c>
      <c r="Z97" s="7" t="str">
        <f>'AS400'!Z97</f>
        <v>STLV</v>
      </c>
      <c r="AA97" s="7">
        <f>'AS400'!AA97</f>
        <v>818</v>
      </c>
      <c r="AB97" s="7">
        <f>'AS400'!AB97</f>
        <v>0</v>
      </c>
      <c r="AC97" s="7">
        <f>'AS400'!AC97</f>
        <v>12</v>
      </c>
      <c r="AD97" s="7">
        <f>'AS400'!AD97</f>
        <v>20180201</v>
      </c>
      <c r="AE97" s="7">
        <f>'AS400'!AE97</f>
        <v>0</v>
      </c>
      <c r="AF97" s="7">
        <f>'AS400'!AF97</f>
        <v>70000</v>
      </c>
      <c r="AG97" s="7">
        <f>'AS400'!AG97</f>
        <v>20</v>
      </c>
      <c r="AI97" s="7">
        <f>'AS400'!AH97</f>
        <v>22</v>
      </c>
      <c r="AJ97" s="7">
        <f>'AS400'!AI97</f>
        <v>0</v>
      </c>
      <c r="AK97" s="7">
        <f>'AS400'!AJ97</f>
        <v>0</v>
      </c>
      <c r="AL97" s="7">
        <f>'AS400'!AK97</f>
        <v>0</v>
      </c>
      <c r="AM97" s="7">
        <f>'AS400'!AL97</f>
        <v>0</v>
      </c>
      <c r="AN97" s="7">
        <f>'AS400'!AM97</f>
        <v>0</v>
      </c>
      <c r="AO97" s="7">
        <f>'AS400'!AN97</f>
        <v>0</v>
      </c>
      <c r="AP97" s="7">
        <f>'AS400'!AO97</f>
        <v>0</v>
      </c>
      <c r="AQ97" s="7">
        <f>'AS400'!AP97</f>
        <v>0</v>
      </c>
      <c r="AR97" s="7">
        <f>'AS400'!AQ97</f>
        <v>0</v>
      </c>
      <c r="AS97" s="7">
        <f>'AS400'!AR97</f>
        <v>0</v>
      </c>
      <c r="AT97" s="7">
        <f>'AS400'!AS97</f>
        <v>0</v>
      </c>
      <c r="AU97" s="7">
        <f>'AS400'!AT97</f>
        <v>0</v>
      </c>
      <c r="AV97" s="7">
        <f>'AS400'!AU97</f>
        <v>0</v>
      </c>
      <c r="AW97" s="7">
        <f>'AS400'!AV97</f>
        <v>0</v>
      </c>
      <c r="AX97" s="7">
        <f>'AS400'!AW97</f>
        <v>0</v>
      </c>
      <c r="AY97" s="7">
        <f>'AS400'!AX97</f>
        <v>0</v>
      </c>
      <c r="AZ97" s="8">
        <f>'AS400'!AY97</f>
        <v>1</v>
      </c>
      <c r="BA97" s="7">
        <f>'AS400'!AZ97</f>
        <v>2</v>
      </c>
      <c r="BB97" s="7" t="str">
        <f>'AS400'!BA97</f>
        <v>PURO</v>
      </c>
      <c r="BC97" s="7">
        <f>'AS400'!BB97</f>
        <v>100</v>
      </c>
      <c r="BD97" s="7">
        <f>'AS400'!BC97</f>
        <v>20180301</v>
      </c>
      <c r="BE97" s="7">
        <f>'AS400'!BD97</f>
        <v>20180301</v>
      </c>
      <c r="BF97" s="7" t="str">
        <f>'AS400'!BE97</f>
        <v>S</v>
      </c>
      <c r="BG97" s="7" t="str">
        <f>'AS400'!BF97</f>
        <v>ME</v>
      </c>
      <c r="BH97" s="7">
        <f>'AS400'!BG97</f>
        <v>20180301</v>
      </c>
      <c r="BI97" s="7">
        <f>'AS400'!BH97</f>
        <v>0</v>
      </c>
      <c r="BJ97" s="7">
        <f>'AS400'!BI97</f>
        <v>0</v>
      </c>
      <c r="BK97" s="7">
        <f>'AS400'!BJ97</f>
        <v>0</v>
      </c>
      <c r="BL97" s="7">
        <f>'AS400'!BK97</f>
        <v>0</v>
      </c>
      <c r="BM97" s="7" t="str">
        <f>'AS400'!BL97</f>
        <v>STLV</v>
      </c>
      <c r="BN97" s="7">
        <f>'AS400'!BM97</f>
        <v>818</v>
      </c>
      <c r="BO97" s="7">
        <f>'AS400'!BN97</f>
        <v>0</v>
      </c>
      <c r="BP97" s="7">
        <f>'AS400'!BO97</f>
        <v>12</v>
      </c>
      <c r="BQ97" s="7">
        <f>'AS400'!BP97</f>
        <v>20180201</v>
      </c>
      <c r="BR97" s="7">
        <f>'AS400'!BQ97</f>
        <v>0</v>
      </c>
      <c r="BS97" s="7">
        <f>'AS400'!BR97</f>
        <v>0</v>
      </c>
      <c r="BT97" s="7">
        <f>'AS400'!BS97</f>
        <v>1</v>
      </c>
      <c r="BV97" s="7">
        <f>'AS400'!BT97</f>
        <v>22</v>
      </c>
      <c r="BW97" s="7">
        <f>'AS400'!BU97</f>
        <v>0</v>
      </c>
      <c r="BX97" s="7">
        <f>'AS400'!BV97</f>
        <v>0</v>
      </c>
      <c r="BY97" s="7">
        <f>'AS400'!BW97</f>
        <v>0</v>
      </c>
      <c r="BZ97" s="7">
        <f>'AS400'!BX97</f>
        <v>0</v>
      </c>
      <c r="CA97" s="7">
        <f>'AS400'!BY97</f>
        <v>0</v>
      </c>
      <c r="CB97" s="7">
        <f>'AS400'!BZ97</f>
        <v>0</v>
      </c>
      <c r="CC97" s="7">
        <f>'AS400'!CA97</f>
        <v>0</v>
      </c>
      <c r="CD97" s="7">
        <f>'AS400'!CB97</f>
        <v>0</v>
      </c>
      <c r="CE97" s="7">
        <f>'AS400'!CC97</f>
        <v>0</v>
      </c>
      <c r="CF97" s="7">
        <f>'AS400'!CD97</f>
        <v>0</v>
      </c>
      <c r="CG97" s="7">
        <f>'AS400'!CE97</f>
        <v>0</v>
      </c>
      <c r="CH97" s="7">
        <f>'AS400'!CF97</f>
        <v>0</v>
      </c>
      <c r="CI97" s="7">
        <f>'AS400'!CG97</f>
        <v>0</v>
      </c>
      <c r="CJ97" s="7">
        <f>'AS400'!CH97</f>
        <v>0</v>
      </c>
      <c r="CK97" s="7">
        <f>'AS400'!CI97</f>
        <v>0</v>
      </c>
      <c r="CL97" s="7">
        <f>'AS400'!CJ97</f>
        <v>0</v>
      </c>
      <c r="CM97" s="8">
        <f>'AS400'!CK97</f>
        <v>1</v>
      </c>
      <c r="CN97" s="7">
        <f>'AS400'!CL97</f>
        <v>3</v>
      </c>
      <c r="CO97" s="7" t="str">
        <f>'AS400'!CM97</f>
        <v>PUDT</v>
      </c>
      <c r="CP97" s="7">
        <f>'AS400'!CN97</f>
        <v>100</v>
      </c>
      <c r="CQ97" s="7">
        <f>'AS400'!CO97</f>
        <v>20180301</v>
      </c>
      <c r="CR97" s="7">
        <f>'AS400'!CP97</f>
        <v>20180301</v>
      </c>
      <c r="CS97" s="7" t="str">
        <f>'AS400'!CQ97</f>
        <v>S</v>
      </c>
      <c r="CT97" s="7" t="str">
        <f>'AS400'!CR97</f>
        <v>MT</v>
      </c>
      <c r="CU97" s="7">
        <f>'AS400'!CS97</f>
        <v>20180301</v>
      </c>
      <c r="CV97" s="7">
        <f>'AS400'!CT97</f>
        <v>0</v>
      </c>
      <c r="CW97" s="7">
        <f>'AS400'!CU97</f>
        <v>0</v>
      </c>
      <c r="CX97" s="7">
        <f>'AS400'!CV97</f>
        <v>0</v>
      </c>
      <c r="CY97" s="7">
        <f>'AS400'!CW97</f>
        <v>0</v>
      </c>
      <c r="CZ97" s="7" t="str">
        <f>'AS400'!CX97</f>
        <v>STLV</v>
      </c>
      <c r="DA97" s="7">
        <f>'AS400'!CY97</f>
        <v>818</v>
      </c>
      <c r="DB97" s="7">
        <f>'AS400'!CZ97</f>
        <v>0</v>
      </c>
      <c r="DC97" s="7">
        <f>'AS400'!DA97</f>
        <v>12</v>
      </c>
      <c r="DD97" s="7">
        <f>'AS400'!DB97</f>
        <v>20180201</v>
      </c>
      <c r="DE97" s="7">
        <f>'AS400'!DC97</f>
        <v>0</v>
      </c>
      <c r="DF97" s="7">
        <f>'AS400'!DD97</f>
        <v>0</v>
      </c>
      <c r="DG97" s="7">
        <f>'AS400'!DE97</f>
        <v>1</v>
      </c>
      <c r="DI97" s="7">
        <f>'AS400'!DF97</f>
        <v>22</v>
      </c>
      <c r="DJ97" s="7">
        <f>'AS400'!DG97</f>
        <v>0</v>
      </c>
      <c r="DK97" s="7">
        <f>'AS400'!DH97</f>
        <v>0</v>
      </c>
      <c r="DL97" s="7">
        <f>'AS400'!DI97</f>
        <v>0</v>
      </c>
      <c r="DM97" s="7">
        <f>'AS400'!DJ97</f>
        <v>0</v>
      </c>
      <c r="DN97" s="7">
        <f>'AS400'!DK97</f>
        <v>0</v>
      </c>
      <c r="DO97" s="7">
        <f>'AS400'!DL97</f>
        <v>0</v>
      </c>
      <c r="DP97" s="7">
        <f>'AS400'!DM97</f>
        <v>0</v>
      </c>
      <c r="DQ97" s="7">
        <f>'AS400'!DN97</f>
        <v>0</v>
      </c>
      <c r="DR97" s="7">
        <f>'AS400'!DO97</f>
        <v>0</v>
      </c>
      <c r="DS97" s="7">
        <f>'AS400'!DP97</f>
        <v>0</v>
      </c>
      <c r="DT97" s="7">
        <f>'AS400'!DQ97</f>
        <v>0</v>
      </c>
      <c r="DU97" s="7">
        <f>'AS400'!DR97</f>
        <v>0</v>
      </c>
      <c r="DV97" s="7">
        <f>'AS400'!DS97</f>
        <v>0</v>
      </c>
      <c r="DW97" s="7">
        <f>'AS400'!DT97</f>
        <v>0</v>
      </c>
      <c r="DX97" s="7">
        <f>'AS400'!DU97</f>
        <v>0</v>
      </c>
      <c r="DY97" s="7">
        <f>'AS400'!DV97</f>
        <v>0</v>
      </c>
      <c r="DZ97" s="8">
        <f>'AS400'!DW97</f>
        <v>1</v>
      </c>
      <c r="EA97" s="7">
        <f>'AS400'!DX97</f>
        <v>4</v>
      </c>
      <c r="EB97" s="7" t="str">
        <f>'AS400'!DY97</f>
        <v>PUDS</v>
      </c>
      <c r="EC97" s="7">
        <f>'AS400'!DZ97</f>
        <v>100</v>
      </c>
      <c r="ED97" s="7">
        <f>'AS400'!EA97</f>
        <v>20180301</v>
      </c>
      <c r="EE97" s="7">
        <f>'AS400'!EB97</f>
        <v>20180301</v>
      </c>
      <c r="EF97" s="7" t="str">
        <f>'AS400'!EC97</f>
        <v>S</v>
      </c>
      <c r="EG97" s="7" t="str">
        <f>'AS400'!ED97</f>
        <v>MS</v>
      </c>
      <c r="EH97" s="7">
        <f>'AS400'!EE97</f>
        <v>20180301</v>
      </c>
      <c r="EI97" s="7">
        <f>'AS400'!EF97</f>
        <v>0</v>
      </c>
      <c r="EJ97" s="7">
        <f>'AS400'!EG97</f>
        <v>0</v>
      </c>
      <c r="EK97" s="7">
        <f>'AS400'!EH97</f>
        <v>0</v>
      </c>
      <c r="EL97" s="7">
        <f>'AS400'!EI97</f>
        <v>0</v>
      </c>
      <c r="EM97" s="7" t="str">
        <f>'AS400'!EJ97</f>
        <v>STLV</v>
      </c>
      <c r="EN97" s="7">
        <f>'AS400'!EK97</f>
        <v>818</v>
      </c>
      <c r="EO97" s="7">
        <f>'AS400'!EL97</f>
        <v>0</v>
      </c>
      <c r="EP97" s="7">
        <f>'AS400'!EM97</f>
        <v>12</v>
      </c>
      <c r="EQ97" s="7">
        <f>'AS400'!EN97</f>
        <v>20180201</v>
      </c>
      <c r="ER97" s="7">
        <f>'AS400'!EO97</f>
        <v>0</v>
      </c>
      <c r="ES97" s="7">
        <f>'AS400'!EP97</f>
        <v>0</v>
      </c>
      <c r="ET97" s="7">
        <f>'AS400'!EQ97</f>
        <v>1</v>
      </c>
      <c r="EV97" s="7">
        <f>'AS400'!ER97</f>
        <v>22</v>
      </c>
      <c r="EW97" s="7">
        <f>'AS400'!ES97</f>
        <v>0</v>
      </c>
      <c r="EX97" s="7">
        <f>'AS400'!ET97</f>
        <v>0</v>
      </c>
      <c r="EY97" s="7">
        <f>'AS400'!EU97</f>
        <v>0</v>
      </c>
      <c r="EZ97" s="7">
        <f>'AS400'!EV97</f>
        <v>0</v>
      </c>
      <c r="FA97" s="7">
        <f>'AS400'!EW97</f>
        <v>0</v>
      </c>
      <c r="FB97" s="7">
        <f>'AS400'!EX97</f>
        <v>0</v>
      </c>
      <c r="FC97" s="7">
        <f>'AS400'!EY97</f>
        <v>0</v>
      </c>
      <c r="FD97" s="7">
        <f>'AS400'!EZ97</f>
        <v>0</v>
      </c>
      <c r="FE97" s="7">
        <f>'AS400'!FA97</f>
        <v>0</v>
      </c>
      <c r="FF97" s="7">
        <f>'AS400'!FB97</f>
        <v>0</v>
      </c>
      <c r="FG97" s="7">
        <f>'AS400'!FC97</f>
        <v>0</v>
      </c>
      <c r="FH97" s="7">
        <f>'AS400'!FD97</f>
        <v>0</v>
      </c>
      <c r="FI97" s="7">
        <f>'AS400'!FE97</f>
        <v>0</v>
      </c>
      <c r="FJ97" s="7">
        <f>'AS400'!FF97</f>
        <v>0</v>
      </c>
      <c r="FK97" s="7">
        <f>'AS400'!FG97</f>
        <v>0</v>
      </c>
      <c r="FL97" s="7">
        <f>'AS400'!FH97</f>
        <v>0</v>
      </c>
      <c r="FM97" s="7">
        <f>'AS400'!FI97</f>
        <v>1</v>
      </c>
      <c r="FN97" s="7">
        <f>'AS400'!FJ97</f>
        <v>1</v>
      </c>
      <c r="FO97" s="7">
        <f>'AS400'!FO97</f>
        <v>0</v>
      </c>
      <c r="FP97" s="7">
        <f>'AS400'!FP97</f>
        <v>4</v>
      </c>
      <c r="FQ97" s="7">
        <f>'AS400'!FQ97</f>
        <v>1</v>
      </c>
      <c r="FR97" s="7">
        <f>'AS400'!FR97</f>
        <v>1</v>
      </c>
      <c r="FS97" s="13">
        <f>'AS400'!FO97</f>
        <v>0</v>
      </c>
    </row>
    <row r="98" spans="1:175">
      <c r="A98" s="7">
        <f>'AS400'!A98</f>
        <v>92</v>
      </c>
      <c r="B98" s="7">
        <f>'AS400'!B98</f>
        <v>20190301</v>
      </c>
      <c r="C98" s="7">
        <f>'AS400'!C98</f>
        <v>0</v>
      </c>
      <c r="D98" s="7" t="str">
        <f>'AS400'!D98</f>
        <v>N</v>
      </c>
      <c r="E98" s="7" t="str">
        <f>'AS400'!E98</f>
        <v>N</v>
      </c>
      <c r="F98" s="7" t="str">
        <f>'AS400'!F98</f>
        <v>Y</v>
      </c>
      <c r="G98" s="7">
        <f>'AS400'!G98</f>
        <v>0</v>
      </c>
      <c r="H98" s="14"/>
      <c r="I98" s="7" t="str">
        <f>'AS400'!I98</f>
        <v>RSA</v>
      </c>
      <c r="J98" s="7" t="str">
        <f>'AS400'!J98</f>
        <v>METR</v>
      </c>
      <c r="K98" s="7" t="str">
        <f>'AS400'!K98</f>
        <v>N</v>
      </c>
      <c r="L98" s="7">
        <f>'AS400'!L98</f>
        <v>4</v>
      </c>
      <c r="M98" s="8">
        <f>'AS400'!M98</f>
        <v>1</v>
      </c>
      <c r="N98" s="7">
        <f>'AS400'!N98</f>
        <v>1</v>
      </c>
      <c r="O98" s="7" t="str">
        <f>'AS400'!O98</f>
        <v>MFCL</v>
      </c>
      <c r="P98" s="7">
        <f>'AS400'!P98</f>
        <v>100</v>
      </c>
      <c r="Q98" s="7">
        <f>'AS400'!Q98</f>
        <v>20180301</v>
      </c>
      <c r="R98" s="7">
        <f>'AS400'!R98</f>
        <v>20180301</v>
      </c>
      <c r="S98" s="7" t="str">
        <f>'AS400'!S98</f>
        <v>M</v>
      </c>
      <c r="T98" s="7" t="str">
        <f>'AS400'!T98</f>
        <v>ME</v>
      </c>
      <c r="U98" s="7">
        <f>'AS400'!U98</f>
        <v>20190301</v>
      </c>
      <c r="V98" s="7">
        <f>'AS400'!V98</f>
        <v>10</v>
      </c>
      <c r="W98" s="7">
        <f>'AS400'!W98</f>
        <v>10</v>
      </c>
      <c r="X98" s="7" t="str">
        <f>'AS400'!X98</f>
        <v>MFIX</v>
      </c>
      <c r="Y98" s="7">
        <f>'AS400'!Y98</f>
        <v>0</v>
      </c>
      <c r="Z98" s="7" t="str">
        <f>'AS400'!Z98</f>
        <v>STLV</v>
      </c>
      <c r="AA98" s="7">
        <f>'AS400'!AA98</f>
        <v>818</v>
      </c>
      <c r="AB98" s="7">
        <f>'AS400'!AB98</f>
        <v>0</v>
      </c>
      <c r="AC98" s="7">
        <f>'AS400'!AC98</f>
        <v>12</v>
      </c>
      <c r="AD98" s="7">
        <f>'AS400'!AD98</f>
        <v>20180201</v>
      </c>
      <c r="AE98" s="7">
        <f>'AS400'!AE98</f>
        <v>0</v>
      </c>
      <c r="AF98" s="7">
        <f>'AS400'!AF98</f>
        <v>5000</v>
      </c>
      <c r="AG98" s="7">
        <f>'AS400'!AG98</f>
        <v>42</v>
      </c>
      <c r="AI98" s="7">
        <f>'AS400'!AH98</f>
        <v>23</v>
      </c>
      <c r="AJ98" s="7">
        <f>'AS400'!AI98</f>
        <v>0</v>
      </c>
      <c r="AK98" s="7">
        <f>'AS400'!AJ98</f>
        <v>0</v>
      </c>
      <c r="AL98" s="7">
        <f>'AS400'!AK98</f>
        <v>0</v>
      </c>
      <c r="AM98" s="7">
        <f>'AS400'!AL98</f>
        <v>0</v>
      </c>
      <c r="AN98" s="7">
        <f>'AS400'!AM98</f>
        <v>0</v>
      </c>
      <c r="AO98" s="7">
        <f>'AS400'!AN98</f>
        <v>0</v>
      </c>
      <c r="AP98" s="7">
        <f>'AS400'!AO98</f>
        <v>0</v>
      </c>
      <c r="AQ98" s="7">
        <f>'AS400'!AP98</f>
        <v>0</v>
      </c>
      <c r="AR98" s="7">
        <f>'AS400'!AQ98</f>
        <v>0</v>
      </c>
      <c r="AS98" s="7">
        <f>'AS400'!AR98</f>
        <v>0</v>
      </c>
      <c r="AT98" s="7">
        <f>'AS400'!AS98</f>
        <v>0</v>
      </c>
      <c r="AU98" s="7">
        <f>'AS400'!AT98</f>
        <v>0</v>
      </c>
      <c r="AV98" s="7">
        <f>'AS400'!AU98</f>
        <v>0</v>
      </c>
      <c r="AW98" s="7">
        <f>'AS400'!AV98</f>
        <v>0</v>
      </c>
      <c r="AX98" s="7">
        <f>'AS400'!AW98</f>
        <v>0</v>
      </c>
      <c r="AY98" s="7">
        <f>'AS400'!AX98</f>
        <v>0</v>
      </c>
      <c r="AZ98" s="8">
        <f>'AS400'!AY98</f>
        <v>1</v>
      </c>
      <c r="BA98" s="7">
        <f>'AS400'!AZ98</f>
        <v>2</v>
      </c>
      <c r="BB98" s="7" t="str">
        <f>'AS400'!BA98</f>
        <v>PURO</v>
      </c>
      <c r="BC98" s="7">
        <f>'AS400'!BB98</f>
        <v>100</v>
      </c>
      <c r="BD98" s="7">
        <f>'AS400'!BC98</f>
        <v>20180301</v>
      </c>
      <c r="BE98" s="7">
        <f>'AS400'!BD98</f>
        <v>20180301</v>
      </c>
      <c r="BF98" s="7" t="str">
        <f>'AS400'!BE98</f>
        <v>S</v>
      </c>
      <c r="BG98" s="7" t="str">
        <f>'AS400'!BF98</f>
        <v>ME</v>
      </c>
      <c r="BH98" s="7">
        <f>'AS400'!BG98</f>
        <v>20180301</v>
      </c>
      <c r="BI98" s="7">
        <f>'AS400'!BH98</f>
        <v>0</v>
      </c>
      <c r="BJ98" s="7">
        <f>'AS400'!BI98</f>
        <v>0</v>
      </c>
      <c r="BK98" s="7">
        <f>'AS400'!BJ98</f>
        <v>0</v>
      </c>
      <c r="BL98" s="7">
        <f>'AS400'!BK98</f>
        <v>0</v>
      </c>
      <c r="BM98" s="7" t="str">
        <f>'AS400'!BL98</f>
        <v>STLV</v>
      </c>
      <c r="BN98" s="7">
        <f>'AS400'!BM98</f>
        <v>818</v>
      </c>
      <c r="BO98" s="7">
        <f>'AS400'!BN98</f>
        <v>0</v>
      </c>
      <c r="BP98" s="7">
        <f>'AS400'!BO98</f>
        <v>12</v>
      </c>
      <c r="BQ98" s="7">
        <f>'AS400'!BP98</f>
        <v>20180201</v>
      </c>
      <c r="BR98" s="7">
        <f>'AS400'!BQ98</f>
        <v>0</v>
      </c>
      <c r="BS98" s="7">
        <f>'AS400'!BR98</f>
        <v>0</v>
      </c>
      <c r="BT98" s="7">
        <f>'AS400'!BS98</f>
        <v>16</v>
      </c>
      <c r="BV98" s="7">
        <f>'AS400'!BT98</f>
        <v>23</v>
      </c>
      <c r="BW98" s="7">
        <f>'AS400'!BU98</f>
        <v>0</v>
      </c>
      <c r="BX98" s="7">
        <f>'AS400'!BV98</f>
        <v>0</v>
      </c>
      <c r="BY98" s="7">
        <f>'AS400'!BW98</f>
        <v>0</v>
      </c>
      <c r="BZ98" s="7">
        <f>'AS400'!BX98</f>
        <v>0</v>
      </c>
      <c r="CA98" s="7">
        <f>'AS400'!BY98</f>
        <v>0</v>
      </c>
      <c r="CB98" s="7">
        <f>'AS400'!BZ98</f>
        <v>0</v>
      </c>
      <c r="CC98" s="7">
        <f>'AS400'!CA98</f>
        <v>0</v>
      </c>
      <c r="CD98" s="7">
        <f>'AS400'!CB98</f>
        <v>0</v>
      </c>
      <c r="CE98" s="7">
        <f>'AS400'!CC98</f>
        <v>0</v>
      </c>
      <c r="CF98" s="7">
        <f>'AS400'!CD98</f>
        <v>0</v>
      </c>
      <c r="CG98" s="7">
        <f>'AS400'!CE98</f>
        <v>0</v>
      </c>
      <c r="CH98" s="7">
        <f>'AS400'!CF98</f>
        <v>0</v>
      </c>
      <c r="CI98" s="7">
        <f>'AS400'!CG98</f>
        <v>0</v>
      </c>
      <c r="CJ98" s="7">
        <f>'AS400'!CH98</f>
        <v>0</v>
      </c>
      <c r="CK98" s="7">
        <f>'AS400'!CI98</f>
        <v>0</v>
      </c>
      <c r="CL98" s="7">
        <f>'AS400'!CJ98</f>
        <v>0</v>
      </c>
      <c r="CM98" s="8">
        <f>'AS400'!CK98</f>
        <v>1</v>
      </c>
      <c r="CN98" s="7">
        <f>'AS400'!CL98</f>
        <v>3</v>
      </c>
      <c r="CO98" s="7" t="str">
        <f>'AS400'!CM98</f>
        <v>PUDT</v>
      </c>
      <c r="CP98" s="7">
        <f>'AS400'!CN98</f>
        <v>100</v>
      </c>
      <c r="CQ98" s="7">
        <f>'AS400'!CO98</f>
        <v>20180301</v>
      </c>
      <c r="CR98" s="7">
        <f>'AS400'!CP98</f>
        <v>20180301</v>
      </c>
      <c r="CS98" s="7" t="str">
        <f>'AS400'!CQ98</f>
        <v>S</v>
      </c>
      <c r="CT98" s="7" t="str">
        <f>'AS400'!CR98</f>
        <v>MT</v>
      </c>
      <c r="CU98" s="7">
        <f>'AS400'!CS98</f>
        <v>20180301</v>
      </c>
      <c r="CV98" s="7">
        <f>'AS400'!CT98</f>
        <v>0</v>
      </c>
      <c r="CW98" s="7">
        <f>'AS400'!CU98</f>
        <v>0</v>
      </c>
      <c r="CX98" s="7">
        <f>'AS400'!CV98</f>
        <v>0</v>
      </c>
      <c r="CY98" s="7">
        <f>'AS400'!CW98</f>
        <v>0</v>
      </c>
      <c r="CZ98" s="7" t="str">
        <f>'AS400'!CX98</f>
        <v>STLV</v>
      </c>
      <c r="DA98" s="7">
        <f>'AS400'!CY98</f>
        <v>818</v>
      </c>
      <c r="DB98" s="7">
        <f>'AS400'!CZ98</f>
        <v>0</v>
      </c>
      <c r="DC98" s="7">
        <f>'AS400'!DA98</f>
        <v>12</v>
      </c>
      <c r="DD98" s="7">
        <f>'AS400'!DB98</f>
        <v>20180201</v>
      </c>
      <c r="DE98" s="7">
        <f>'AS400'!DC98</f>
        <v>0</v>
      </c>
      <c r="DF98" s="7">
        <f>'AS400'!DD98</f>
        <v>0</v>
      </c>
      <c r="DG98" s="7">
        <f>'AS400'!DE98</f>
        <v>16</v>
      </c>
      <c r="DI98" s="7">
        <f>'AS400'!DF98</f>
        <v>23</v>
      </c>
      <c r="DJ98" s="7">
        <f>'AS400'!DG98</f>
        <v>0</v>
      </c>
      <c r="DK98" s="7">
        <f>'AS400'!DH98</f>
        <v>0</v>
      </c>
      <c r="DL98" s="7">
        <f>'AS400'!DI98</f>
        <v>0</v>
      </c>
      <c r="DM98" s="7">
        <f>'AS400'!DJ98</f>
        <v>0</v>
      </c>
      <c r="DN98" s="7">
        <f>'AS400'!DK98</f>
        <v>0</v>
      </c>
      <c r="DO98" s="7">
        <f>'AS400'!DL98</f>
        <v>0</v>
      </c>
      <c r="DP98" s="7">
        <f>'AS400'!DM98</f>
        <v>0</v>
      </c>
      <c r="DQ98" s="7">
        <f>'AS400'!DN98</f>
        <v>0</v>
      </c>
      <c r="DR98" s="7">
        <f>'AS400'!DO98</f>
        <v>0</v>
      </c>
      <c r="DS98" s="7">
        <f>'AS400'!DP98</f>
        <v>0</v>
      </c>
      <c r="DT98" s="7">
        <f>'AS400'!DQ98</f>
        <v>0</v>
      </c>
      <c r="DU98" s="7">
        <f>'AS400'!DR98</f>
        <v>0</v>
      </c>
      <c r="DV98" s="7">
        <f>'AS400'!DS98</f>
        <v>0</v>
      </c>
      <c r="DW98" s="7">
        <f>'AS400'!DT98</f>
        <v>0</v>
      </c>
      <c r="DX98" s="7">
        <f>'AS400'!DU98</f>
        <v>0</v>
      </c>
      <c r="DY98" s="7">
        <f>'AS400'!DV98</f>
        <v>0</v>
      </c>
      <c r="DZ98" s="8">
        <f>'AS400'!DW98</f>
        <v>1</v>
      </c>
      <c r="EA98" s="7">
        <f>'AS400'!DX98</f>
        <v>4</v>
      </c>
      <c r="EB98" s="7" t="str">
        <f>'AS400'!DY98</f>
        <v>PUDS</v>
      </c>
      <c r="EC98" s="7">
        <f>'AS400'!DZ98</f>
        <v>100</v>
      </c>
      <c r="ED98" s="7">
        <f>'AS400'!EA98</f>
        <v>20180301</v>
      </c>
      <c r="EE98" s="7">
        <f>'AS400'!EB98</f>
        <v>20180301</v>
      </c>
      <c r="EF98" s="7" t="str">
        <f>'AS400'!EC98</f>
        <v>S</v>
      </c>
      <c r="EG98" s="7" t="str">
        <f>'AS400'!ED98</f>
        <v>MS</v>
      </c>
      <c r="EH98" s="7">
        <f>'AS400'!EE98</f>
        <v>20180301</v>
      </c>
      <c r="EI98" s="7">
        <f>'AS400'!EF98</f>
        <v>0</v>
      </c>
      <c r="EJ98" s="7">
        <f>'AS400'!EG98</f>
        <v>0</v>
      </c>
      <c r="EK98" s="7">
        <f>'AS400'!EH98</f>
        <v>0</v>
      </c>
      <c r="EL98" s="7">
        <f>'AS400'!EI98</f>
        <v>0</v>
      </c>
      <c r="EM98" s="7" t="str">
        <f>'AS400'!EJ98</f>
        <v>STLV</v>
      </c>
      <c r="EN98" s="7">
        <f>'AS400'!EK98</f>
        <v>818</v>
      </c>
      <c r="EO98" s="7">
        <f>'AS400'!EL98</f>
        <v>0</v>
      </c>
      <c r="EP98" s="7">
        <f>'AS400'!EM98</f>
        <v>12</v>
      </c>
      <c r="EQ98" s="7">
        <f>'AS400'!EN98</f>
        <v>20180201</v>
      </c>
      <c r="ER98" s="7">
        <f>'AS400'!EO98</f>
        <v>0</v>
      </c>
      <c r="ES98" s="7">
        <f>'AS400'!EP98</f>
        <v>0</v>
      </c>
      <c r="ET98" s="7">
        <f>'AS400'!EQ98</f>
        <v>9</v>
      </c>
      <c r="EV98" s="7">
        <f>'AS400'!ER98</f>
        <v>23</v>
      </c>
      <c r="EW98" s="7">
        <f>'AS400'!ES98</f>
        <v>0</v>
      </c>
      <c r="EX98" s="7">
        <f>'AS400'!ET98</f>
        <v>0</v>
      </c>
      <c r="EY98" s="7">
        <f>'AS400'!EU98</f>
        <v>0</v>
      </c>
      <c r="EZ98" s="7">
        <f>'AS400'!EV98</f>
        <v>0</v>
      </c>
      <c r="FA98" s="7">
        <f>'AS400'!EW98</f>
        <v>0</v>
      </c>
      <c r="FB98" s="7">
        <f>'AS400'!EX98</f>
        <v>0</v>
      </c>
      <c r="FC98" s="7">
        <f>'AS400'!EY98</f>
        <v>0</v>
      </c>
      <c r="FD98" s="7">
        <f>'AS400'!EZ98</f>
        <v>0</v>
      </c>
      <c r="FE98" s="7">
        <f>'AS400'!FA98</f>
        <v>0</v>
      </c>
      <c r="FF98" s="7">
        <f>'AS400'!FB98</f>
        <v>0</v>
      </c>
      <c r="FG98" s="7">
        <f>'AS400'!FC98</f>
        <v>0</v>
      </c>
      <c r="FH98" s="7">
        <f>'AS400'!FD98</f>
        <v>0</v>
      </c>
      <c r="FI98" s="7">
        <f>'AS400'!FE98</f>
        <v>0</v>
      </c>
      <c r="FJ98" s="7">
        <f>'AS400'!FF98</f>
        <v>0</v>
      </c>
      <c r="FK98" s="7">
        <f>'AS400'!FG98</f>
        <v>0</v>
      </c>
      <c r="FL98" s="7">
        <f>'AS400'!FH98</f>
        <v>0</v>
      </c>
      <c r="FM98" s="7">
        <f>'AS400'!FI98</f>
        <v>1</v>
      </c>
      <c r="FN98" s="7">
        <f>'AS400'!FJ98</f>
        <v>1</v>
      </c>
      <c r="FO98" s="7">
        <f>'AS400'!FO98</f>
        <v>0</v>
      </c>
      <c r="FP98" s="7">
        <f>'AS400'!FP98</f>
        <v>4</v>
      </c>
      <c r="FQ98" s="7">
        <f>'AS400'!FQ98</f>
        <v>1</v>
      </c>
      <c r="FR98" s="7">
        <f>'AS400'!FR98</f>
        <v>1</v>
      </c>
      <c r="FS98" s="13">
        <f>'AS400'!FO98</f>
        <v>0</v>
      </c>
    </row>
    <row r="99" spans="1:175">
      <c r="A99" s="7">
        <f>'AS400'!A99</f>
        <v>93</v>
      </c>
      <c r="B99" s="7">
        <f>'AS400'!B99</f>
        <v>20190301</v>
      </c>
      <c r="C99" s="7">
        <f>'AS400'!C99</f>
        <v>0</v>
      </c>
      <c r="D99" s="7" t="str">
        <f>'AS400'!D99</f>
        <v>N</v>
      </c>
      <c r="E99" s="7" t="str">
        <f>'AS400'!E99</f>
        <v>N</v>
      </c>
      <c r="F99" s="7" t="str">
        <f>'AS400'!F99</f>
        <v>Y</v>
      </c>
      <c r="G99" s="7">
        <f>'AS400'!G99</f>
        <v>0</v>
      </c>
      <c r="H99" s="14"/>
      <c r="I99" s="7" t="str">
        <f>'AS400'!I99</f>
        <v>RSA</v>
      </c>
      <c r="J99" s="7" t="str">
        <f>'AS400'!J99</f>
        <v>METR</v>
      </c>
      <c r="K99" s="7" t="str">
        <f>'AS400'!K99</f>
        <v>N</v>
      </c>
      <c r="L99" s="7">
        <f>'AS400'!L99</f>
        <v>4</v>
      </c>
      <c r="M99" s="8">
        <f>'AS400'!M99</f>
        <v>1</v>
      </c>
      <c r="N99" s="7">
        <f>'AS400'!N99</f>
        <v>1</v>
      </c>
      <c r="O99" s="7" t="str">
        <f>'AS400'!O99</f>
        <v>MFCL</v>
      </c>
      <c r="P99" s="7">
        <f>'AS400'!P99</f>
        <v>100</v>
      </c>
      <c r="Q99" s="7">
        <f>'AS400'!Q99</f>
        <v>20180301</v>
      </c>
      <c r="R99" s="7">
        <f>'AS400'!R99</f>
        <v>20180301</v>
      </c>
      <c r="S99" s="7" t="str">
        <f>'AS400'!S99</f>
        <v>M</v>
      </c>
      <c r="T99" s="7" t="str">
        <f>'AS400'!T99</f>
        <v>ME</v>
      </c>
      <c r="U99" s="7">
        <f>'AS400'!U99</f>
        <v>20190301</v>
      </c>
      <c r="V99" s="7">
        <f>'AS400'!V99</f>
        <v>10</v>
      </c>
      <c r="W99" s="7">
        <f>'AS400'!W99</f>
        <v>10</v>
      </c>
      <c r="X99" s="7" t="str">
        <f>'AS400'!X99</f>
        <v>MFIX</v>
      </c>
      <c r="Y99" s="7">
        <f>'AS400'!Y99</f>
        <v>0</v>
      </c>
      <c r="Z99" s="7" t="str">
        <f>'AS400'!Z99</f>
        <v>STLV</v>
      </c>
      <c r="AA99" s="7">
        <f>'AS400'!AA99</f>
        <v>818</v>
      </c>
      <c r="AB99" s="7">
        <f>'AS400'!AB99</f>
        <v>0</v>
      </c>
      <c r="AC99" s="7">
        <f>'AS400'!AC99</f>
        <v>12</v>
      </c>
      <c r="AD99" s="7">
        <f>'AS400'!AD99</f>
        <v>20180201</v>
      </c>
      <c r="AE99" s="7">
        <f>'AS400'!AE99</f>
        <v>0</v>
      </c>
      <c r="AF99" s="7">
        <f>'AS400'!AF99</f>
        <v>10000</v>
      </c>
      <c r="AG99" s="7">
        <f>'AS400'!AG99</f>
        <v>51</v>
      </c>
      <c r="AI99" s="7">
        <f>'AS400'!AH99</f>
        <v>24</v>
      </c>
      <c r="AJ99" s="7">
        <f>'AS400'!AI99</f>
        <v>0</v>
      </c>
      <c r="AK99" s="7">
        <f>'AS400'!AJ99</f>
        <v>0</v>
      </c>
      <c r="AL99" s="7">
        <f>'AS400'!AK99</f>
        <v>0</v>
      </c>
      <c r="AM99" s="7">
        <f>'AS400'!AL99</f>
        <v>0</v>
      </c>
      <c r="AN99" s="7">
        <f>'AS400'!AM99</f>
        <v>0</v>
      </c>
      <c r="AO99" s="7">
        <f>'AS400'!AN99</f>
        <v>0</v>
      </c>
      <c r="AP99" s="7">
        <f>'AS400'!AO99</f>
        <v>0</v>
      </c>
      <c r="AQ99" s="7">
        <f>'AS400'!AP99</f>
        <v>0</v>
      </c>
      <c r="AR99" s="7">
        <f>'AS400'!AQ99</f>
        <v>0</v>
      </c>
      <c r="AS99" s="7">
        <f>'AS400'!AR99</f>
        <v>0</v>
      </c>
      <c r="AT99" s="7">
        <f>'AS400'!AS99</f>
        <v>0</v>
      </c>
      <c r="AU99" s="7">
        <f>'AS400'!AT99</f>
        <v>0</v>
      </c>
      <c r="AV99" s="7">
        <f>'AS400'!AU99</f>
        <v>0</v>
      </c>
      <c r="AW99" s="7">
        <f>'AS400'!AV99</f>
        <v>0</v>
      </c>
      <c r="AX99" s="7">
        <f>'AS400'!AW99</f>
        <v>0</v>
      </c>
      <c r="AY99" s="7">
        <f>'AS400'!AX99</f>
        <v>0</v>
      </c>
      <c r="AZ99" s="8">
        <f>'AS400'!AY99</f>
        <v>1</v>
      </c>
      <c r="BA99" s="7">
        <f>'AS400'!AZ99</f>
        <v>2</v>
      </c>
      <c r="BB99" s="7" t="str">
        <f>'AS400'!BA99</f>
        <v>PURO</v>
      </c>
      <c r="BC99" s="7">
        <f>'AS400'!BB99</f>
        <v>100</v>
      </c>
      <c r="BD99" s="7">
        <f>'AS400'!BC99</f>
        <v>20180301</v>
      </c>
      <c r="BE99" s="7">
        <f>'AS400'!BD99</f>
        <v>20180301</v>
      </c>
      <c r="BF99" s="7" t="str">
        <f>'AS400'!BE99</f>
        <v>S</v>
      </c>
      <c r="BG99" s="7" t="str">
        <f>'AS400'!BF99</f>
        <v>ME</v>
      </c>
      <c r="BH99" s="7">
        <f>'AS400'!BG99</f>
        <v>20180301</v>
      </c>
      <c r="BI99" s="7">
        <f>'AS400'!BH99</f>
        <v>0</v>
      </c>
      <c r="BJ99" s="7">
        <f>'AS400'!BI99</f>
        <v>0</v>
      </c>
      <c r="BK99" s="7">
        <f>'AS400'!BJ99</f>
        <v>0</v>
      </c>
      <c r="BL99" s="7">
        <f>'AS400'!BK99</f>
        <v>0</v>
      </c>
      <c r="BM99" s="7" t="str">
        <f>'AS400'!BL99</f>
        <v>STLV</v>
      </c>
      <c r="BN99" s="7">
        <f>'AS400'!BM99</f>
        <v>818</v>
      </c>
      <c r="BO99" s="7">
        <f>'AS400'!BN99</f>
        <v>0</v>
      </c>
      <c r="BP99" s="7">
        <f>'AS400'!BO99</f>
        <v>12</v>
      </c>
      <c r="BQ99" s="7">
        <f>'AS400'!BP99</f>
        <v>20180201</v>
      </c>
      <c r="BR99" s="7">
        <f>'AS400'!BQ99</f>
        <v>0</v>
      </c>
      <c r="BS99" s="7">
        <f>'AS400'!BR99</f>
        <v>0</v>
      </c>
      <c r="BT99" s="7">
        <f>'AS400'!BS99</f>
        <v>18</v>
      </c>
      <c r="BV99" s="7">
        <f>'AS400'!BT99</f>
        <v>24</v>
      </c>
      <c r="BW99" s="7">
        <f>'AS400'!BU99</f>
        <v>0</v>
      </c>
      <c r="BX99" s="7">
        <f>'AS400'!BV99</f>
        <v>0</v>
      </c>
      <c r="BY99" s="7">
        <f>'AS400'!BW99</f>
        <v>0</v>
      </c>
      <c r="BZ99" s="7">
        <f>'AS400'!BX99</f>
        <v>0</v>
      </c>
      <c r="CA99" s="7">
        <f>'AS400'!BY99</f>
        <v>0</v>
      </c>
      <c r="CB99" s="7">
        <f>'AS400'!BZ99</f>
        <v>0</v>
      </c>
      <c r="CC99" s="7">
        <f>'AS400'!CA99</f>
        <v>0</v>
      </c>
      <c r="CD99" s="7">
        <f>'AS400'!CB99</f>
        <v>0</v>
      </c>
      <c r="CE99" s="7">
        <f>'AS400'!CC99</f>
        <v>0</v>
      </c>
      <c r="CF99" s="7">
        <f>'AS400'!CD99</f>
        <v>0</v>
      </c>
      <c r="CG99" s="7">
        <f>'AS400'!CE99</f>
        <v>0</v>
      </c>
      <c r="CH99" s="7">
        <f>'AS400'!CF99</f>
        <v>0</v>
      </c>
      <c r="CI99" s="7">
        <f>'AS400'!CG99</f>
        <v>0</v>
      </c>
      <c r="CJ99" s="7">
        <f>'AS400'!CH99</f>
        <v>0</v>
      </c>
      <c r="CK99" s="7">
        <f>'AS400'!CI99</f>
        <v>0</v>
      </c>
      <c r="CL99" s="7">
        <f>'AS400'!CJ99</f>
        <v>0</v>
      </c>
      <c r="CM99" s="8">
        <f>'AS400'!CK99</f>
        <v>1</v>
      </c>
      <c r="CN99" s="7">
        <f>'AS400'!CL99</f>
        <v>3</v>
      </c>
      <c r="CO99" s="7" t="str">
        <f>'AS400'!CM99</f>
        <v>PUDT</v>
      </c>
      <c r="CP99" s="7">
        <f>'AS400'!CN99</f>
        <v>100</v>
      </c>
      <c r="CQ99" s="7">
        <f>'AS400'!CO99</f>
        <v>20180301</v>
      </c>
      <c r="CR99" s="7">
        <f>'AS400'!CP99</f>
        <v>20180301</v>
      </c>
      <c r="CS99" s="7" t="str">
        <f>'AS400'!CQ99</f>
        <v>S</v>
      </c>
      <c r="CT99" s="7" t="str">
        <f>'AS400'!CR99</f>
        <v>MT</v>
      </c>
      <c r="CU99" s="7">
        <f>'AS400'!CS99</f>
        <v>20180301</v>
      </c>
      <c r="CV99" s="7">
        <f>'AS400'!CT99</f>
        <v>0</v>
      </c>
      <c r="CW99" s="7">
        <f>'AS400'!CU99</f>
        <v>0</v>
      </c>
      <c r="CX99" s="7">
        <f>'AS400'!CV99</f>
        <v>0</v>
      </c>
      <c r="CY99" s="7">
        <f>'AS400'!CW99</f>
        <v>0</v>
      </c>
      <c r="CZ99" s="7" t="str">
        <f>'AS400'!CX99</f>
        <v>STLV</v>
      </c>
      <c r="DA99" s="7">
        <f>'AS400'!CY99</f>
        <v>818</v>
      </c>
      <c r="DB99" s="7">
        <f>'AS400'!CZ99</f>
        <v>0</v>
      </c>
      <c r="DC99" s="7">
        <f>'AS400'!DA99</f>
        <v>12</v>
      </c>
      <c r="DD99" s="7">
        <f>'AS400'!DB99</f>
        <v>20180201</v>
      </c>
      <c r="DE99" s="7">
        <f>'AS400'!DC99</f>
        <v>0</v>
      </c>
      <c r="DF99" s="7">
        <f>'AS400'!DD99</f>
        <v>0</v>
      </c>
      <c r="DG99" s="7">
        <f>'AS400'!DE99</f>
        <v>18</v>
      </c>
      <c r="DI99" s="7">
        <f>'AS400'!DF99</f>
        <v>24</v>
      </c>
      <c r="DJ99" s="7">
        <f>'AS400'!DG99</f>
        <v>0</v>
      </c>
      <c r="DK99" s="7">
        <f>'AS400'!DH99</f>
        <v>0</v>
      </c>
      <c r="DL99" s="7">
        <f>'AS400'!DI99</f>
        <v>0</v>
      </c>
      <c r="DM99" s="7">
        <f>'AS400'!DJ99</f>
        <v>0</v>
      </c>
      <c r="DN99" s="7">
        <f>'AS400'!DK99</f>
        <v>0</v>
      </c>
      <c r="DO99" s="7">
        <f>'AS400'!DL99</f>
        <v>0</v>
      </c>
      <c r="DP99" s="7">
        <f>'AS400'!DM99</f>
        <v>0</v>
      </c>
      <c r="DQ99" s="7">
        <f>'AS400'!DN99</f>
        <v>0</v>
      </c>
      <c r="DR99" s="7">
        <f>'AS400'!DO99</f>
        <v>0</v>
      </c>
      <c r="DS99" s="7">
        <f>'AS400'!DP99</f>
        <v>0</v>
      </c>
      <c r="DT99" s="7">
        <f>'AS400'!DQ99</f>
        <v>0</v>
      </c>
      <c r="DU99" s="7">
        <f>'AS400'!DR99</f>
        <v>0</v>
      </c>
      <c r="DV99" s="7">
        <f>'AS400'!DS99</f>
        <v>0</v>
      </c>
      <c r="DW99" s="7">
        <f>'AS400'!DT99</f>
        <v>0</v>
      </c>
      <c r="DX99" s="7">
        <f>'AS400'!DU99</f>
        <v>0</v>
      </c>
      <c r="DY99" s="7">
        <f>'AS400'!DV99</f>
        <v>0</v>
      </c>
      <c r="DZ99" s="8">
        <f>'AS400'!DW99</f>
        <v>1</v>
      </c>
      <c r="EA99" s="7">
        <f>'AS400'!DX99</f>
        <v>4</v>
      </c>
      <c r="EB99" s="7" t="str">
        <f>'AS400'!DY99</f>
        <v>PUDS</v>
      </c>
      <c r="EC99" s="7">
        <f>'AS400'!DZ99</f>
        <v>100</v>
      </c>
      <c r="ED99" s="7">
        <f>'AS400'!EA99</f>
        <v>20180301</v>
      </c>
      <c r="EE99" s="7">
        <f>'AS400'!EB99</f>
        <v>20180301</v>
      </c>
      <c r="EF99" s="7" t="str">
        <f>'AS400'!EC99</f>
        <v>S</v>
      </c>
      <c r="EG99" s="7" t="str">
        <f>'AS400'!ED99</f>
        <v>MS</v>
      </c>
      <c r="EH99" s="7">
        <f>'AS400'!EE99</f>
        <v>20180301</v>
      </c>
      <c r="EI99" s="7">
        <f>'AS400'!EF99</f>
        <v>0</v>
      </c>
      <c r="EJ99" s="7">
        <f>'AS400'!EG99</f>
        <v>0</v>
      </c>
      <c r="EK99" s="7">
        <f>'AS400'!EH99</f>
        <v>0</v>
      </c>
      <c r="EL99" s="7">
        <f>'AS400'!EI99</f>
        <v>0</v>
      </c>
      <c r="EM99" s="7" t="str">
        <f>'AS400'!EJ99</f>
        <v>STLV</v>
      </c>
      <c r="EN99" s="7">
        <f>'AS400'!EK99</f>
        <v>818</v>
      </c>
      <c r="EO99" s="7">
        <f>'AS400'!EL99</f>
        <v>0</v>
      </c>
      <c r="EP99" s="7">
        <f>'AS400'!EM99</f>
        <v>12</v>
      </c>
      <c r="EQ99" s="7">
        <f>'AS400'!EN99</f>
        <v>20180201</v>
      </c>
      <c r="ER99" s="7">
        <f>'AS400'!EO99</f>
        <v>0</v>
      </c>
      <c r="ES99" s="7">
        <f>'AS400'!EP99</f>
        <v>0</v>
      </c>
      <c r="ET99" s="7">
        <f>'AS400'!EQ99</f>
        <v>9</v>
      </c>
      <c r="EV99" s="7">
        <f>'AS400'!ER99</f>
        <v>24</v>
      </c>
      <c r="EW99" s="7">
        <f>'AS400'!ES99</f>
        <v>0</v>
      </c>
      <c r="EX99" s="7">
        <f>'AS400'!ET99</f>
        <v>0</v>
      </c>
      <c r="EY99" s="7">
        <f>'AS400'!EU99</f>
        <v>0</v>
      </c>
      <c r="EZ99" s="7">
        <f>'AS400'!EV99</f>
        <v>0</v>
      </c>
      <c r="FA99" s="7">
        <f>'AS400'!EW99</f>
        <v>0</v>
      </c>
      <c r="FB99" s="7">
        <f>'AS400'!EX99</f>
        <v>0</v>
      </c>
      <c r="FC99" s="7">
        <f>'AS400'!EY99</f>
        <v>0</v>
      </c>
      <c r="FD99" s="7">
        <f>'AS400'!EZ99</f>
        <v>0</v>
      </c>
      <c r="FE99" s="7">
        <f>'AS400'!FA99</f>
        <v>0</v>
      </c>
      <c r="FF99" s="7">
        <f>'AS400'!FB99</f>
        <v>0</v>
      </c>
      <c r="FG99" s="7">
        <f>'AS400'!FC99</f>
        <v>0</v>
      </c>
      <c r="FH99" s="7">
        <f>'AS400'!FD99</f>
        <v>0</v>
      </c>
      <c r="FI99" s="7">
        <f>'AS400'!FE99</f>
        <v>0</v>
      </c>
      <c r="FJ99" s="7">
        <f>'AS400'!FF99</f>
        <v>0</v>
      </c>
      <c r="FK99" s="7">
        <f>'AS400'!FG99</f>
        <v>0</v>
      </c>
      <c r="FL99" s="7">
        <f>'AS400'!FH99</f>
        <v>0</v>
      </c>
      <c r="FM99" s="7">
        <f>'AS400'!FI99</f>
        <v>1</v>
      </c>
      <c r="FN99" s="7">
        <f>'AS400'!FJ99</f>
        <v>1</v>
      </c>
      <c r="FO99" s="7">
        <f>'AS400'!FO99</f>
        <v>0</v>
      </c>
      <c r="FP99" s="7">
        <f>'AS400'!FP99</f>
        <v>4</v>
      </c>
      <c r="FQ99" s="7">
        <f>'AS400'!FQ99</f>
        <v>1</v>
      </c>
      <c r="FR99" s="7">
        <f>'AS400'!FR99</f>
        <v>1</v>
      </c>
      <c r="FS99" s="13">
        <f>'AS400'!FO99</f>
        <v>0</v>
      </c>
    </row>
    <row r="100" spans="1:175">
      <c r="A100" s="7">
        <f>'AS400'!A100</f>
        <v>94</v>
      </c>
      <c r="B100" s="7">
        <f>'AS400'!B100</f>
        <v>20190301</v>
      </c>
      <c r="C100" s="7">
        <f>'AS400'!C100</f>
        <v>0</v>
      </c>
      <c r="D100" s="7" t="str">
        <f>'AS400'!D100</f>
        <v>N</v>
      </c>
      <c r="E100" s="7" t="str">
        <f>'AS400'!E100</f>
        <v>N</v>
      </c>
      <c r="F100" s="7" t="str">
        <f>'AS400'!F100</f>
        <v>Y</v>
      </c>
      <c r="G100" s="7">
        <f>'AS400'!G100</f>
        <v>0</v>
      </c>
      <c r="H100" s="14"/>
      <c r="I100" s="7" t="str">
        <f>'AS400'!I100</f>
        <v>RSA</v>
      </c>
      <c r="J100" s="7" t="str">
        <f>'AS400'!J100</f>
        <v>METR</v>
      </c>
      <c r="K100" s="7" t="str">
        <f>'AS400'!K100</f>
        <v>N</v>
      </c>
      <c r="L100" s="7">
        <f>'AS400'!L100</f>
        <v>4</v>
      </c>
      <c r="M100" s="8">
        <f>'AS400'!M100</f>
        <v>1</v>
      </c>
      <c r="N100" s="7">
        <f>'AS400'!N100</f>
        <v>1</v>
      </c>
      <c r="O100" s="7" t="str">
        <f>'AS400'!O100</f>
        <v>MFCL</v>
      </c>
      <c r="P100" s="7">
        <f>'AS400'!P100</f>
        <v>100</v>
      </c>
      <c r="Q100" s="7">
        <f>'AS400'!Q100</f>
        <v>20180301</v>
      </c>
      <c r="R100" s="7">
        <f>'AS400'!R100</f>
        <v>20180301</v>
      </c>
      <c r="S100" s="7" t="str">
        <f>'AS400'!S100</f>
        <v>M</v>
      </c>
      <c r="T100" s="7" t="str">
        <f>'AS400'!T100</f>
        <v>MM</v>
      </c>
      <c r="U100" s="7">
        <f>'AS400'!U100</f>
        <v>20190301</v>
      </c>
      <c r="V100" s="7">
        <f>'AS400'!V100</f>
        <v>10</v>
      </c>
      <c r="W100" s="7">
        <f>'AS400'!W100</f>
        <v>10</v>
      </c>
      <c r="X100" s="7" t="str">
        <f>'AS400'!X100</f>
        <v>MFIX</v>
      </c>
      <c r="Y100" s="7">
        <f>'AS400'!Y100</f>
        <v>0</v>
      </c>
      <c r="Z100" s="7" t="str">
        <f>'AS400'!Z100</f>
        <v>STLV</v>
      </c>
      <c r="AA100" s="7">
        <f>'AS400'!AA100</f>
        <v>818</v>
      </c>
      <c r="AB100" s="7">
        <f>'AS400'!AB100</f>
        <v>0</v>
      </c>
      <c r="AC100" s="7">
        <f>'AS400'!AC100</f>
        <v>12</v>
      </c>
      <c r="AD100" s="7">
        <f>'AS400'!AD100</f>
        <v>20180201</v>
      </c>
      <c r="AE100" s="7">
        <f>'AS400'!AE100</f>
        <v>0</v>
      </c>
      <c r="AF100" s="7">
        <f>'AS400'!AF100</f>
        <v>15000</v>
      </c>
      <c r="AG100" s="7">
        <f>'AS400'!AG100</f>
        <v>60</v>
      </c>
      <c r="AI100" s="7">
        <f>'AS400'!AH100</f>
        <v>25</v>
      </c>
      <c r="AJ100" s="7">
        <f>'AS400'!AI100</f>
        <v>0</v>
      </c>
      <c r="AK100" s="7">
        <f>'AS400'!AJ100</f>
        <v>0</v>
      </c>
      <c r="AL100" s="7">
        <f>'AS400'!AK100</f>
        <v>0</v>
      </c>
      <c r="AM100" s="7">
        <f>'AS400'!AL100</f>
        <v>0</v>
      </c>
      <c r="AN100" s="7">
        <f>'AS400'!AM100</f>
        <v>0</v>
      </c>
      <c r="AO100" s="7">
        <f>'AS400'!AN100</f>
        <v>0</v>
      </c>
      <c r="AP100" s="7">
        <f>'AS400'!AO100</f>
        <v>0</v>
      </c>
      <c r="AQ100" s="7">
        <f>'AS400'!AP100</f>
        <v>0</v>
      </c>
      <c r="AR100" s="7">
        <f>'AS400'!AQ100</f>
        <v>0</v>
      </c>
      <c r="AS100" s="7">
        <f>'AS400'!AR100</f>
        <v>0</v>
      </c>
      <c r="AT100" s="7">
        <f>'AS400'!AS100</f>
        <v>0</v>
      </c>
      <c r="AU100" s="7">
        <f>'AS400'!AT100</f>
        <v>0</v>
      </c>
      <c r="AV100" s="7">
        <f>'AS400'!AU100</f>
        <v>0</v>
      </c>
      <c r="AW100" s="7">
        <f>'AS400'!AV100</f>
        <v>0</v>
      </c>
      <c r="AX100" s="7">
        <f>'AS400'!AW100</f>
        <v>0</v>
      </c>
      <c r="AY100" s="7">
        <f>'AS400'!AX100</f>
        <v>0</v>
      </c>
      <c r="AZ100" s="8">
        <f>'AS400'!AY100</f>
        <v>1</v>
      </c>
      <c r="BA100" s="7">
        <f>'AS400'!AZ100</f>
        <v>2</v>
      </c>
      <c r="BB100" s="7" t="str">
        <f>'AS400'!BA100</f>
        <v>PURO</v>
      </c>
      <c r="BC100" s="7">
        <f>'AS400'!BB100</f>
        <v>100</v>
      </c>
      <c r="BD100" s="7">
        <f>'AS400'!BC100</f>
        <v>20180301</v>
      </c>
      <c r="BE100" s="7">
        <f>'AS400'!BD100</f>
        <v>20180301</v>
      </c>
      <c r="BF100" s="7" t="str">
        <f>'AS400'!BE100</f>
        <v>S</v>
      </c>
      <c r="BG100" s="7" t="str">
        <f>'AS400'!BF100</f>
        <v>ME</v>
      </c>
      <c r="BH100" s="7">
        <f>'AS400'!BG100</f>
        <v>20180301</v>
      </c>
      <c r="BI100" s="7">
        <f>'AS400'!BH100</f>
        <v>0</v>
      </c>
      <c r="BJ100" s="7">
        <f>'AS400'!BI100</f>
        <v>0</v>
      </c>
      <c r="BK100" s="7">
        <f>'AS400'!BJ100</f>
        <v>0</v>
      </c>
      <c r="BL100" s="7">
        <f>'AS400'!BK100</f>
        <v>0</v>
      </c>
      <c r="BM100" s="7" t="str">
        <f>'AS400'!BL100</f>
        <v>STLV</v>
      </c>
      <c r="BN100" s="7">
        <f>'AS400'!BM100</f>
        <v>818</v>
      </c>
      <c r="BO100" s="7">
        <f>'AS400'!BN100</f>
        <v>0</v>
      </c>
      <c r="BP100" s="7">
        <f>'AS400'!BO100</f>
        <v>12</v>
      </c>
      <c r="BQ100" s="7">
        <f>'AS400'!BP100</f>
        <v>20180201</v>
      </c>
      <c r="BR100" s="7">
        <f>'AS400'!BQ100</f>
        <v>0</v>
      </c>
      <c r="BS100" s="7">
        <f>'AS400'!BR100</f>
        <v>0</v>
      </c>
      <c r="BT100" s="7">
        <f>'AS400'!BS100</f>
        <v>20</v>
      </c>
      <c r="BV100" s="7">
        <f>'AS400'!BT100</f>
        <v>25</v>
      </c>
      <c r="BW100" s="7">
        <f>'AS400'!BU100</f>
        <v>0</v>
      </c>
      <c r="BX100" s="7">
        <f>'AS400'!BV100</f>
        <v>0</v>
      </c>
      <c r="BY100" s="7">
        <f>'AS400'!BW100</f>
        <v>0</v>
      </c>
      <c r="BZ100" s="7">
        <f>'AS400'!BX100</f>
        <v>0</v>
      </c>
      <c r="CA100" s="7">
        <f>'AS400'!BY100</f>
        <v>0</v>
      </c>
      <c r="CB100" s="7">
        <f>'AS400'!BZ100</f>
        <v>0</v>
      </c>
      <c r="CC100" s="7">
        <f>'AS400'!CA100</f>
        <v>0</v>
      </c>
      <c r="CD100" s="7">
        <f>'AS400'!CB100</f>
        <v>0</v>
      </c>
      <c r="CE100" s="7">
        <f>'AS400'!CC100</f>
        <v>0</v>
      </c>
      <c r="CF100" s="7">
        <f>'AS400'!CD100</f>
        <v>0</v>
      </c>
      <c r="CG100" s="7">
        <f>'AS400'!CE100</f>
        <v>0</v>
      </c>
      <c r="CH100" s="7">
        <f>'AS400'!CF100</f>
        <v>0</v>
      </c>
      <c r="CI100" s="7">
        <f>'AS400'!CG100</f>
        <v>0</v>
      </c>
      <c r="CJ100" s="7">
        <f>'AS400'!CH100</f>
        <v>0</v>
      </c>
      <c r="CK100" s="7">
        <f>'AS400'!CI100</f>
        <v>0</v>
      </c>
      <c r="CL100" s="7">
        <f>'AS400'!CJ100</f>
        <v>0</v>
      </c>
      <c r="CM100" s="8">
        <f>'AS400'!CK100</f>
        <v>1</v>
      </c>
      <c r="CN100" s="7">
        <f>'AS400'!CL100</f>
        <v>3</v>
      </c>
      <c r="CO100" s="7" t="str">
        <f>'AS400'!CM100</f>
        <v>PUDT</v>
      </c>
      <c r="CP100" s="7">
        <f>'AS400'!CN100</f>
        <v>100</v>
      </c>
      <c r="CQ100" s="7">
        <f>'AS400'!CO100</f>
        <v>20180301</v>
      </c>
      <c r="CR100" s="7">
        <f>'AS400'!CP100</f>
        <v>20180301</v>
      </c>
      <c r="CS100" s="7" t="str">
        <f>'AS400'!CQ100</f>
        <v>S</v>
      </c>
      <c r="CT100" s="7" t="str">
        <f>'AS400'!CR100</f>
        <v>MT</v>
      </c>
      <c r="CU100" s="7">
        <f>'AS400'!CS100</f>
        <v>20180301</v>
      </c>
      <c r="CV100" s="7">
        <f>'AS400'!CT100</f>
        <v>0</v>
      </c>
      <c r="CW100" s="7">
        <f>'AS400'!CU100</f>
        <v>0</v>
      </c>
      <c r="CX100" s="7">
        <f>'AS400'!CV100</f>
        <v>0</v>
      </c>
      <c r="CY100" s="7">
        <f>'AS400'!CW100</f>
        <v>0</v>
      </c>
      <c r="CZ100" s="7" t="str">
        <f>'AS400'!CX100</f>
        <v>STLV</v>
      </c>
      <c r="DA100" s="7">
        <f>'AS400'!CY100</f>
        <v>818</v>
      </c>
      <c r="DB100" s="7">
        <f>'AS400'!CZ100</f>
        <v>0</v>
      </c>
      <c r="DC100" s="7">
        <f>'AS400'!DA100</f>
        <v>12</v>
      </c>
      <c r="DD100" s="7">
        <f>'AS400'!DB100</f>
        <v>20180201</v>
      </c>
      <c r="DE100" s="7">
        <f>'AS400'!DC100</f>
        <v>0</v>
      </c>
      <c r="DF100" s="7">
        <f>'AS400'!DD100</f>
        <v>0</v>
      </c>
      <c r="DG100" s="7">
        <f>'AS400'!DE100</f>
        <v>21</v>
      </c>
      <c r="DI100" s="7">
        <f>'AS400'!DF100</f>
        <v>25</v>
      </c>
      <c r="DJ100" s="7">
        <f>'AS400'!DG100</f>
        <v>0</v>
      </c>
      <c r="DK100" s="7">
        <f>'AS400'!DH100</f>
        <v>0</v>
      </c>
      <c r="DL100" s="7">
        <f>'AS400'!DI100</f>
        <v>0</v>
      </c>
      <c r="DM100" s="7">
        <f>'AS400'!DJ100</f>
        <v>0</v>
      </c>
      <c r="DN100" s="7">
        <f>'AS400'!DK100</f>
        <v>0</v>
      </c>
      <c r="DO100" s="7">
        <f>'AS400'!DL100</f>
        <v>0</v>
      </c>
      <c r="DP100" s="7">
        <f>'AS400'!DM100</f>
        <v>0</v>
      </c>
      <c r="DQ100" s="7">
        <f>'AS400'!DN100</f>
        <v>0</v>
      </c>
      <c r="DR100" s="7">
        <f>'AS400'!DO100</f>
        <v>0</v>
      </c>
      <c r="DS100" s="7">
        <f>'AS400'!DP100</f>
        <v>0</v>
      </c>
      <c r="DT100" s="7">
        <f>'AS400'!DQ100</f>
        <v>0</v>
      </c>
      <c r="DU100" s="7">
        <f>'AS400'!DR100</f>
        <v>0</v>
      </c>
      <c r="DV100" s="7">
        <f>'AS400'!DS100</f>
        <v>0</v>
      </c>
      <c r="DW100" s="7">
        <f>'AS400'!DT100</f>
        <v>0</v>
      </c>
      <c r="DX100" s="7">
        <f>'AS400'!DU100</f>
        <v>0</v>
      </c>
      <c r="DY100" s="7">
        <f>'AS400'!DV100</f>
        <v>0</v>
      </c>
      <c r="DZ100" s="8">
        <f>'AS400'!DW100</f>
        <v>1</v>
      </c>
      <c r="EA100" s="7">
        <f>'AS400'!DX100</f>
        <v>4</v>
      </c>
      <c r="EB100" s="7" t="str">
        <f>'AS400'!DY100</f>
        <v>PUDS</v>
      </c>
      <c r="EC100" s="7">
        <f>'AS400'!DZ100</f>
        <v>100</v>
      </c>
      <c r="ED100" s="7">
        <f>'AS400'!EA100</f>
        <v>20180301</v>
      </c>
      <c r="EE100" s="7">
        <f>'AS400'!EB100</f>
        <v>20180301</v>
      </c>
      <c r="EF100" s="7" t="str">
        <f>'AS400'!EC100</f>
        <v>S</v>
      </c>
      <c r="EG100" s="7" t="str">
        <f>'AS400'!ED100</f>
        <v>MS</v>
      </c>
      <c r="EH100" s="7">
        <f>'AS400'!EE100</f>
        <v>20180301</v>
      </c>
      <c r="EI100" s="7">
        <f>'AS400'!EF100</f>
        <v>0</v>
      </c>
      <c r="EJ100" s="7">
        <f>'AS400'!EG100</f>
        <v>0</v>
      </c>
      <c r="EK100" s="7">
        <f>'AS400'!EH100</f>
        <v>0</v>
      </c>
      <c r="EL100" s="7">
        <f>'AS400'!EI100</f>
        <v>0</v>
      </c>
      <c r="EM100" s="7" t="str">
        <f>'AS400'!EJ100</f>
        <v>STLV</v>
      </c>
      <c r="EN100" s="7">
        <f>'AS400'!EK100</f>
        <v>818</v>
      </c>
      <c r="EO100" s="7">
        <f>'AS400'!EL100</f>
        <v>0</v>
      </c>
      <c r="EP100" s="7">
        <f>'AS400'!EM100</f>
        <v>12</v>
      </c>
      <c r="EQ100" s="7">
        <f>'AS400'!EN100</f>
        <v>20180201</v>
      </c>
      <c r="ER100" s="7">
        <f>'AS400'!EO100</f>
        <v>0</v>
      </c>
      <c r="ES100" s="7">
        <f>'AS400'!EP100</f>
        <v>0</v>
      </c>
      <c r="ET100" s="7">
        <f>'AS400'!EQ100</f>
        <v>10</v>
      </c>
      <c r="EV100" s="7">
        <f>'AS400'!ER100</f>
        <v>25</v>
      </c>
      <c r="EW100" s="7">
        <f>'AS400'!ES100</f>
        <v>0</v>
      </c>
      <c r="EX100" s="7">
        <f>'AS400'!ET100</f>
        <v>0</v>
      </c>
      <c r="EY100" s="7">
        <f>'AS400'!EU100</f>
        <v>0</v>
      </c>
      <c r="EZ100" s="7">
        <f>'AS400'!EV100</f>
        <v>0</v>
      </c>
      <c r="FA100" s="7">
        <f>'AS400'!EW100</f>
        <v>0</v>
      </c>
      <c r="FB100" s="7">
        <f>'AS400'!EX100</f>
        <v>0</v>
      </c>
      <c r="FC100" s="7">
        <f>'AS400'!EY100</f>
        <v>0</v>
      </c>
      <c r="FD100" s="7">
        <f>'AS400'!EZ100</f>
        <v>0</v>
      </c>
      <c r="FE100" s="7">
        <f>'AS400'!FA100</f>
        <v>0</v>
      </c>
      <c r="FF100" s="7">
        <f>'AS400'!FB100</f>
        <v>0</v>
      </c>
      <c r="FG100" s="7">
        <f>'AS400'!FC100</f>
        <v>0</v>
      </c>
      <c r="FH100" s="7">
        <f>'AS400'!FD100</f>
        <v>0</v>
      </c>
      <c r="FI100" s="7">
        <f>'AS400'!FE100</f>
        <v>0</v>
      </c>
      <c r="FJ100" s="7">
        <f>'AS400'!FF100</f>
        <v>0</v>
      </c>
      <c r="FK100" s="7">
        <f>'AS400'!FG100</f>
        <v>0</v>
      </c>
      <c r="FL100" s="7">
        <f>'AS400'!FH100</f>
        <v>0</v>
      </c>
      <c r="FM100" s="7">
        <f>'AS400'!FI100</f>
        <v>1</v>
      </c>
      <c r="FN100" s="7">
        <f>'AS400'!FJ100</f>
        <v>1</v>
      </c>
      <c r="FO100" s="7">
        <f>'AS400'!FO100</f>
        <v>0</v>
      </c>
      <c r="FP100" s="7">
        <f>'AS400'!FP100</f>
        <v>4</v>
      </c>
      <c r="FQ100" s="7">
        <f>'AS400'!FQ100</f>
        <v>1</v>
      </c>
      <c r="FR100" s="7">
        <f>'AS400'!FR100</f>
        <v>1</v>
      </c>
      <c r="FS100" s="13">
        <f>'AS400'!FO100</f>
        <v>0</v>
      </c>
    </row>
    <row r="101" spans="1:175">
      <c r="A101" s="7">
        <f>'AS400'!A101</f>
        <v>95</v>
      </c>
      <c r="B101" s="7">
        <f>'AS400'!B101</f>
        <v>20190301</v>
      </c>
      <c r="C101" s="7">
        <f>'AS400'!C101</f>
        <v>0</v>
      </c>
      <c r="D101" s="7" t="str">
        <f>'AS400'!D101</f>
        <v>N</v>
      </c>
      <c r="E101" s="7" t="str">
        <f>'AS400'!E101</f>
        <v>N</v>
      </c>
      <c r="F101" s="7" t="str">
        <f>'AS400'!F101</f>
        <v>Y</v>
      </c>
      <c r="G101" s="7">
        <f>'AS400'!G101</f>
        <v>0</v>
      </c>
      <c r="H101" s="14"/>
      <c r="I101" s="7" t="str">
        <f>'AS400'!I101</f>
        <v>RSA</v>
      </c>
      <c r="J101" s="7" t="str">
        <f>'AS400'!J101</f>
        <v>METR</v>
      </c>
      <c r="K101" s="7" t="str">
        <f>'AS400'!K101</f>
        <v>N</v>
      </c>
      <c r="L101" s="7">
        <f>'AS400'!L101</f>
        <v>4</v>
      </c>
      <c r="M101" s="8">
        <f>'AS400'!M101</f>
        <v>1</v>
      </c>
      <c r="N101" s="7">
        <f>'AS400'!N101</f>
        <v>1</v>
      </c>
      <c r="O101" s="7" t="str">
        <f>'AS400'!O101</f>
        <v>MFCL</v>
      </c>
      <c r="P101" s="7">
        <f>'AS400'!P101</f>
        <v>100</v>
      </c>
      <c r="Q101" s="7">
        <f>'AS400'!Q101</f>
        <v>20180301</v>
      </c>
      <c r="R101" s="7">
        <f>'AS400'!R101</f>
        <v>20180301</v>
      </c>
      <c r="S101" s="7" t="str">
        <f>'AS400'!S101</f>
        <v>M</v>
      </c>
      <c r="T101" s="7" t="str">
        <f>'AS400'!T101</f>
        <v>MM</v>
      </c>
      <c r="U101" s="7">
        <f>'AS400'!U101</f>
        <v>20190301</v>
      </c>
      <c r="V101" s="7">
        <f>'AS400'!V101</f>
        <v>10</v>
      </c>
      <c r="W101" s="7">
        <f>'AS400'!W101</f>
        <v>10</v>
      </c>
      <c r="X101" s="7" t="str">
        <f>'AS400'!X101</f>
        <v>MFIX</v>
      </c>
      <c r="Y101" s="7">
        <f>'AS400'!Y101</f>
        <v>0</v>
      </c>
      <c r="Z101" s="7" t="str">
        <f>'AS400'!Z101</f>
        <v>STLV</v>
      </c>
      <c r="AA101" s="7">
        <f>'AS400'!AA101</f>
        <v>818</v>
      </c>
      <c r="AB101" s="7">
        <f>'AS400'!AB101</f>
        <v>0</v>
      </c>
      <c r="AC101" s="7">
        <f>'AS400'!AC101</f>
        <v>12</v>
      </c>
      <c r="AD101" s="7">
        <f>'AS400'!AD101</f>
        <v>20180201</v>
      </c>
      <c r="AE101" s="7">
        <f>'AS400'!AE101</f>
        <v>0</v>
      </c>
      <c r="AF101" s="7">
        <f>'AS400'!AF101</f>
        <v>20000</v>
      </c>
      <c r="AG101" s="7">
        <f>'AS400'!AG101</f>
        <v>87</v>
      </c>
      <c r="AI101" s="7">
        <f>'AS400'!AH101</f>
        <v>26</v>
      </c>
      <c r="AJ101" s="7">
        <f>'AS400'!AI101</f>
        <v>0</v>
      </c>
      <c r="AK101" s="7">
        <f>'AS400'!AJ101</f>
        <v>0</v>
      </c>
      <c r="AL101" s="7">
        <f>'AS400'!AK101</f>
        <v>0</v>
      </c>
      <c r="AM101" s="7">
        <f>'AS400'!AL101</f>
        <v>0</v>
      </c>
      <c r="AN101" s="7">
        <f>'AS400'!AM101</f>
        <v>0</v>
      </c>
      <c r="AO101" s="7">
        <f>'AS400'!AN101</f>
        <v>0</v>
      </c>
      <c r="AP101" s="7">
        <f>'AS400'!AO101</f>
        <v>0</v>
      </c>
      <c r="AQ101" s="7">
        <f>'AS400'!AP101</f>
        <v>0</v>
      </c>
      <c r="AR101" s="7">
        <f>'AS400'!AQ101</f>
        <v>0</v>
      </c>
      <c r="AS101" s="7">
        <f>'AS400'!AR101</f>
        <v>0</v>
      </c>
      <c r="AT101" s="7">
        <f>'AS400'!AS101</f>
        <v>0</v>
      </c>
      <c r="AU101" s="7">
        <f>'AS400'!AT101</f>
        <v>0</v>
      </c>
      <c r="AV101" s="7">
        <f>'AS400'!AU101</f>
        <v>0</v>
      </c>
      <c r="AW101" s="7">
        <f>'AS400'!AV101</f>
        <v>0</v>
      </c>
      <c r="AX101" s="7">
        <f>'AS400'!AW101</f>
        <v>0</v>
      </c>
      <c r="AY101" s="7">
        <f>'AS400'!AX101</f>
        <v>0</v>
      </c>
      <c r="AZ101" s="8">
        <f>'AS400'!AY101</f>
        <v>1</v>
      </c>
      <c r="BA101" s="7">
        <f>'AS400'!AZ101</f>
        <v>2</v>
      </c>
      <c r="BB101" s="7" t="str">
        <f>'AS400'!BA101</f>
        <v>PURO</v>
      </c>
      <c r="BC101" s="7">
        <f>'AS400'!BB101</f>
        <v>100</v>
      </c>
      <c r="BD101" s="7">
        <f>'AS400'!BC101</f>
        <v>20180301</v>
      </c>
      <c r="BE101" s="7">
        <f>'AS400'!BD101</f>
        <v>20180301</v>
      </c>
      <c r="BF101" s="7" t="str">
        <f>'AS400'!BE101</f>
        <v>S</v>
      </c>
      <c r="BG101" s="7" t="str">
        <f>'AS400'!BF101</f>
        <v>ME</v>
      </c>
      <c r="BH101" s="7">
        <f>'AS400'!BG101</f>
        <v>20180301</v>
      </c>
      <c r="BI101" s="7">
        <f>'AS400'!BH101</f>
        <v>0</v>
      </c>
      <c r="BJ101" s="7">
        <f>'AS400'!BI101</f>
        <v>0</v>
      </c>
      <c r="BK101" s="7">
        <f>'AS400'!BJ101</f>
        <v>0</v>
      </c>
      <c r="BL101" s="7">
        <f>'AS400'!BK101</f>
        <v>0</v>
      </c>
      <c r="BM101" s="7" t="str">
        <f>'AS400'!BL101</f>
        <v>STLV</v>
      </c>
      <c r="BN101" s="7">
        <f>'AS400'!BM101</f>
        <v>818</v>
      </c>
      <c r="BO101" s="7">
        <f>'AS400'!BN101</f>
        <v>0</v>
      </c>
      <c r="BP101" s="7">
        <f>'AS400'!BO101</f>
        <v>12</v>
      </c>
      <c r="BQ101" s="7">
        <f>'AS400'!BP101</f>
        <v>20180201</v>
      </c>
      <c r="BR101" s="7">
        <f>'AS400'!BQ101</f>
        <v>0</v>
      </c>
      <c r="BS101" s="7">
        <f>'AS400'!BR101</f>
        <v>0</v>
      </c>
      <c r="BT101" s="7">
        <f>'AS400'!BS101</f>
        <v>23</v>
      </c>
      <c r="BV101" s="7">
        <f>'AS400'!BT101</f>
        <v>26</v>
      </c>
      <c r="BW101" s="7">
        <f>'AS400'!BU101</f>
        <v>0</v>
      </c>
      <c r="BX101" s="7">
        <f>'AS400'!BV101</f>
        <v>0</v>
      </c>
      <c r="BY101" s="7">
        <f>'AS400'!BW101</f>
        <v>0</v>
      </c>
      <c r="BZ101" s="7">
        <f>'AS400'!BX101</f>
        <v>0</v>
      </c>
      <c r="CA101" s="7">
        <f>'AS400'!BY101</f>
        <v>0</v>
      </c>
      <c r="CB101" s="7">
        <f>'AS400'!BZ101</f>
        <v>0</v>
      </c>
      <c r="CC101" s="7">
        <f>'AS400'!CA101</f>
        <v>0</v>
      </c>
      <c r="CD101" s="7">
        <f>'AS400'!CB101</f>
        <v>0</v>
      </c>
      <c r="CE101" s="7">
        <f>'AS400'!CC101</f>
        <v>0</v>
      </c>
      <c r="CF101" s="7">
        <f>'AS400'!CD101</f>
        <v>0</v>
      </c>
      <c r="CG101" s="7">
        <f>'AS400'!CE101</f>
        <v>0</v>
      </c>
      <c r="CH101" s="7">
        <f>'AS400'!CF101</f>
        <v>0</v>
      </c>
      <c r="CI101" s="7">
        <f>'AS400'!CG101</f>
        <v>0</v>
      </c>
      <c r="CJ101" s="7">
        <f>'AS400'!CH101</f>
        <v>0</v>
      </c>
      <c r="CK101" s="7">
        <f>'AS400'!CI101</f>
        <v>0</v>
      </c>
      <c r="CL101" s="7">
        <f>'AS400'!CJ101</f>
        <v>0</v>
      </c>
      <c r="CM101" s="8">
        <f>'AS400'!CK101</f>
        <v>1</v>
      </c>
      <c r="CN101" s="7">
        <f>'AS400'!CL101</f>
        <v>3</v>
      </c>
      <c r="CO101" s="7" t="str">
        <f>'AS400'!CM101</f>
        <v>PUDT</v>
      </c>
      <c r="CP101" s="7">
        <f>'AS400'!CN101</f>
        <v>100</v>
      </c>
      <c r="CQ101" s="7">
        <f>'AS400'!CO101</f>
        <v>20180301</v>
      </c>
      <c r="CR101" s="7">
        <f>'AS400'!CP101</f>
        <v>20180301</v>
      </c>
      <c r="CS101" s="7" t="str">
        <f>'AS400'!CQ101</f>
        <v>S</v>
      </c>
      <c r="CT101" s="7" t="str">
        <f>'AS400'!CR101</f>
        <v>MT</v>
      </c>
      <c r="CU101" s="7">
        <f>'AS400'!CS101</f>
        <v>20180301</v>
      </c>
      <c r="CV101" s="7">
        <f>'AS400'!CT101</f>
        <v>0</v>
      </c>
      <c r="CW101" s="7">
        <f>'AS400'!CU101</f>
        <v>0</v>
      </c>
      <c r="CX101" s="7">
        <f>'AS400'!CV101</f>
        <v>0</v>
      </c>
      <c r="CY101" s="7">
        <f>'AS400'!CW101</f>
        <v>0</v>
      </c>
      <c r="CZ101" s="7" t="str">
        <f>'AS400'!CX101</f>
        <v>STLV</v>
      </c>
      <c r="DA101" s="7">
        <f>'AS400'!CY101</f>
        <v>818</v>
      </c>
      <c r="DB101" s="7">
        <f>'AS400'!CZ101</f>
        <v>0</v>
      </c>
      <c r="DC101" s="7">
        <f>'AS400'!DA101</f>
        <v>12</v>
      </c>
      <c r="DD101" s="7">
        <f>'AS400'!DB101</f>
        <v>20180201</v>
      </c>
      <c r="DE101" s="7">
        <f>'AS400'!DC101</f>
        <v>0</v>
      </c>
      <c r="DF101" s="7">
        <f>'AS400'!DD101</f>
        <v>0</v>
      </c>
      <c r="DG101" s="7">
        <f>'AS400'!DE101</f>
        <v>26</v>
      </c>
      <c r="DI101" s="7">
        <f>'AS400'!DF101</f>
        <v>26</v>
      </c>
      <c r="DJ101" s="7">
        <f>'AS400'!DG101</f>
        <v>0</v>
      </c>
      <c r="DK101" s="7">
        <f>'AS400'!DH101</f>
        <v>0</v>
      </c>
      <c r="DL101" s="7">
        <f>'AS400'!DI101</f>
        <v>0</v>
      </c>
      <c r="DM101" s="7">
        <f>'AS400'!DJ101</f>
        <v>0</v>
      </c>
      <c r="DN101" s="7">
        <f>'AS400'!DK101</f>
        <v>0</v>
      </c>
      <c r="DO101" s="7">
        <f>'AS400'!DL101</f>
        <v>0</v>
      </c>
      <c r="DP101" s="7">
        <f>'AS400'!DM101</f>
        <v>0</v>
      </c>
      <c r="DQ101" s="7">
        <f>'AS400'!DN101</f>
        <v>0</v>
      </c>
      <c r="DR101" s="7">
        <f>'AS400'!DO101</f>
        <v>0</v>
      </c>
      <c r="DS101" s="7">
        <f>'AS400'!DP101</f>
        <v>0</v>
      </c>
      <c r="DT101" s="7">
        <f>'AS400'!DQ101</f>
        <v>0</v>
      </c>
      <c r="DU101" s="7">
        <f>'AS400'!DR101</f>
        <v>0</v>
      </c>
      <c r="DV101" s="7">
        <f>'AS400'!DS101</f>
        <v>0</v>
      </c>
      <c r="DW101" s="7">
        <f>'AS400'!DT101</f>
        <v>0</v>
      </c>
      <c r="DX101" s="7">
        <f>'AS400'!DU101</f>
        <v>0</v>
      </c>
      <c r="DY101" s="7">
        <f>'AS400'!DV101</f>
        <v>0</v>
      </c>
      <c r="DZ101" s="8">
        <f>'AS400'!DW101</f>
        <v>1</v>
      </c>
      <c r="EA101" s="7">
        <f>'AS400'!DX101</f>
        <v>4</v>
      </c>
      <c r="EB101" s="7" t="str">
        <f>'AS400'!DY101</f>
        <v>PUDS</v>
      </c>
      <c r="EC101" s="7">
        <f>'AS400'!DZ101</f>
        <v>100</v>
      </c>
      <c r="ED101" s="7">
        <f>'AS400'!EA101</f>
        <v>20180301</v>
      </c>
      <c r="EE101" s="7">
        <f>'AS400'!EB101</f>
        <v>20180301</v>
      </c>
      <c r="EF101" s="7" t="str">
        <f>'AS400'!EC101</f>
        <v>S</v>
      </c>
      <c r="EG101" s="7" t="str">
        <f>'AS400'!ED101</f>
        <v>MS</v>
      </c>
      <c r="EH101" s="7">
        <f>'AS400'!EE101</f>
        <v>20180301</v>
      </c>
      <c r="EI101" s="7">
        <f>'AS400'!EF101</f>
        <v>0</v>
      </c>
      <c r="EJ101" s="7">
        <f>'AS400'!EG101</f>
        <v>0</v>
      </c>
      <c r="EK101" s="7">
        <f>'AS400'!EH101</f>
        <v>0</v>
      </c>
      <c r="EL101" s="7">
        <f>'AS400'!EI101</f>
        <v>0</v>
      </c>
      <c r="EM101" s="7" t="str">
        <f>'AS400'!EJ101</f>
        <v>STLV</v>
      </c>
      <c r="EN101" s="7">
        <f>'AS400'!EK101</f>
        <v>818</v>
      </c>
      <c r="EO101" s="7">
        <f>'AS400'!EL101</f>
        <v>0</v>
      </c>
      <c r="EP101" s="7">
        <f>'AS400'!EM101</f>
        <v>12</v>
      </c>
      <c r="EQ101" s="7">
        <f>'AS400'!EN101</f>
        <v>20180201</v>
      </c>
      <c r="ER101" s="7">
        <f>'AS400'!EO101</f>
        <v>0</v>
      </c>
      <c r="ES101" s="7">
        <f>'AS400'!EP101</f>
        <v>0</v>
      </c>
      <c r="ET101" s="7">
        <f>'AS400'!EQ101</f>
        <v>11</v>
      </c>
      <c r="EV101" s="7">
        <f>'AS400'!ER101</f>
        <v>26</v>
      </c>
      <c r="EW101" s="7">
        <f>'AS400'!ES101</f>
        <v>0</v>
      </c>
      <c r="EX101" s="7">
        <f>'AS400'!ET101</f>
        <v>0</v>
      </c>
      <c r="EY101" s="7">
        <f>'AS400'!EU101</f>
        <v>0</v>
      </c>
      <c r="EZ101" s="7">
        <f>'AS400'!EV101</f>
        <v>0</v>
      </c>
      <c r="FA101" s="7">
        <f>'AS400'!EW101</f>
        <v>0</v>
      </c>
      <c r="FB101" s="7">
        <f>'AS400'!EX101</f>
        <v>0</v>
      </c>
      <c r="FC101" s="7">
        <f>'AS400'!EY101</f>
        <v>0</v>
      </c>
      <c r="FD101" s="7">
        <f>'AS400'!EZ101</f>
        <v>0</v>
      </c>
      <c r="FE101" s="7">
        <f>'AS400'!FA101</f>
        <v>0</v>
      </c>
      <c r="FF101" s="7">
        <f>'AS400'!FB101</f>
        <v>0</v>
      </c>
      <c r="FG101" s="7">
        <f>'AS400'!FC101</f>
        <v>0</v>
      </c>
      <c r="FH101" s="7">
        <f>'AS400'!FD101</f>
        <v>0</v>
      </c>
      <c r="FI101" s="7">
        <f>'AS400'!FE101</f>
        <v>0</v>
      </c>
      <c r="FJ101" s="7">
        <f>'AS400'!FF101</f>
        <v>0</v>
      </c>
      <c r="FK101" s="7">
        <f>'AS400'!FG101</f>
        <v>0</v>
      </c>
      <c r="FL101" s="7">
        <f>'AS400'!FH101</f>
        <v>0</v>
      </c>
      <c r="FM101" s="7">
        <f>'AS400'!FI101</f>
        <v>1</v>
      </c>
      <c r="FN101" s="7">
        <f>'AS400'!FJ101</f>
        <v>1</v>
      </c>
      <c r="FO101" s="7">
        <f>'AS400'!FO101</f>
        <v>0</v>
      </c>
      <c r="FP101" s="7">
        <f>'AS400'!FP101</f>
        <v>4</v>
      </c>
      <c r="FQ101" s="7">
        <f>'AS400'!FQ101</f>
        <v>1</v>
      </c>
      <c r="FR101" s="7">
        <f>'AS400'!FR101</f>
        <v>1</v>
      </c>
      <c r="FS101" s="13">
        <f>'AS400'!FO101</f>
        <v>0</v>
      </c>
    </row>
    <row r="102" spans="1:175">
      <c r="A102" s="7">
        <f>'AS400'!A102</f>
        <v>96</v>
      </c>
      <c r="B102" s="7">
        <f>'AS400'!B102</f>
        <v>20190301</v>
      </c>
      <c r="C102" s="7">
        <f>'AS400'!C102</f>
        <v>0</v>
      </c>
      <c r="D102" s="7" t="str">
        <f>'AS400'!D102</f>
        <v>N</v>
      </c>
      <c r="E102" s="7" t="str">
        <f>'AS400'!E102</f>
        <v>N</v>
      </c>
      <c r="F102" s="7" t="str">
        <f>'AS400'!F102</f>
        <v>Y</v>
      </c>
      <c r="G102" s="7">
        <f>'AS400'!G102</f>
        <v>0</v>
      </c>
      <c r="H102" s="14"/>
      <c r="I102" s="7" t="str">
        <f>'AS400'!I102</f>
        <v>RSA</v>
      </c>
      <c r="J102" s="7" t="str">
        <f>'AS400'!J102</f>
        <v>METR</v>
      </c>
      <c r="K102" s="7" t="str">
        <f>'AS400'!K102</f>
        <v>N</v>
      </c>
      <c r="L102" s="7">
        <f>'AS400'!L102</f>
        <v>4</v>
      </c>
      <c r="M102" s="8">
        <f>'AS400'!M102</f>
        <v>1</v>
      </c>
      <c r="N102" s="7">
        <f>'AS400'!N102</f>
        <v>1</v>
      </c>
      <c r="O102" s="7" t="str">
        <f>'AS400'!O102</f>
        <v>MFCL</v>
      </c>
      <c r="P102" s="7">
        <f>'AS400'!P102</f>
        <v>100</v>
      </c>
      <c r="Q102" s="7">
        <f>'AS400'!Q102</f>
        <v>20180301</v>
      </c>
      <c r="R102" s="7">
        <f>'AS400'!R102</f>
        <v>20180301</v>
      </c>
      <c r="S102" s="7" t="str">
        <f>'AS400'!S102</f>
        <v>M</v>
      </c>
      <c r="T102" s="7" t="str">
        <f>'AS400'!T102</f>
        <v>MM</v>
      </c>
      <c r="U102" s="7">
        <f>'AS400'!U102</f>
        <v>20190301</v>
      </c>
      <c r="V102" s="7">
        <f>'AS400'!V102</f>
        <v>6</v>
      </c>
      <c r="W102" s="7">
        <f>'AS400'!W102</f>
        <v>6</v>
      </c>
      <c r="X102" s="7" t="str">
        <f>'AS400'!X102</f>
        <v>MFIX</v>
      </c>
      <c r="Y102" s="7">
        <f>'AS400'!Y102</f>
        <v>0</v>
      </c>
      <c r="Z102" s="7" t="str">
        <f>'AS400'!Z102</f>
        <v>STLV</v>
      </c>
      <c r="AA102" s="7">
        <f>'AS400'!AA102</f>
        <v>818</v>
      </c>
      <c r="AB102" s="7">
        <f>'AS400'!AB102</f>
        <v>0</v>
      </c>
      <c r="AC102" s="7">
        <f>'AS400'!AC102</f>
        <v>12</v>
      </c>
      <c r="AD102" s="7">
        <f>'AS400'!AD102</f>
        <v>20180201</v>
      </c>
      <c r="AE102" s="7">
        <f>'AS400'!AE102</f>
        <v>0</v>
      </c>
      <c r="AF102" s="7">
        <f>'AS400'!AF102</f>
        <v>25000</v>
      </c>
      <c r="AG102" s="7">
        <f>'AS400'!AG102</f>
        <v>101</v>
      </c>
      <c r="AI102" s="7">
        <f>'AS400'!AH102</f>
        <v>27</v>
      </c>
      <c r="AJ102" s="7">
        <f>'AS400'!AI102</f>
        <v>0</v>
      </c>
      <c r="AK102" s="7">
        <f>'AS400'!AJ102</f>
        <v>0</v>
      </c>
      <c r="AL102" s="7">
        <f>'AS400'!AK102</f>
        <v>0</v>
      </c>
      <c r="AM102" s="7">
        <f>'AS400'!AL102</f>
        <v>0</v>
      </c>
      <c r="AN102" s="7">
        <f>'AS400'!AM102</f>
        <v>0</v>
      </c>
      <c r="AO102" s="7">
        <f>'AS400'!AN102</f>
        <v>0</v>
      </c>
      <c r="AP102" s="7">
        <f>'AS400'!AO102</f>
        <v>0</v>
      </c>
      <c r="AQ102" s="7">
        <f>'AS400'!AP102</f>
        <v>0</v>
      </c>
      <c r="AR102" s="7">
        <f>'AS400'!AQ102</f>
        <v>0</v>
      </c>
      <c r="AS102" s="7">
        <f>'AS400'!AR102</f>
        <v>0</v>
      </c>
      <c r="AT102" s="7">
        <f>'AS400'!AS102</f>
        <v>0</v>
      </c>
      <c r="AU102" s="7">
        <f>'AS400'!AT102</f>
        <v>0</v>
      </c>
      <c r="AV102" s="7">
        <f>'AS400'!AU102</f>
        <v>0</v>
      </c>
      <c r="AW102" s="7">
        <f>'AS400'!AV102</f>
        <v>0</v>
      </c>
      <c r="AX102" s="7">
        <f>'AS400'!AW102</f>
        <v>0</v>
      </c>
      <c r="AY102" s="7">
        <f>'AS400'!AX102</f>
        <v>0</v>
      </c>
      <c r="AZ102" s="8">
        <f>'AS400'!AY102</f>
        <v>1</v>
      </c>
      <c r="BA102" s="7">
        <f>'AS400'!AZ102</f>
        <v>2</v>
      </c>
      <c r="BB102" s="7" t="str">
        <f>'AS400'!BA102</f>
        <v>PURO</v>
      </c>
      <c r="BC102" s="7">
        <f>'AS400'!BB102</f>
        <v>100</v>
      </c>
      <c r="BD102" s="7">
        <f>'AS400'!BC102</f>
        <v>20180301</v>
      </c>
      <c r="BE102" s="7">
        <f>'AS400'!BD102</f>
        <v>20180301</v>
      </c>
      <c r="BF102" s="7" t="str">
        <f>'AS400'!BE102</f>
        <v>S</v>
      </c>
      <c r="BG102" s="7" t="str">
        <f>'AS400'!BF102</f>
        <v>ME</v>
      </c>
      <c r="BH102" s="7">
        <f>'AS400'!BG102</f>
        <v>20180301</v>
      </c>
      <c r="BI102" s="7">
        <f>'AS400'!BH102</f>
        <v>0</v>
      </c>
      <c r="BJ102" s="7">
        <f>'AS400'!BI102</f>
        <v>0</v>
      </c>
      <c r="BK102" s="7">
        <f>'AS400'!BJ102</f>
        <v>0</v>
      </c>
      <c r="BL102" s="7">
        <f>'AS400'!BK102</f>
        <v>0</v>
      </c>
      <c r="BM102" s="7" t="str">
        <f>'AS400'!BL102</f>
        <v>STLV</v>
      </c>
      <c r="BN102" s="7">
        <f>'AS400'!BM102</f>
        <v>818</v>
      </c>
      <c r="BO102" s="7">
        <f>'AS400'!BN102</f>
        <v>0</v>
      </c>
      <c r="BP102" s="7">
        <f>'AS400'!BO102</f>
        <v>12</v>
      </c>
      <c r="BQ102" s="7">
        <f>'AS400'!BP102</f>
        <v>20180201</v>
      </c>
      <c r="BR102" s="7">
        <f>'AS400'!BQ102</f>
        <v>0</v>
      </c>
      <c r="BS102" s="7">
        <f>'AS400'!BR102</f>
        <v>0</v>
      </c>
      <c r="BT102" s="7">
        <f>'AS400'!BS102</f>
        <v>26</v>
      </c>
      <c r="BV102" s="7">
        <f>'AS400'!BT102</f>
        <v>27</v>
      </c>
      <c r="BW102" s="7">
        <f>'AS400'!BU102</f>
        <v>0</v>
      </c>
      <c r="BX102" s="7">
        <f>'AS400'!BV102</f>
        <v>0</v>
      </c>
      <c r="BY102" s="7">
        <f>'AS400'!BW102</f>
        <v>0</v>
      </c>
      <c r="BZ102" s="7">
        <f>'AS400'!BX102</f>
        <v>0</v>
      </c>
      <c r="CA102" s="7">
        <f>'AS400'!BY102</f>
        <v>0</v>
      </c>
      <c r="CB102" s="7">
        <f>'AS400'!BZ102</f>
        <v>0</v>
      </c>
      <c r="CC102" s="7">
        <f>'AS400'!CA102</f>
        <v>0</v>
      </c>
      <c r="CD102" s="7">
        <f>'AS400'!CB102</f>
        <v>0</v>
      </c>
      <c r="CE102" s="7">
        <f>'AS400'!CC102</f>
        <v>0</v>
      </c>
      <c r="CF102" s="7">
        <f>'AS400'!CD102</f>
        <v>0</v>
      </c>
      <c r="CG102" s="7">
        <f>'AS400'!CE102</f>
        <v>0</v>
      </c>
      <c r="CH102" s="7">
        <f>'AS400'!CF102</f>
        <v>0</v>
      </c>
      <c r="CI102" s="7">
        <f>'AS400'!CG102</f>
        <v>0</v>
      </c>
      <c r="CJ102" s="7">
        <f>'AS400'!CH102</f>
        <v>0</v>
      </c>
      <c r="CK102" s="7">
        <f>'AS400'!CI102</f>
        <v>0</v>
      </c>
      <c r="CL102" s="7">
        <f>'AS400'!CJ102</f>
        <v>0</v>
      </c>
      <c r="CM102" s="8">
        <f>'AS400'!CK102</f>
        <v>1</v>
      </c>
      <c r="CN102" s="7">
        <f>'AS400'!CL102</f>
        <v>3</v>
      </c>
      <c r="CO102" s="7" t="str">
        <f>'AS400'!CM102</f>
        <v>PUDT</v>
      </c>
      <c r="CP102" s="7">
        <f>'AS400'!CN102</f>
        <v>100</v>
      </c>
      <c r="CQ102" s="7">
        <f>'AS400'!CO102</f>
        <v>20180301</v>
      </c>
      <c r="CR102" s="7">
        <f>'AS400'!CP102</f>
        <v>20180301</v>
      </c>
      <c r="CS102" s="7" t="str">
        <f>'AS400'!CQ102</f>
        <v>S</v>
      </c>
      <c r="CT102" s="7" t="str">
        <f>'AS400'!CR102</f>
        <v>MT</v>
      </c>
      <c r="CU102" s="7">
        <f>'AS400'!CS102</f>
        <v>20180301</v>
      </c>
      <c r="CV102" s="7">
        <f>'AS400'!CT102</f>
        <v>0</v>
      </c>
      <c r="CW102" s="7">
        <f>'AS400'!CU102</f>
        <v>0</v>
      </c>
      <c r="CX102" s="7">
        <f>'AS400'!CV102</f>
        <v>0</v>
      </c>
      <c r="CY102" s="7">
        <f>'AS400'!CW102</f>
        <v>0</v>
      </c>
      <c r="CZ102" s="7" t="str">
        <f>'AS400'!CX102</f>
        <v>STLV</v>
      </c>
      <c r="DA102" s="7">
        <f>'AS400'!CY102</f>
        <v>818</v>
      </c>
      <c r="DB102" s="7">
        <f>'AS400'!CZ102</f>
        <v>0</v>
      </c>
      <c r="DC102" s="7">
        <f>'AS400'!DA102</f>
        <v>12</v>
      </c>
      <c r="DD102" s="7">
        <f>'AS400'!DB102</f>
        <v>20180201</v>
      </c>
      <c r="DE102" s="7">
        <f>'AS400'!DC102</f>
        <v>0</v>
      </c>
      <c r="DF102" s="7">
        <f>'AS400'!DD102</f>
        <v>0</v>
      </c>
      <c r="DG102" s="7">
        <f>'AS400'!DE102</f>
        <v>29</v>
      </c>
      <c r="DI102" s="7">
        <f>'AS400'!DF102</f>
        <v>27</v>
      </c>
      <c r="DJ102" s="7">
        <f>'AS400'!DG102</f>
        <v>0</v>
      </c>
      <c r="DK102" s="7">
        <f>'AS400'!DH102</f>
        <v>0</v>
      </c>
      <c r="DL102" s="7">
        <f>'AS400'!DI102</f>
        <v>0</v>
      </c>
      <c r="DM102" s="7">
        <f>'AS400'!DJ102</f>
        <v>0</v>
      </c>
      <c r="DN102" s="7">
        <f>'AS400'!DK102</f>
        <v>0</v>
      </c>
      <c r="DO102" s="7">
        <f>'AS400'!DL102</f>
        <v>0</v>
      </c>
      <c r="DP102" s="7">
        <f>'AS400'!DM102</f>
        <v>0</v>
      </c>
      <c r="DQ102" s="7">
        <f>'AS400'!DN102</f>
        <v>0</v>
      </c>
      <c r="DR102" s="7">
        <f>'AS400'!DO102</f>
        <v>0</v>
      </c>
      <c r="DS102" s="7">
        <f>'AS400'!DP102</f>
        <v>0</v>
      </c>
      <c r="DT102" s="7">
        <f>'AS400'!DQ102</f>
        <v>0</v>
      </c>
      <c r="DU102" s="7">
        <f>'AS400'!DR102</f>
        <v>0</v>
      </c>
      <c r="DV102" s="7">
        <f>'AS400'!DS102</f>
        <v>0</v>
      </c>
      <c r="DW102" s="7">
        <f>'AS400'!DT102</f>
        <v>0</v>
      </c>
      <c r="DX102" s="7">
        <f>'AS400'!DU102</f>
        <v>0</v>
      </c>
      <c r="DY102" s="7">
        <f>'AS400'!DV102</f>
        <v>0</v>
      </c>
      <c r="DZ102" s="8">
        <f>'AS400'!DW102</f>
        <v>1</v>
      </c>
      <c r="EA102" s="7">
        <f>'AS400'!DX102</f>
        <v>4</v>
      </c>
      <c r="EB102" s="7" t="str">
        <f>'AS400'!DY102</f>
        <v>PUDS</v>
      </c>
      <c r="EC102" s="7">
        <f>'AS400'!DZ102</f>
        <v>100</v>
      </c>
      <c r="ED102" s="7">
        <f>'AS400'!EA102</f>
        <v>20180301</v>
      </c>
      <c r="EE102" s="7">
        <f>'AS400'!EB102</f>
        <v>20180301</v>
      </c>
      <c r="EF102" s="7" t="str">
        <f>'AS400'!EC102</f>
        <v>S</v>
      </c>
      <c r="EG102" s="7" t="str">
        <f>'AS400'!ED102</f>
        <v>MS</v>
      </c>
      <c r="EH102" s="7">
        <f>'AS400'!EE102</f>
        <v>20180301</v>
      </c>
      <c r="EI102" s="7">
        <f>'AS400'!EF102</f>
        <v>0</v>
      </c>
      <c r="EJ102" s="7">
        <f>'AS400'!EG102</f>
        <v>0</v>
      </c>
      <c r="EK102" s="7">
        <f>'AS400'!EH102</f>
        <v>0</v>
      </c>
      <c r="EL102" s="7">
        <f>'AS400'!EI102</f>
        <v>0</v>
      </c>
      <c r="EM102" s="7" t="str">
        <f>'AS400'!EJ102</f>
        <v>STLV</v>
      </c>
      <c r="EN102" s="7">
        <f>'AS400'!EK102</f>
        <v>818</v>
      </c>
      <c r="EO102" s="7">
        <f>'AS400'!EL102</f>
        <v>0</v>
      </c>
      <c r="EP102" s="7">
        <f>'AS400'!EM102</f>
        <v>12</v>
      </c>
      <c r="EQ102" s="7">
        <f>'AS400'!EN102</f>
        <v>20180201</v>
      </c>
      <c r="ER102" s="7">
        <f>'AS400'!EO102</f>
        <v>0</v>
      </c>
      <c r="ES102" s="7">
        <f>'AS400'!EP102</f>
        <v>0</v>
      </c>
      <c r="ET102" s="7">
        <f>'AS400'!EQ102</f>
        <v>12</v>
      </c>
      <c r="EV102" s="7">
        <f>'AS400'!ER102</f>
        <v>27</v>
      </c>
      <c r="EW102" s="7">
        <f>'AS400'!ES102</f>
        <v>0</v>
      </c>
      <c r="EX102" s="7">
        <f>'AS400'!ET102</f>
        <v>0</v>
      </c>
      <c r="EY102" s="7">
        <f>'AS400'!EU102</f>
        <v>0</v>
      </c>
      <c r="EZ102" s="7">
        <f>'AS400'!EV102</f>
        <v>0</v>
      </c>
      <c r="FA102" s="7">
        <f>'AS400'!EW102</f>
        <v>0</v>
      </c>
      <c r="FB102" s="7">
        <f>'AS400'!EX102</f>
        <v>0</v>
      </c>
      <c r="FC102" s="7">
        <f>'AS400'!EY102</f>
        <v>0</v>
      </c>
      <c r="FD102" s="7">
        <f>'AS400'!EZ102</f>
        <v>0</v>
      </c>
      <c r="FE102" s="7">
        <f>'AS400'!FA102</f>
        <v>0</v>
      </c>
      <c r="FF102" s="7">
        <f>'AS400'!FB102</f>
        <v>0</v>
      </c>
      <c r="FG102" s="7">
        <f>'AS400'!FC102</f>
        <v>0</v>
      </c>
      <c r="FH102" s="7">
        <f>'AS400'!FD102</f>
        <v>0</v>
      </c>
      <c r="FI102" s="7">
        <f>'AS400'!FE102</f>
        <v>0</v>
      </c>
      <c r="FJ102" s="7">
        <f>'AS400'!FF102</f>
        <v>0</v>
      </c>
      <c r="FK102" s="7">
        <f>'AS400'!FG102</f>
        <v>0</v>
      </c>
      <c r="FL102" s="7">
        <f>'AS400'!FH102</f>
        <v>0</v>
      </c>
      <c r="FM102" s="7">
        <f>'AS400'!FI102</f>
        <v>1</v>
      </c>
      <c r="FN102" s="7">
        <f>'AS400'!FJ102</f>
        <v>1</v>
      </c>
      <c r="FO102" s="7">
        <f>'AS400'!FO102</f>
        <v>0</v>
      </c>
      <c r="FP102" s="7">
        <f>'AS400'!FP102</f>
        <v>4</v>
      </c>
      <c r="FQ102" s="7">
        <f>'AS400'!FQ102</f>
        <v>1</v>
      </c>
      <c r="FR102" s="7">
        <f>'AS400'!FR102</f>
        <v>1</v>
      </c>
      <c r="FS102" s="13">
        <f>'AS400'!FO102</f>
        <v>0</v>
      </c>
    </row>
    <row r="103" spans="1:175">
      <c r="A103" s="7">
        <f>'AS400'!A103</f>
        <v>97</v>
      </c>
      <c r="B103" s="7">
        <f>'AS400'!B103</f>
        <v>20190301</v>
      </c>
      <c r="C103" s="7">
        <f>'AS400'!C103</f>
        <v>0</v>
      </c>
      <c r="D103" s="7" t="str">
        <f>'AS400'!D103</f>
        <v>N</v>
      </c>
      <c r="E103" s="7" t="str">
        <f>'AS400'!E103</f>
        <v>N</v>
      </c>
      <c r="F103" s="7" t="str">
        <f>'AS400'!F103</f>
        <v>Y</v>
      </c>
      <c r="G103" s="7">
        <f>'AS400'!G103</f>
        <v>0</v>
      </c>
      <c r="H103" s="14"/>
      <c r="I103" s="7" t="str">
        <f>'AS400'!I103</f>
        <v>RSA</v>
      </c>
      <c r="J103" s="7" t="str">
        <f>'AS400'!J103</f>
        <v>METR</v>
      </c>
      <c r="K103" s="7" t="str">
        <f>'AS400'!K103</f>
        <v>N</v>
      </c>
      <c r="L103" s="7">
        <f>'AS400'!L103</f>
        <v>4</v>
      </c>
      <c r="M103" s="8">
        <f>'AS400'!M103</f>
        <v>1</v>
      </c>
      <c r="N103" s="7">
        <f>'AS400'!N103</f>
        <v>1</v>
      </c>
      <c r="O103" s="7" t="str">
        <f>'AS400'!O103</f>
        <v>MFCL</v>
      </c>
      <c r="P103" s="7">
        <f>'AS400'!P103</f>
        <v>100</v>
      </c>
      <c r="Q103" s="7">
        <f>'AS400'!Q103</f>
        <v>20180301</v>
      </c>
      <c r="R103" s="7">
        <f>'AS400'!R103</f>
        <v>20180301</v>
      </c>
      <c r="S103" s="7" t="str">
        <f>'AS400'!S103</f>
        <v>M</v>
      </c>
      <c r="T103" s="7" t="str">
        <f>'AS400'!T103</f>
        <v>MM</v>
      </c>
      <c r="U103" s="7">
        <f>'AS400'!U103</f>
        <v>20190301</v>
      </c>
      <c r="V103" s="7">
        <f>'AS400'!V103</f>
        <v>6</v>
      </c>
      <c r="W103" s="7">
        <f>'AS400'!W103</f>
        <v>6</v>
      </c>
      <c r="X103" s="7" t="str">
        <f>'AS400'!X103</f>
        <v>MFIX</v>
      </c>
      <c r="Y103" s="7">
        <f>'AS400'!Y103</f>
        <v>0</v>
      </c>
      <c r="Z103" s="7" t="str">
        <f>'AS400'!Z103</f>
        <v>STLV</v>
      </c>
      <c r="AA103" s="7">
        <f>'AS400'!AA103</f>
        <v>818</v>
      </c>
      <c r="AB103" s="7">
        <f>'AS400'!AB103</f>
        <v>0</v>
      </c>
      <c r="AC103" s="7">
        <f>'AS400'!AC103</f>
        <v>12</v>
      </c>
      <c r="AD103" s="7">
        <f>'AS400'!AD103</f>
        <v>20180201</v>
      </c>
      <c r="AE103" s="7">
        <f>'AS400'!AE103</f>
        <v>0</v>
      </c>
      <c r="AF103" s="7">
        <f>'AS400'!AF103</f>
        <v>30000</v>
      </c>
      <c r="AG103" s="7">
        <f>'AS400'!AG103</f>
        <v>115</v>
      </c>
      <c r="AI103" s="7">
        <f>'AS400'!AH103</f>
        <v>28</v>
      </c>
      <c r="AJ103" s="7">
        <f>'AS400'!AI103</f>
        <v>0</v>
      </c>
      <c r="AK103" s="7">
        <f>'AS400'!AJ103</f>
        <v>0</v>
      </c>
      <c r="AL103" s="7">
        <f>'AS400'!AK103</f>
        <v>0</v>
      </c>
      <c r="AM103" s="7">
        <f>'AS400'!AL103</f>
        <v>0</v>
      </c>
      <c r="AN103" s="7">
        <f>'AS400'!AM103</f>
        <v>0</v>
      </c>
      <c r="AO103" s="7">
        <f>'AS400'!AN103</f>
        <v>0</v>
      </c>
      <c r="AP103" s="7">
        <f>'AS400'!AO103</f>
        <v>0</v>
      </c>
      <c r="AQ103" s="7">
        <f>'AS400'!AP103</f>
        <v>0</v>
      </c>
      <c r="AR103" s="7">
        <f>'AS400'!AQ103</f>
        <v>0</v>
      </c>
      <c r="AS103" s="7">
        <f>'AS400'!AR103</f>
        <v>0</v>
      </c>
      <c r="AT103" s="7">
        <f>'AS400'!AS103</f>
        <v>0</v>
      </c>
      <c r="AU103" s="7">
        <f>'AS400'!AT103</f>
        <v>0</v>
      </c>
      <c r="AV103" s="7">
        <f>'AS400'!AU103</f>
        <v>0</v>
      </c>
      <c r="AW103" s="7">
        <f>'AS400'!AV103</f>
        <v>0</v>
      </c>
      <c r="AX103" s="7">
        <f>'AS400'!AW103</f>
        <v>0</v>
      </c>
      <c r="AY103" s="7">
        <f>'AS400'!AX103</f>
        <v>0</v>
      </c>
      <c r="AZ103" s="8">
        <f>'AS400'!AY103</f>
        <v>1</v>
      </c>
      <c r="BA103" s="7">
        <f>'AS400'!AZ103</f>
        <v>2</v>
      </c>
      <c r="BB103" s="7" t="str">
        <f>'AS400'!BA103</f>
        <v>PURO</v>
      </c>
      <c r="BC103" s="7">
        <f>'AS400'!BB103</f>
        <v>100</v>
      </c>
      <c r="BD103" s="7">
        <f>'AS400'!BC103</f>
        <v>20180301</v>
      </c>
      <c r="BE103" s="7">
        <f>'AS400'!BD103</f>
        <v>20180301</v>
      </c>
      <c r="BF103" s="7" t="str">
        <f>'AS400'!BE103</f>
        <v>S</v>
      </c>
      <c r="BG103" s="7" t="str">
        <f>'AS400'!BF103</f>
        <v>ME</v>
      </c>
      <c r="BH103" s="7">
        <f>'AS400'!BG103</f>
        <v>20180301</v>
      </c>
      <c r="BI103" s="7">
        <f>'AS400'!BH103</f>
        <v>0</v>
      </c>
      <c r="BJ103" s="7">
        <f>'AS400'!BI103</f>
        <v>0</v>
      </c>
      <c r="BK103" s="7">
        <f>'AS400'!BJ103</f>
        <v>0</v>
      </c>
      <c r="BL103" s="7">
        <f>'AS400'!BK103</f>
        <v>0</v>
      </c>
      <c r="BM103" s="7" t="str">
        <f>'AS400'!BL103</f>
        <v>STLV</v>
      </c>
      <c r="BN103" s="7">
        <f>'AS400'!BM103</f>
        <v>818</v>
      </c>
      <c r="BO103" s="7">
        <f>'AS400'!BN103</f>
        <v>0</v>
      </c>
      <c r="BP103" s="7">
        <f>'AS400'!BO103</f>
        <v>12</v>
      </c>
      <c r="BQ103" s="7">
        <f>'AS400'!BP103</f>
        <v>20180201</v>
      </c>
      <c r="BR103" s="7">
        <f>'AS400'!BQ103</f>
        <v>0</v>
      </c>
      <c r="BS103" s="7">
        <f>'AS400'!BR103</f>
        <v>0</v>
      </c>
      <c r="BT103" s="7">
        <f>'AS400'!BS103</f>
        <v>29</v>
      </c>
      <c r="BV103" s="7">
        <f>'AS400'!BT103</f>
        <v>28</v>
      </c>
      <c r="BW103" s="7">
        <f>'AS400'!BU103</f>
        <v>0</v>
      </c>
      <c r="BX103" s="7">
        <f>'AS400'!BV103</f>
        <v>0</v>
      </c>
      <c r="BY103" s="7">
        <f>'AS400'!BW103</f>
        <v>0</v>
      </c>
      <c r="BZ103" s="7">
        <f>'AS400'!BX103</f>
        <v>0</v>
      </c>
      <c r="CA103" s="7">
        <f>'AS400'!BY103</f>
        <v>0</v>
      </c>
      <c r="CB103" s="7">
        <f>'AS400'!BZ103</f>
        <v>0</v>
      </c>
      <c r="CC103" s="7">
        <f>'AS400'!CA103</f>
        <v>0</v>
      </c>
      <c r="CD103" s="7">
        <f>'AS400'!CB103</f>
        <v>0</v>
      </c>
      <c r="CE103" s="7">
        <f>'AS400'!CC103</f>
        <v>0</v>
      </c>
      <c r="CF103" s="7">
        <f>'AS400'!CD103</f>
        <v>0</v>
      </c>
      <c r="CG103" s="7">
        <f>'AS400'!CE103</f>
        <v>0</v>
      </c>
      <c r="CH103" s="7">
        <f>'AS400'!CF103</f>
        <v>0</v>
      </c>
      <c r="CI103" s="7">
        <f>'AS400'!CG103</f>
        <v>0</v>
      </c>
      <c r="CJ103" s="7">
        <f>'AS400'!CH103</f>
        <v>0</v>
      </c>
      <c r="CK103" s="7">
        <f>'AS400'!CI103</f>
        <v>0</v>
      </c>
      <c r="CL103" s="7">
        <f>'AS400'!CJ103</f>
        <v>0</v>
      </c>
      <c r="CM103" s="8">
        <f>'AS400'!CK103</f>
        <v>1</v>
      </c>
      <c r="CN103" s="7">
        <f>'AS400'!CL103</f>
        <v>3</v>
      </c>
      <c r="CO103" s="7" t="str">
        <f>'AS400'!CM103</f>
        <v>PUDT</v>
      </c>
      <c r="CP103" s="7">
        <f>'AS400'!CN103</f>
        <v>100</v>
      </c>
      <c r="CQ103" s="7">
        <f>'AS400'!CO103</f>
        <v>20180301</v>
      </c>
      <c r="CR103" s="7">
        <f>'AS400'!CP103</f>
        <v>20180301</v>
      </c>
      <c r="CS103" s="7" t="str">
        <f>'AS400'!CQ103</f>
        <v>S</v>
      </c>
      <c r="CT103" s="7" t="str">
        <f>'AS400'!CR103</f>
        <v>MT</v>
      </c>
      <c r="CU103" s="7">
        <f>'AS400'!CS103</f>
        <v>20180301</v>
      </c>
      <c r="CV103" s="7">
        <f>'AS400'!CT103</f>
        <v>0</v>
      </c>
      <c r="CW103" s="7">
        <f>'AS400'!CU103</f>
        <v>0</v>
      </c>
      <c r="CX103" s="7">
        <f>'AS400'!CV103</f>
        <v>0</v>
      </c>
      <c r="CY103" s="7">
        <f>'AS400'!CW103</f>
        <v>0</v>
      </c>
      <c r="CZ103" s="7" t="str">
        <f>'AS400'!CX103</f>
        <v>STLV</v>
      </c>
      <c r="DA103" s="7">
        <f>'AS400'!CY103</f>
        <v>818</v>
      </c>
      <c r="DB103" s="7">
        <f>'AS400'!CZ103</f>
        <v>0</v>
      </c>
      <c r="DC103" s="7">
        <f>'AS400'!DA103</f>
        <v>12</v>
      </c>
      <c r="DD103" s="7">
        <f>'AS400'!DB103</f>
        <v>20180201</v>
      </c>
      <c r="DE103" s="7">
        <f>'AS400'!DC103</f>
        <v>0</v>
      </c>
      <c r="DF103" s="7">
        <f>'AS400'!DD103</f>
        <v>0</v>
      </c>
      <c r="DG103" s="7">
        <f>'AS400'!DE103</f>
        <v>33</v>
      </c>
      <c r="DI103" s="7">
        <f>'AS400'!DF103</f>
        <v>28</v>
      </c>
      <c r="DJ103" s="7">
        <f>'AS400'!DG103</f>
        <v>0</v>
      </c>
      <c r="DK103" s="7">
        <f>'AS400'!DH103</f>
        <v>0</v>
      </c>
      <c r="DL103" s="7">
        <f>'AS400'!DI103</f>
        <v>0</v>
      </c>
      <c r="DM103" s="7">
        <f>'AS400'!DJ103</f>
        <v>0</v>
      </c>
      <c r="DN103" s="7">
        <f>'AS400'!DK103</f>
        <v>0</v>
      </c>
      <c r="DO103" s="7">
        <f>'AS400'!DL103</f>
        <v>0</v>
      </c>
      <c r="DP103" s="7">
        <f>'AS400'!DM103</f>
        <v>0</v>
      </c>
      <c r="DQ103" s="7">
        <f>'AS400'!DN103</f>
        <v>0</v>
      </c>
      <c r="DR103" s="7">
        <f>'AS400'!DO103</f>
        <v>0</v>
      </c>
      <c r="DS103" s="7">
        <f>'AS400'!DP103</f>
        <v>0</v>
      </c>
      <c r="DT103" s="7">
        <f>'AS400'!DQ103</f>
        <v>0</v>
      </c>
      <c r="DU103" s="7">
        <f>'AS400'!DR103</f>
        <v>0</v>
      </c>
      <c r="DV103" s="7">
        <f>'AS400'!DS103</f>
        <v>0</v>
      </c>
      <c r="DW103" s="7">
        <f>'AS400'!DT103</f>
        <v>0</v>
      </c>
      <c r="DX103" s="7">
        <f>'AS400'!DU103</f>
        <v>0</v>
      </c>
      <c r="DY103" s="7">
        <f>'AS400'!DV103</f>
        <v>0</v>
      </c>
      <c r="DZ103" s="8">
        <f>'AS400'!DW103</f>
        <v>1</v>
      </c>
      <c r="EA103" s="7">
        <f>'AS400'!DX103</f>
        <v>4</v>
      </c>
      <c r="EB103" s="7" t="str">
        <f>'AS400'!DY103</f>
        <v>PUDS</v>
      </c>
      <c r="EC103" s="7">
        <f>'AS400'!DZ103</f>
        <v>100</v>
      </c>
      <c r="ED103" s="7">
        <f>'AS400'!EA103</f>
        <v>20180301</v>
      </c>
      <c r="EE103" s="7">
        <f>'AS400'!EB103</f>
        <v>20180301</v>
      </c>
      <c r="EF103" s="7" t="str">
        <f>'AS400'!EC103</f>
        <v>S</v>
      </c>
      <c r="EG103" s="7" t="str">
        <f>'AS400'!ED103</f>
        <v>MS</v>
      </c>
      <c r="EH103" s="7">
        <f>'AS400'!EE103</f>
        <v>20180301</v>
      </c>
      <c r="EI103" s="7">
        <f>'AS400'!EF103</f>
        <v>0</v>
      </c>
      <c r="EJ103" s="7">
        <f>'AS400'!EG103</f>
        <v>0</v>
      </c>
      <c r="EK103" s="7">
        <f>'AS400'!EH103</f>
        <v>0</v>
      </c>
      <c r="EL103" s="7">
        <f>'AS400'!EI103</f>
        <v>0</v>
      </c>
      <c r="EM103" s="7" t="str">
        <f>'AS400'!EJ103</f>
        <v>STLV</v>
      </c>
      <c r="EN103" s="7">
        <f>'AS400'!EK103</f>
        <v>818</v>
      </c>
      <c r="EO103" s="7">
        <f>'AS400'!EL103</f>
        <v>0</v>
      </c>
      <c r="EP103" s="7">
        <f>'AS400'!EM103</f>
        <v>12</v>
      </c>
      <c r="EQ103" s="7">
        <f>'AS400'!EN103</f>
        <v>20180201</v>
      </c>
      <c r="ER103" s="7">
        <f>'AS400'!EO103</f>
        <v>0</v>
      </c>
      <c r="ES103" s="7">
        <f>'AS400'!EP103</f>
        <v>0</v>
      </c>
      <c r="ET103" s="7">
        <f>'AS400'!EQ103</f>
        <v>13</v>
      </c>
      <c r="EV103" s="7">
        <f>'AS400'!ER103</f>
        <v>28</v>
      </c>
      <c r="EW103" s="7">
        <f>'AS400'!ES103</f>
        <v>0</v>
      </c>
      <c r="EX103" s="7">
        <f>'AS400'!ET103</f>
        <v>0</v>
      </c>
      <c r="EY103" s="7">
        <f>'AS400'!EU103</f>
        <v>0</v>
      </c>
      <c r="EZ103" s="7">
        <f>'AS400'!EV103</f>
        <v>0</v>
      </c>
      <c r="FA103" s="7">
        <f>'AS400'!EW103</f>
        <v>0</v>
      </c>
      <c r="FB103" s="7">
        <f>'AS400'!EX103</f>
        <v>0</v>
      </c>
      <c r="FC103" s="7">
        <f>'AS400'!EY103</f>
        <v>0</v>
      </c>
      <c r="FD103" s="7">
        <f>'AS400'!EZ103</f>
        <v>0</v>
      </c>
      <c r="FE103" s="7">
        <f>'AS400'!FA103</f>
        <v>0</v>
      </c>
      <c r="FF103" s="7">
        <f>'AS400'!FB103</f>
        <v>0</v>
      </c>
      <c r="FG103" s="7">
        <f>'AS400'!FC103</f>
        <v>0</v>
      </c>
      <c r="FH103" s="7">
        <f>'AS400'!FD103</f>
        <v>0</v>
      </c>
      <c r="FI103" s="7">
        <f>'AS400'!FE103</f>
        <v>0</v>
      </c>
      <c r="FJ103" s="7">
        <f>'AS400'!FF103</f>
        <v>0</v>
      </c>
      <c r="FK103" s="7">
        <f>'AS400'!FG103</f>
        <v>0</v>
      </c>
      <c r="FL103" s="7">
        <f>'AS400'!FH103</f>
        <v>0</v>
      </c>
      <c r="FM103" s="7">
        <f>'AS400'!FI103</f>
        <v>1</v>
      </c>
      <c r="FN103" s="7">
        <f>'AS400'!FJ103</f>
        <v>1</v>
      </c>
      <c r="FO103" s="7">
        <f>'AS400'!FO103</f>
        <v>0</v>
      </c>
      <c r="FP103" s="7">
        <f>'AS400'!FP103</f>
        <v>4</v>
      </c>
      <c r="FQ103" s="7">
        <f>'AS400'!FQ103</f>
        <v>1</v>
      </c>
      <c r="FR103" s="7">
        <f>'AS400'!FR103</f>
        <v>1</v>
      </c>
      <c r="FS103" s="13">
        <f>'AS400'!FO103</f>
        <v>0</v>
      </c>
    </row>
    <row r="104" spans="1:175">
      <c r="A104" s="7">
        <f>'AS400'!A104</f>
        <v>98</v>
      </c>
      <c r="B104" s="7">
        <f>'AS400'!B104</f>
        <v>20190301</v>
      </c>
      <c r="C104" s="7">
        <f>'AS400'!C104</f>
        <v>0</v>
      </c>
      <c r="D104" s="7" t="str">
        <f>'AS400'!D104</f>
        <v>N</v>
      </c>
      <c r="E104" s="7" t="str">
        <f>'AS400'!E104</f>
        <v>N</v>
      </c>
      <c r="F104" s="7" t="str">
        <f>'AS400'!F104</f>
        <v>Y</v>
      </c>
      <c r="G104" s="7">
        <f>'AS400'!G104</f>
        <v>0</v>
      </c>
      <c r="H104" s="14"/>
      <c r="I104" s="7" t="str">
        <f>'AS400'!I104</f>
        <v>RSA</v>
      </c>
      <c r="J104" s="7" t="str">
        <f>'AS400'!J104</f>
        <v>METR</v>
      </c>
      <c r="K104" s="7" t="str">
        <f>'AS400'!K104</f>
        <v>N</v>
      </c>
      <c r="L104" s="7">
        <f>'AS400'!L104</f>
        <v>4</v>
      </c>
      <c r="M104" s="8">
        <f>'AS400'!M104</f>
        <v>1</v>
      </c>
      <c r="N104" s="7">
        <f>'AS400'!N104</f>
        <v>1</v>
      </c>
      <c r="O104" s="7" t="str">
        <f>'AS400'!O104</f>
        <v>MFCL</v>
      </c>
      <c r="P104" s="7">
        <f>'AS400'!P104</f>
        <v>100</v>
      </c>
      <c r="Q104" s="7">
        <f>'AS400'!Q104</f>
        <v>20180301</v>
      </c>
      <c r="R104" s="7">
        <f>'AS400'!R104</f>
        <v>20180301</v>
      </c>
      <c r="S104" s="7" t="str">
        <f>'AS400'!S104</f>
        <v>M</v>
      </c>
      <c r="T104" s="7" t="str">
        <f>'AS400'!T104</f>
        <v>MM</v>
      </c>
      <c r="U104" s="7">
        <f>'AS400'!U104</f>
        <v>20190301</v>
      </c>
      <c r="V104" s="7">
        <f>'AS400'!V104</f>
        <v>6</v>
      </c>
      <c r="W104" s="7">
        <f>'AS400'!W104</f>
        <v>6</v>
      </c>
      <c r="X104" s="7" t="str">
        <f>'AS400'!X104</f>
        <v>MFIX</v>
      </c>
      <c r="Y104" s="7">
        <f>'AS400'!Y104</f>
        <v>0</v>
      </c>
      <c r="Z104" s="7" t="str">
        <f>'AS400'!Z104</f>
        <v>STLV</v>
      </c>
      <c r="AA104" s="7">
        <f>'AS400'!AA104</f>
        <v>818</v>
      </c>
      <c r="AB104" s="7">
        <f>'AS400'!AB104</f>
        <v>0</v>
      </c>
      <c r="AC104" s="7">
        <f>'AS400'!AC104</f>
        <v>12</v>
      </c>
      <c r="AD104" s="7">
        <f>'AS400'!AD104</f>
        <v>20180201</v>
      </c>
      <c r="AE104" s="7">
        <f>'AS400'!AE104</f>
        <v>0</v>
      </c>
      <c r="AF104" s="7">
        <f>'AS400'!AF104</f>
        <v>35000</v>
      </c>
      <c r="AG104" s="7">
        <f>'AS400'!AG104</f>
        <v>128</v>
      </c>
      <c r="AI104" s="7">
        <f>'AS400'!AH104</f>
        <v>29</v>
      </c>
      <c r="AJ104" s="7">
        <f>'AS400'!AI104</f>
        <v>0</v>
      </c>
      <c r="AK104" s="7">
        <f>'AS400'!AJ104</f>
        <v>0</v>
      </c>
      <c r="AL104" s="7">
        <f>'AS400'!AK104</f>
        <v>0</v>
      </c>
      <c r="AM104" s="7">
        <f>'AS400'!AL104</f>
        <v>0</v>
      </c>
      <c r="AN104" s="7">
        <f>'AS400'!AM104</f>
        <v>0</v>
      </c>
      <c r="AO104" s="7">
        <f>'AS400'!AN104</f>
        <v>0</v>
      </c>
      <c r="AP104" s="7">
        <f>'AS400'!AO104</f>
        <v>0</v>
      </c>
      <c r="AQ104" s="7">
        <f>'AS400'!AP104</f>
        <v>0</v>
      </c>
      <c r="AR104" s="7">
        <f>'AS400'!AQ104</f>
        <v>0</v>
      </c>
      <c r="AS104" s="7">
        <f>'AS400'!AR104</f>
        <v>0</v>
      </c>
      <c r="AT104" s="7">
        <f>'AS400'!AS104</f>
        <v>0</v>
      </c>
      <c r="AU104" s="7">
        <f>'AS400'!AT104</f>
        <v>0</v>
      </c>
      <c r="AV104" s="7">
        <f>'AS400'!AU104</f>
        <v>0</v>
      </c>
      <c r="AW104" s="7">
        <f>'AS400'!AV104</f>
        <v>0</v>
      </c>
      <c r="AX104" s="7">
        <f>'AS400'!AW104</f>
        <v>0</v>
      </c>
      <c r="AY104" s="7">
        <f>'AS400'!AX104</f>
        <v>0</v>
      </c>
      <c r="AZ104" s="8">
        <f>'AS400'!AY104</f>
        <v>1</v>
      </c>
      <c r="BA104" s="7">
        <f>'AS400'!AZ104</f>
        <v>2</v>
      </c>
      <c r="BB104" s="7" t="str">
        <f>'AS400'!BA104</f>
        <v>PURO</v>
      </c>
      <c r="BC104" s="7">
        <f>'AS400'!BB104</f>
        <v>100</v>
      </c>
      <c r="BD104" s="7">
        <f>'AS400'!BC104</f>
        <v>20180301</v>
      </c>
      <c r="BE104" s="7">
        <f>'AS400'!BD104</f>
        <v>20180301</v>
      </c>
      <c r="BF104" s="7" t="str">
        <f>'AS400'!BE104</f>
        <v>S</v>
      </c>
      <c r="BG104" s="7" t="str">
        <f>'AS400'!BF104</f>
        <v>ME</v>
      </c>
      <c r="BH104" s="7">
        <f>'AS400'!BG104</f>
        <v>20180301</v>
      </c>
      <c r="BI104" s="7">
        <f>'AS400'!BH104</f>
        <v>0</v>
      </c>
      <c r="BJ104" s="7">
        <f>'AS400'!BI104</f>
        <v>0</v>
      </c>
      <c r="BK104" s="7">
        <f>'AS400'!BJ104</f>
        <v>0</v>
      </c>
      <c r="BL104" s="7">
        <f>'AS400'!BK104</f>
        <v>0</v>
      </c>
      <c r="BM104" s="7" t="str">
        <f>'AS400'!BL104</f>
        <v>STLV</v>
      </c>
      <c r="BN104" s="7">
        <f>'AS400'!BM104</f>
        <v>818</v>
      </c>
      <c r="BO104" s="7">
        <f>'AS400'!BN104</f>
        <v>0</v>
      </c>
      <c r="BP104" s="7">
        <f>'AS400'!BO104</f>
        <v>12</v>
      </c>
      <c r="BQ104" s="7">
        <f>'AS400'!BP104</f>
        <v>20180201</v>
      </c>
      <c r="BR104" s="7">
        <f>'AS400'!BQ104</f>
        <v>0</v>
      </c>
      <c r="BS104" s="7">
        <f>'AS400'!BR104</f>
        <v>0</v>
      </c>
      <c r="BT104" s="7">
        <f>'AS400'!BS104</f>
        <v>31</v>
      </c>
      <c r="BV104" s="7">
        <f>'AS400'!BT104</f>
        <v>29</v>
      </c>
      <c r="BW104" s="7">
        <f>'AS400'!BU104</f>
        <v>0</v>
      </c>
      <c r="BX104" s="7">
        <f>'AS400'!BV104</f>
        <v>0</v>
      </c>
      <c r="BY104" s="7">
        <f>'AS400'!BW104</f>
        <v>0</v>
      </c>
      <c r="BZ104" s="7">
        <f>'AS400'!BX104</f>
        <v>0</v>
      </c>
      <c r="CA104" s="7">
        <f>'AS400'!BY104</f>
        <v>0</v>
      </c>
      <c r="CB104" s="7">
        <f>'AS400'!BZ104</f>
        <v>0</v>
      </c>
      <c r="CC104" s="7">
        <f>'AS400'!CA104</f>
        <v>0</v>
      </c>
      <c r="CD104" s="7">
        <f>'AS400'!CB104</f>
        <v>0</v>
      </c>
      <c r="CE104" s="7">
        <f>'AS400'!CC104</f>
        <v>0</v>
      </c>
      <c r="CF104" s="7">
        <f>'AS400'!CD104</f>
        <v>0</v>
      </c>
      <c r="CG104" s="7">
        <f>'AS400'!CE104</f>
        <v>0</v>
      </c>
      <c r="CH104" s="7">
        <f>'AS400'!CF104</f>
        <v>0</v>
      </c>
      <c r="CI104" s="7">
        <f>'AS400'!CG104</f>
        <v>0</v>
      </c>
      <c r="CJ104" s="7">
        <f>'AS400'!CH104</f>
        <v>0</v>
      </c>
      <c r="CK104" s="7">
        <f>'AS400'!CI104</f>
        <v>0</v>
      </c>
      <c r="CL104" s="7">
        <f>'AS400'!CJ104</f>
        <v>0</v>
      </c>
      <c r="CM104" s="8">
        <f>'AS400'!CK104</f>
        <v>1</v>
      </c>
      <c r="CN104" s="7">
        <f>'AS400'!CL104</f>
        <v>3</v>
      </c>
      <c r="CO104" s="7" t="str">
        <f>'AS400'!CM104</f>
        <v>PUDT</v>
      </c>
      <c r="CP104" s="7">
        <f>'AS400'!CN104</f>
        <v>100</v>
      </c>
      <c r="CQ104" s="7">
        <f>'AS400'!CO104</f>
        <v>20180301</v>
      </c>
      <c r="CR104" s="7">
        <f>'AS400'!CP104</f>
        <v>20180301</v>
      </c>
      <c r="CS104" s="7" t="str">
        <f>'AS400'!CQ104</f>
        <v>S</v>
      </c>
      <c r="CT104" s="7" t="str">
        <f>'AS400'!CR104</f>
        <v>MT</v>
      </c>
      <c r="CU104" s="7">
        <f>'AS400'!CS104</f>
        <v>20180301</v>
      </c>
      <c r="CV104" s="7">
        <f>'AS400'!CT104</f>
        <v>0</v>
      </c>
      <c r="CW104" s="7">
        <f>'AS400'!CU104</f>
        <v>0</v>
      </c>
      <c r="CX104" s="7">
        <f>'AS400'!CV104</f>
        <v>0</v>
      </c>
      <c r="CY104" s="7">
        <f>'AS400'!CW104</f>
        <v>0</v>
      </c>
      <c r="CZ104" s="7" t="str">
        <f>'AS400'!CX104</f>
        <v>STLV</v>
      </c>
      <c r="DA104" s="7">
        <f>'AS400'!CY104</f>
        <v>818</v>
      </c>
      <c r="DB104" s="7">
        <f>'AS400'!CZ104</f>
        <v>0</v>
      </c>
      <c r="DC104" s="7">
        <f>'AS400'!DA104</f>
        <v>12</v>
      </c>
      <c r="DD104" s="7">
        <f>'AS400'!DB104</f>
        <v>20180201</v>
      </c>
      <c r="DE104" s="7">
        <f>'AS400'!DC104</f>
        <v>0</v>
      </c>
      <c r="DF104" s="7">
        <f>'AS400'!DD104</f>
        <v>0</v>
      </c>
      <c r="DG104" s="7">
        <f>'AS400'!DE104</f>
        <v>36</v>
      </c>
      <c r="DI104" s="7">
        <f>'AS400'!DF104</f>
        <v>29</v>
      </c>
      <c r="DJ104" s="7">
        <f>'AS400'!DG104</f>
        <v>0</v>
      </c>
      <c r="DK104" s="7">
        <f>'AS400'!DH104</f>
        <v>0</v>
      </c>
      <c r="DL104" s="7">
        <f>'AS400'!DI104</f>
        <v>0</v>
      </c>
      <c r="DM104" s="7">
        <f>'AS400'!DJ104</f>
        <v>0</v>
      </c>
      <c r="DN104" s="7">
        <f>'AS400'!DK104</f>
        <v>0</v>
      </c>
      <c r="DO104" s="7">
        <f>'AS400'!DL104</f>
        <v>0</v>
      </c>
      <c r="DP104" s="7">
        <f>'AS400'!DM104</f>
        <v>0</v>
      </c>
      <c r="DQ104" s="7">
        <f>'AS400'!DN104</f>
        <v>0</v>
      </c>
      <c r="DR104" s="7">
        <f>'AS400'!DO104</f>
        <v>0</v>
      </c>
      <c r="DS104" s="7">
        <f>'AS400'!DP104</f>
        <v>0</v>
      </c>
      <c r="DT104" s="7">
        <f>'AS400'!DQ104</f>
        <v>0</v>
      </c>
      <c r="DU104" s="7">
        <f>'AS400'!DR104</f>
        <v>0</v>
      </c>
      <c r="DV104" s="7">
        <f>'AS400'!DS104</f>
        <v>0</v>
      </c>
      <c r="DW104" s="7">
        <f>'AS400'!DT104</f>
        <v>0</v>
      </c>
      <c r="DX104" s="7">
        <f>'AS400'!DU104</f>
        <v>0</v>
      </c>
      <c r="DY104" s="7">
        <f>'AS400'!DV104</f>
        <v>0</v>
      </c>
      <c r="DZ104" s="8">
        <f>'AS400'!DW104</f>
        <v>1</v>
      </c>
      <c r="EA104" s="7">
        <f>'AS400'!DX104</f>
        <v>4</v>
      </c>
      <c r="EB104" s="7" t="str">
        <f>'AS400'!DY104</f>
        <v>PUDS</v>
      </c>
      <c r="EC104" s="7">
        <f>'AS400'!DZ104</f>
        <v>100</v>
      </c>
      <c r="ED104" s="7">
        <f>'AS400'!EA104</f>
        <v>20180301</v>
      </c>
      <c r="EE104" s="7">
        <f>'AS400'!EB104</f>
        <v>20180301</v>
      </c>
      <c r="EF104" s="7" t="str">
        <f>'AS400'!EC104</f>
        <v>S</v>
      </c>
      <c r="EG104" s="7" t="str">
        <f>'AS400'!ED104</f>
        <v>MS</v>
      </c>
      <c r="EH104" s="7">
        <f>'AS400'!EE104</f>
        <v>20180301</v>
      </c>
      <c r="EI104" s="7">
        <f>'AS400'!EF104</f>
        <v>0</v>
      </c>
      <c r="EJ104" s="7">
        <f>'AS400'!EG104</f>
        <v>0</v>
      </c>
      <c r="EK104" s="7">
        <f>'AS400'!EH104</f>
        <v>0</v>
      </c>
      <c r="EL104" s="7">
        <f>'AS400'!EI104</f>
        <v>0</v>
      </c>
      <c r="EM104" s="7" t="str">
        <f>'AS400'!EJ104</f>
        <v>STLV</v>
      </c>
      <c r="EN104" s="7">
        <f>'AS400'!EK104</f>
        <v>818</v>
      </c>
      <c r="EO104" s="7">
        <f>'AS400'!EL104</f>
        <v>0</v>
      </c>
      <c r="EP104" s="7">
        <f>'AS400'!EM104</f>
        <v>12</v>
      </c>
      <c r="EQ104" s="7">
        <f>'AS400'!EN104</f>
        <v>20180201</v>
      </c>
      <c r="ER104" s="7">
        <f>'AS400'!EO104</f>
        <v>0</v>
      </c>
      <c r="ES104" s="7">
        <f>'AS400'!EP104</f>
        <v>0</v>
      </c>
      <c r="ET104" s="7">
        <f>'AS400'!EQ104</f>
        <v>14</v>
      </c>
      <c r="EV104" s="7">
        <f>'AS400'!ER104</f>
        <v>29</v>
      </c>
      <c r="EW104" s="7">
        <f>'AS400'!ES104</f>
        <v>0</v>
      </c>
      <c r="EX104" s="7">
        <f>'AS400'!ET104</f>
        <v>0</v>
      </c>
      <c r="EY104" s="7">
        <f>'AS400'!EU104</f>
        <v>0</v>
      </c>
      <c r="EZ104" s="7">
        <f>'AS400'!EV104</f>
        <v>0</v>
      </c>
      <c r="FA104" s="7">
        <f>'AS400'!EW104</f>
        <v>0</v>
      </c>
      <c r="FB104" s="7">
        <f>'AS400'!EX104</f>
        <v>0</v>
      </c>
      <c r="FC104" s="7">
        <f>'AS400'!EY104</f>
        <v>0</v>
      </c>
      <c r="FD104" s="7">
        <f>'AS400'!EZ104</f>
        <v>0</v>
      </c>
      <c r="FE104" s="7">
        <f>'AS400'!FA104</f>
        <v>0</v>
      </c>
      <c r="FF104" s="7">
        <f>'AS400'!FB104</f>
        <v>0</v>
      </c>
      <c r="FG104" s="7">
        <f>'AS400'!FC104</f>
        <v>0</v>
      </c>
      <c r="FH104" s="7">
        <f>'AS400'!FD104</f>
        <v>0</v>
      </c>
      <c r="FI104" s="7">
        <f>'AS400'!FE104</f>
        <v>0</v>
      </c>
      <c r="FJ104" s="7">
        <f>'AS400'!FF104</f>
        <v>0</v>
      </c>
      <c r="FK104" s="7">
        <f>'AS400'!FG104</f>
        <v>0</v>
      </c>
      <c r="FL104" s="7">
        <f>'AS400'!FH104</f>
        <v>0</v>
      </c>
      <c r="FM104" s="7">
        <f>'AS400'!FI104</f>
        <v>1</v>
      </c>
      <c r="FN104" s="7">
        <f>'AS400'!FJ104</f>
        <v>1</v>
      </c>
      <c r="FO104" s="7">
        <f>'AS400'!FO104</f>
        <v>0</v>
      </c>
      <c r="FP104" s="7">
        <f>'AS400'!FP104</f>
        <v>4</v>
      </c>
      <c r="FQ104" s="7">
        <f>'AS400'!FQ104</f>
        <v>1</v>
      </c>
      <c r="FR104" s="7">
        <f>'AS400'!FR104</f>
        <v>1</v>
      </c>
      <c r="FS104" s="13">
        <f>'AS400'!FO104</f>
        <v>0</v>
      </c>
    </row>
    <row r="105" spans="1:175">
      <c r="A105" s="7">
        <f>'AS400'!A105</f>
        <v>99</v>
      </c>
      <c r="B105" s="7">
        <f>'AS400'!B105</f>
        <v>20190301</v>
      </c>
      <c r="C105" s="7">
        <f>'AS400'!C105</f>
        <v>0</v>
      </c>
      <c r="D105" s="7" t="str">
        <f>'AS400'!D105</f>
        <v>N</v>
      </c>
      <c r="E105" s="7" t="str">
        <f>'AS400'!E105</f>
        <v>N</v>
      </c>
      <c r="F105" s="7" t="str">
        <f>'AS400'!F105</f>
        <v>Y</v>
      </c>
      <c r="G105" s="7">
        <f>'AS400'!G105</f>
        <v>0</v>
      </c>
      <c r="H105" s="14"/>
      <c r="I105" s="7" t="str">
        <f>'AS400'!I105</f>
        <v>RSA</v>
      </c>
      <c r="J105" s="7" t="str">
        <f>'AS400'!J105</f>
        <v>METR</v>
      </c>
      <c r="K105" s="7" t="str">
        <f>'AS400'!K105</f>
        <v>N</v>
      </c>
      <c r="L105" s="7">
        <f>'AS400'!L105</f>
        <v>4</v>
      </c>
      <c r="M105" s="8">
        <f>'AS400'!M105</f>
        <v>1</v>
      </c>
      <c r="N105" s="7">
        <f>'AS400'!N105</f>
        <v>1</v>
      </c>
      <c r="O105" s="7" t="str">
        <f>'AS400'!O105</f>
        <v>MFCL</v>
      </c>
      <c r="P105" s="7">
        <f>'AS400'!P105</f>
        <v>100</v>
      </c>
      <c r="Q105" s="7">
        <f>'AS400'!Q105</f>
        <v>20180301</v>
      </c>
      <c r="R105" s="7">
        <f>'AS400'!R105</f>
        <v>20180301</v>
      </c>
      <c r="S105" s="7" t="str">
        <f>'AS400'!S105</f>
        <v>M</v>
      </c>
      <c r="T105" s="7" t="str">
        <f>'AS400'!T105</f>
        <v>MN</v>
      </c>
      <c r="U105" s="7">
        <f>'AS400'!U105</f>
        <v>20190301</v>
      </c>
      <c r="V105" s="7">
        <f>'AS400'!V105</f>
        <v>6</v>
      </c>
      <c r="W105" s="7">
        <f>'AS400'!W105</f>
        <v>6</v>
      </c>
      <c r="X105" s="7" t="str">
        <f>'AS400'!X105</f>
        <v>MFIX</v>
      </c>
      <c r="Y105" s="7">
        <f>'AS400'!Y105</f>
        <v>0</v>
      </c>
      <c r="Z105" s="7" t="str">
        <f>'AS400'!Z105</f>
        <v>STLV</v>
      </c>
      <c r="AA105" s="7">
        <f>'AS400'!AA105</f>
        <v>818</v>
      </c>
      <c r="AB105" s="7">
        <f>'AS400'!AB105</f>
        <v>0</v>
      </c>
      <c r="AC105" s="7">
        <f>'AS400'!AC105</f>
        <v>12</v>
      </c>
      <c r="AD105" s="7">
        <f>'AS400'!AD105</f>
        <v>20180201</v>
      </c>
      <c r="AE105" s="7">
        <f>'AS400'!AE105</f>
        <v>0</v>
      </c>
      <c r="AF105" s="7">
        <f>'AS400'!AF105</f>
        <v>40000</v>
      </c>
      <c r="AG105" s="7">
        <f>'AS400'!AG105</f>
        <v>142</v>
      </c>
      <c r="AI105" s="7">
        <f>'AS400'!AH105</f>
        <v>30</v>
      </c>
      <c r="AJ105" s="7">
        <f>'AS400'!AI105</f>
        <v>0</v>
      </c>
      <c r="AK105" s="7">
        <f>'AS400'!AJ105</f>
        <v>0</v>
      </c>
      <c r="AL105" s="7">
        <f>'AS400'!AK105</f>
        <v>0</v>
      </c>
      <c r="AM105" s="7">
        <f>'AS400'!AL105</f>
        <v>0</v>
      </c>
      <c r="AN105" s="7">
        <f>'AS400'!AM105</f>
        <v>0</v>
      </c>
      <c r="AO105" s="7">
        <f>'AS400'!AN105</f>
        <v>0</v>
      </c>
      <c r="AP105" s="7">
        <f>'AS400'!AO105</f>
        <v>0</v>
      </c>
      <c r="AQ105" s="7">
        <f>'AS400'!AP105</f>
        <v>0</v>
      </c>
      <c r="AR105" s="7">
        <f>'AS400'!AQ105</f>
        <v>0</v>
      </c>
      <c r="AS105" s="7">
        <f>'AS400'!AR105</f>
        <v>0</v>
      </c>
      <c r="AT105" s="7">
        <f>'AS400'!AS105</f>
        <v>0</v>
      </c>
      <c r="AU105" s="7">
        <f>'AS400'!AT105</f>
        <v>0</v>
      </c>
      <c r="AV105" s="7">
        <f>'AS400'!AU105</f>
        <v>0</v>
      </c>
      <c r="AW105" s="7">
        <f>'AS400'!AV105</f>
        <v>0</v>
      </c>
      <c r="AX105" s="7">
        <f>'AS400'!AW105</f>
        <v>0</v>
      </c>
      <c r="AY105" s="7">
        <f>'AS400'!AX105</f>
        <v>0</v>
      </c>
      <c r="AZ105" s="8">
        <f>'AS400'!AY105</f>
        <v>1</v>
      </c>
      <c r="BA105" s="7">
        <f>'AS400'!AZ105</f>
        <v>2</v>
      </c>
      <c r="BB105" s="7" t="str">
        <f>'AS400'!BA105</f>
        <v>PURO</v>
      </c>
      <c r="BC105" s="7">
        <f>'AS400'!BB105</f>
        <v>100</v>
      </c>
      <c r="BD105" s="7">
        <f>'AS400'!BC105</f>
        <v>20180301</v>
      </c>
      <c r="BE105" s="7">
        <f>'AS400'!BD105</f>
        <v>20180301</v>
      </c>
      <c r="BF105" s="7" t="str">
        <f>'AS400'!BE105</f>
        <v>S</v>
      </c>
      <c r="BG105" s="7" t="str">
        <f>'AS400'!BF105</f>
        <v>ME</v>
      </c>
      <c r="BH105" s="7">
        <f>'AS400'!BG105</f>
        <v>20180301</v>
      </c>
      <c r="BI105" s="7">
        <f>'AS400'!BH105</f>
        <v>0</v>
      </c>
      <c r="BJ105" s="7">
        <f>'AS400'!BI105</f>
        <v>0</v>
      </c>
      <c r="BK105" s="7">
        <f>'AS400'!BJ105</f>
        <v>0</v>
      </c>
      <c r="BL105" s="7">
        <f>'AS400'!BK105</f>
        <v>0</v>
      </c>
      <c r="BM105" s="7" t="str">
        <f>'AS400'!BL105</f>
        <v>STLV</v>
      </c>
      <c r="BN105" s="7">
        <f>'AS400'!BM105</f>
        <v>818</v>
      </c>
      <c r="BO105" s="7">
        <f>'AS400'!BN105</f>
        <v>0</v>
      </c>
      <c r="BP105" s="7">
        <f>'AS400'!BO105</f>
        <v>12</v>
      </c>
      <c r="BQ105" s="7">
        <f>'AS400'!BP105</f>
        <v>20180201</v>
      </c>
      <c r="BR105" s="7">
        <f>'AS400'!BQ105</f>
        <v>0</v>
      </c>
      <c r="BS105" s="7">
        <f>'AS400'!BR105</f>
        <v>0</v>
      </c>
      <c r="BT105" s="7">
        <f>'AS400'!BS105</f>
        <v>34</v>
      </c>
      <c r="BV105" s="7">
        <f>'AS400'!BT105</f>
        <v>30</v>
      </c>
      <c r="BW105" s="7">
        <f>'AS400'!BU105</f>
        <v>0</v>
      </c>
      <c r="BX105" s="7">
        <f>'AS400'!BV105</f>
        <v>0</v>
      </c>
      <c r="BY105" s="7">
        <f>'AS400'!BW105</f>
        <v>0</v>
      </c>
      <c r="BZ105" s="7">
        <f>'AS400'!BX105</f>
        <v>0</v>
      </c>
      <c r="CA105" s="7">
        <f>'AS400'!BY105</f>
        <v>0</v>
      </c>
      <c r="CB105" s="7">
        <f>'AS400'!BZ105</f>
        <v>0</v>
      </c>
      <c r="CC105" s="7">
        <f>'AS400'!CA105</f>
        <v>0</v>
      </c>
      <c r="CD105" s="7">
        <f>'AS400'!CB105</f>
        <v>0</v>
      </c>
      <c r="CE105" s="7">
        <f>'AS400'!CC105</f>
        <v>0</v>
      </c>
      <c r="CF105" s="7">
        <f>'AS400'!CD105</f>
        <v>0</v>
      </c>
      <c r="CG105" s="7">
        <f>'AS400'!CE105</f>
        <v>0</v>
      </c>
      <c r="CH105" s="7">
        <f>'AS400'!CF105</f>
        <v>0</v>
      </c>
      <c r="CI105" s="7">
        <f>'AS400'!CG105</f>
        <v>0</v>
      </c>
      <c r="CJ105" s="7">
        <f>'AS400'!CH105</f>
        <v>0</v>
      </c>
      <c r="CK105" s="7">
        <f>'AS400'!CI105</f>
        <v>0</v>
      </c>
      <c r="CL105" s="7">
        <f>'AS400'!CJ105</f>
        <v>0</v>
      </c>
      <c r="CM105" s="8">
        <f>'AS400'!CK105</f>
        <v>1</v>
      </c>
      <c r="CN105" s="7">
        <f>'AS400'!CL105</f>
        <v>3</v>
      </c>
      <c r="CO105" s="7" t="str">
        <f>'AS400'!CM105</f>
        <v>PUDT</v>
      </c>
      <c r="CP105" s="7">
        <f>'AS400'!CN105</f>
        <v>100</v>
      </c>
      <c r="CQ105" s="7">
        <f>'AS400'!CO105</f>
        <v>20180301</v>
      </c>
      <c r="CR105" s="7">
        <f>'AS400'!CP105</f>
        <v>20180301</v>
      </c>
      <c r="CS105" s="7" t="str">
        <f>'AS400'!CQ105</f>
        <v>S</v>
      </c>
      <c r="CT105" s="7" t="str">
        <f>'AS400'!CR105</f>
        <v>MT</v>
      </c>
      <c r="CU105" s="7">
        <f>'AS400'!CS105</f>
        <v>20180301</v>
      </c>
      <c r="CV105" s="7">
        <f>'AS400'!CT105</f>
        <v>0</v>
      </c>
      <c r="CW105" s="7">
        <f>'AS400'!CU105</f>
        <v>0</v>
      </c>
      <c r="CX105" s="7">
        <f>'AS400'!CV105</f>
        <v>0</v>
      </c>
      <c r="CY105" s="7">
        <f>'AS400'!CW105</f>
        <v>0</v>
      </c>
      <c r="CZ105" s="7" t="str">
        <f>'AS400'!CX105</f>
        <v>STLV</v>
      </c>
      <c r="DA105" s="7">
        <f>'AS400'!CY105</f>
        <v>818</v>
      </c>
      <c r="DB105" s="7">
        <f>'AS400'!CZ105</f>
        <v>0</v>
      </c>
      <c r="DC105" s="7">
        <f>'AS400'!DA105</f>
        <v>12</v>
      </c>
      <c r="DD105" s="7">
        <f>'AS400'!DB105</f>
        <v>20180201</v>
      </c>
      <c r="DE105" s="7">
        <f>'AS400'!DC105</f>
        <v>0</v>
      </c>
      <c r="DF105" s="7">
        <f>'AS400'!DD105</f>
        <v>0</v>
      </c>
      <c r="DG105" s="7">
        <f>'AS400'!DE105</f>
        <v>39</v>
      </c>
      <c r="DI105" s="7">
        <f>'AS400'!DF105</f>
        <v>30</v>
      </c>
      <c r="DJ105" s="7">
        <f>'AS400'!DG105</f>
        <v>0</v>
      </c>
      <c r="DK105" s="7">
        <f>'AS400'!DH105</f>
        <v>0</v>
      </c>
      <c r="DL105" s="7">
        <f>'AS400'!DI105</f>
        <v>0</v>
      </c>
      <c r="DM105" s="7">
        <f>'AS400'!DJ105</f>
        <v>0</v>
      </c>
      <c r="DN105" s="7">
        <f>'AS400'!DK105</f>
        <v>0</v>
      </c>
      <c r="DO105" s="7">
        <f>'AS400'!DL105</f>
        <v>0</v>
      </c>
      <c r="DP105" s="7">
        <f>'AS400'!DM105</f>
        <v>0</v>
      </c>
      <c r="DQ105" s="7">
        <f>'AS400'!DN105</f>
        <v>0</v>
      </c>
      <c r="DR105" s="7">
        <f>'AS400'!DO105</f>
        <v>0</v>
      </c>
      <c r="DS105" s="7">
        <f>'AS400'!DP105</f>
        <v>0</v>
      </c>
      <c r="DT105" s="7">
        <f>'AS400'!DQ105</f>
        <v>0</v>
      </c>
      <c r="DU105" s="7">
        <f>'AS400'!DR105</f>
        <v>0</v>
      </c>
      <c r="DV105" s="7">
        <f>'AS400'!DS105</f>
        <v>0</v>
      </c>
      <c r="DW105" s="7">
        <f>'AS400'!DT105</f>
        <v>0</v>
      </c>
      <c r="DX105" s="7">
        <f>'AS400'!DU105</f>
        <v>0</v>
      </c>
      <c r="DY105" s="7">
        <f>'AS400'!DV105</f>
        <v>0</v>
      </c>
      <c r="DZ105" s="8">
        <f>'AS400'!DW105</f>
        <v>1</v>
      </c>
      <c r="EA105" s="7">
        <f>'AS400'!DX105</f>
        <v>4</v>
      </c>
      <c r="EB105" s="7" t="str">
        <f>'AS400'!DY105</f>
        <v>PUDS</v>
      </c>
      <c r="EC105" s="7">
        <f>'AS400'!DZ105</f>
        <v>100</v>
      </c>
      <c r="ED105" s="7">
        <f>'AS400'!EA105</f>
        <v>20180301</v>
      </c>
      <c r="EE105" s="7">
        <f>'AS400'!EB105</f>
        <v>20180301</v>
      </c>
      <c r="EF105" s="7" t="str">
        <f>'AS400'!EC105</f>
        <v>S</v>
      </c>
      <c r="EG105" s="7" t="str">
        <f>'AS400'!ED105</f>
        <v>MS</v>
      </c>
      <c r="EH105" s="7">
        <f>'AS400'!EE105</f>
        <v>20180301</v>
      </c>
      <c r="EI105" s="7">
        <f>'AS400'!EF105</f>
        <v>0</v>
      </c>
      <c r="EJ105" s="7">
        <f>'AS400'!EG105</f>
        <v>0</v>
      </c>
      <c r="EK105" s="7">
        <f>'AS400'!EH105</f>
        <v>0</v>
      </c>
      <c r="EL105" s="7">
        <f>'AS400'!EI105</f>
        <v>0</v>
      </c>
      <c r="EM105" s="7" t="str">
        <f>'AS400'!EJ105</f>
        <v>STLV</v>
      </c>
      <c r="EN105" s="7">
        <f>'AS400'!EK105</f>
        <v>818</v>
      </c>
      <c r="EO105" s="7">
        <f>'AS400'!EL105</f>
        <v>0</v>
      </c>
      <c r="EP105" s="7">
        <f>'AS400'!EM105</f>
        <v>12</v>
      </c>
      <c r="EQ105" s="7">
        <f>'AS400'!EN105</f>
        <v>20180201</v>
      </c>
      <c r="ER105" s="7">
        <f>'AS400'!EO105</f>
        <v>0</v>
      </c>
      <c r="ES105" s="7">
        <f>'AS400'!EP105</f>
        <v>0</v>
      </c>
      <c r="ET105" s="7">
        <f>'AS400'!EQ105</f>
        <v>15</v>
      </c>
      <c r="EV105" s="7">
        <f>'AS400'!ER105</f>
        <v>30</v>
      </c>
      <c r="EW105" s="7">
        <f>'AS400'!ES105</f>
        <v>0</v>
      </c>
      <c r="EX105" s="7">
        <f>'AS400'!ET105</f>
        <v>0</v>
      </c>
      <c r="EY105" s="7">
        <f>'AS400'!EU105</f>
        <v>0</v>
      </c>
      <c r="EZ105" s="7">
        <f>'AS400'!EV105</f>
        <v>0</v>
      </c>
      <c r="FA105" s="7">
        <f>'AS400'!EW105</f>
        <v>0</v>
      </c>
      <c r="FB105" s="7">
        <f>'AS400'!EX105</f>
        <v>0</v>
      </c>
      <c r="FC105" s="7">
        <f>'AS400'!EY105</f>
        <v>0</v>
      </c>
      <c r="FD105" s="7">
        <f>'AS400'!EZ105</f>
        <v>0</v>
      </c>
      <c r="FE105" s="7">
        <f>'AS400'!FA105</f>
        <v>0</v>
      </c>
      <c r="FF105" s="7">
        <f>'AS400'!FB105</f>
        <v>0</v>
      </c>
      <c r="FG105" s="7">
        <f>'AS400'!FC105</f>
        <v>0</v>
      </c>
      <c r="FH105" s="7">
        <f>'AS400'!FD105</f>
        <v>0</v>
      </c>
      <c r="FI105" s="7">
        <f>'AS400'!FE105</f>
        <v>0</v>
      </c>
      <c r="FJ105" s="7">
        <f>'AS400'!FF105</f>
        <v>0</v>
      </c>
      <c r="FK105" s="7">
        <f>'AS400'!FG105</f>
        <v>0</v>
      </c>
      <c r="FL105" s="7">
        <f>'AS400'!FH105</f>
        <v>0</v>
      </c>
      <c r="FM105" s="7">
        <f>'AS400'!FI105</f>
        <v>1</v>
      </c>
      <c r="FN105" s="7">
        <f>'AS400'!FJ105</f>
        <v>1</v>
      </c>
      <c r="FO105" s="7">
        <f>'AS400'!FO105</f>
        <v>0</v>
      </c>
      <c r="FP105" s="7">
        <f>'AS400'!FP105</f>
        <v>4</v>
      </c>
      <c r="FQ105" s="7">
        <f>'AS400'!FQ105</f>
        <v>1</v>
      </c>
      <c r="FR105" s="7">
        <f>'AS400'!FR105</f>
        <v>1</v>
      </c>
      <c r="FS105" s="13">
        <f>'AS400'!FO105</f>
        <v>0</v>
      </c>
    </row>
    <row r="106" spans="1:175">
      <c r="A106" s="7">
        <f>'AS400'!A106</f>
        <v>100</v>
      </c>
      <c r="B106" s="7">
        <f>'AS400'!B106</f>
        <v>20190301</v>
      </c>
      <c r="C106" s="7">
        <f>'AS400'!C106</f>
        <v>0</v>
      </c>
      <c r="D106" s="7" t="str">
        <f>'AS400'!D106</f>
        <v>N</v>
      </c>
      <c r="E106" s="7" t="str">
        <f>'AS400'!E106</f>
        <v>N</v>
      </c>
      <c r="F106" s="7" t="str">
        <f>'AS400'!F106</f>
        <v>Y</v>
      </c>
      <c r="G106" s="7">
        <f>'AS400'!G106</f>
        <v>0</v>
      </c>
      <c r="H106" s="14"/>
      <c r="I106" s="7" t="str">
        <f>'AS400'!I106</f>
        <v>RSA</v>
      </c>
      <c r="J106" s="7" t="str">
        <f>'AS400'!J106</f>
        <v>METR</v>
      </c>
      <c r="K106" s="7" t="str">
        <f>'AS400'!K106</f>
        <v>N</v>
      </c>
      <c r="L106" s="7">
        <f>'AS400'!L106</f>
        <v>4</v>
      </c>
      <c r="M106" s="8">
        <f>'AS400'!M106</f>
        <v>1</v>
      </c>
      <c r="N106" s="7">
        <f>'AS400'!N106</f>
        <v>1</v>
      </c>
      <c r="O106" s="7" t="str">
        <f>'AS400'!O106</f>
        <v>MFCL</v>
      </c>
      <c r="P106" s="7">
        <f>'AS400'!P106</f>
        <v>100</v>
      </c>
      <c r="Q106" s="7">
        <f>'AS400'!Q106</f>
        <v>20180301</v>
      </c>
      <c r="R106" s="7">
        <f>'AS400'!R106</f>
        <v>20180301</v>
      </c>
      <c r="S106" s="7" t="str">
        <f>'AS400'!S106</f>
        <v>M</v>
      </c>
      <c r="T106" s="7" t="str">
        <f>'AS400'!T106</f>
        <v>MN</v>
      </c>
      <c r="U106" s="7">
        <f>'AS400'!U106</f>
        <v>20190301</v>
      </c>
      <c r="V106" s="7">
        <f>'AS400'!V106</f>
        <v>6</v>
      </c>
      <c r="W106" s="7">
        <f>'AS400'!W106</f>
        <v>6</v>
      </c>
      <c r="X106" s="7" t="str">
        <f>'AS400'!X106</f>
        <v>MFIX</v>
      </c>
      <c r="Y106" s="7">
        <f>'AS400'!Y106</f>
        <v>0</v>
      </c>
      <c r="Z106" s="7" t="str">
        <f>'AS400'!Z106</f>
        <v>STLV</v>
      </c>
      <c r="AA106" s="7">
        <f>'AS400'!AA106</f>
        <v>818</v>
      </c>
      <c r="AB106" s="7">
        <f>'AS400'!AB106</f>
        <v>0</v>
      </c>
      <c r="AC106" s="7">
        <f>'AS400'!AC106</f>
        <v>12</v>
      </c>
      <c r="AD106" s="7">
        <f>'AS400'!AD106</f>
        <v>20180201</v>
      </c>
      <c r="AE106" s="7">
        <f>'AS400'!AE106</f>
        <v>0</v>
      </c>
      <c r="AF106" s="7">
        <f>'AS400'!AF106</f>
        <v>45000</v>
      </c>
      <c r="AG106" s="7">
        <f>'AS400'!AG106</f>
        <v>155</v>
      </c>
      <c r="AI106" s="7">
        <f>'AS400'!AH106</f>
        <v>31</v>
      </c>
      <c r="AJ106" s="7">
        <f>'AS400'!AI106</f>
        <v>0</v>
      </c>
      <c r="AK106" s="7">
        <f>'AS400'!AJ106</f>
        <v>0</v>
      </c>
      <c r="AL106" s="7">
        <f>'AS400'!AK106</f>
        <v>0</v>
      </c>
      <c r="AM106" s="7">
        <f>'AS400'!AL106</f>
        <v>0</v>
      </c>
      <c r="AN106" s="7">
        <f>'AS400'!AM106</f>
        <v>0</v>
      </c>
      <c r="AO106" s="7">
        <f>'AS400'!AN106</f>
        <v>0</v>
      </c>
      <c r="AP106" s="7">
        <f>'AS400'!AO106</f>
        <v>0</v>
      </c>
      <c r="AQ106" s="7">
        <f>'AS400'!AP106</f>
        <v>0</v>
      </c>
      <c r="AR106" s="7">
        <f>'AS400'!AQ106</f>
        <v>0</v>
      </c>
      <c r="AS106" s="7">
        <f>'AS400'!AR106</f>
        <v>0</v>
      </c>
      <c r="AT106" s="7">
        <f>'AS400'!AS106</f>
        <v>0</v>
      </c>
      <c r="AU106" s="7">
        <f>'AS400'!AT106</f>
        <v>0</v>
      </c>
      <c r="AV106" s="7">
        <f>'AS400'!AU106</f>
        <v>0</v>
      </c>
      <c r="AW106" s="7">
        <f>'AS400'!AV106</f>
        <v>0</v>
      </c>
      <c r="AX106" s="7">
        <f>'AS400'!AW106</f>
        <v>0</v>
      </c>
      <c r="AY106" s="7">
        <f>'AS400'!AX106</f>
        <v>0</v>
      </c>
      <c r="AZ106" s="8">
        <f>'AS400'!AY106</f>
        <v>1</v>
      </c>
      <c r="BA106" s="7">
        <f>'AS400'!AZ106</f>
        <v>2</v>
      </c>
      <c r="BB106" s="7" t="str">
        <f>'AS400'!BA106</f>
        <v>PURO</v>
      </c>
      <c r="BC106" s="7">
        <f>'AS400'!BB106</f>
        <v>100</v>
      </c>
      <c r="BD106" s="7">
        <f>'AS400'!BC106</f>
        <v>20180301</v>
      </c>
      <c r="BE106" s="7">
        <f>'AS400'!BD106</f>
        <v>20180301</v>
      </c>
      <c r="BF106" s="7" t="str">
        <f>'AS400'!BE106</f>
        <v>S</v>
      </c>
      <c r="BG106" s="7" t="str">
        <f>'AS400'!BF106</f>
        <v>ME</v>
      </c>
      <c r="BH106" s="7">
        <f>'AS400'!BG106</f>
        <v>20180301</v>
      </c>
      <c r="BI106" s="7">
        <f>'AS400'!BH106</f>
        <v>0</v>
      </c>
      <c r="BJ106" s="7">
        <f>'AS400'!BI106</f>
        <v>0</v>
      </c>
      <c r="BK106" s="7">
        <f>'AS400'!BJ106</f>
        <v>0</v>
      </c>
      <c r="BL106" s="7">
        <f>'AS400'!BK106</f>
        <v>0</v>
      </c>
      <c r="BM106" s="7" t="str">
        <f>'AS400'!BL106</f>
        <v>STLV</v>
      </c>
      <c r="BN106" s="7">
        <f>'AS400'!BM106</f>
        <v>818</v>
      </c>
      <c r="BO106" s="7">
        <f>'AS400'!BN106</f>
        <v>0</v>
      </c>
      <c r="BP106" s="7">
        <f>'AS400'!BO106</f>
        <v>12</v>
      </c>
      <c r="BQ106" s="7">
        <f>'AS400'!BP106</f>
        <v>20180201</v>
      </c>
      <c r="BR106" s="7">
        <f>'AS400'!BQ106</f>
        <v>0</v>
      </c>
      <c r="BS106" s="7">
        <f>'AS400'!BR106</f>
        <v>0</v>
      </c>
      <c r="BT106" s="7">
        <f>'AS400'!BS106</f>
        <v>36</v>
      </c>
      <c r="BV106" s="7">
        <f>'AS400'!BT106</f>
        <v>31</v>
      </c>
      <c r="BW106" s="7">
        <f>'AS400'!BU106</f>
        <v>0</v>
      </c>
      <c r="BX106" s="7">
        <f>'AS400'!BV106</f>
        <v>0</v>
      </c>
      <c r="BY106" s="7">
        <f>'AS400'!BW106</f>
        <v>0</v>
      </c>
      <c r="BZ106" s="7">
        <f>'AS400'!BX106</f>
        <v>0</v>
      </c>
      <c r="CA106" s="7">
        <f>'AS400'!BY106</f>
        <v>0</v>
      </c>
      <c r="CB106" s="7">
        <f>'AS400'!BZ106</f>
        <v>0</v>
      </c>
      <c r="CC106" s="7">
        <f>'AS400'!CA106</f>
        <v>0</v>
      </c>
      <c r="CD106" s="7">
        <f>'AS400'!CB106</f>
        <v>0</v>
      </c>
      <c r="CE106" s="7">
        <f>'AS400'!CC106</f>
        <v>0</v>
      </c>
      <c r="CF106" s="7">
        <f>'AS400'!CD106</f>
        <v>0</v>
      </c>
      <c r="CG106" s="7">
        <f>'AS400'!CE106</f>
        <v>0</v>
      </c>
      <c r="CH106" s="7">
        <f>'AS400'!CF106</f>
        <v>0</v>
      </c>
      <c r="CI106" s="7">
        <f>'AS400'!CG106</f>
        <v>0</v>
      </c>
      <c r="CJ106" s="7">
        <f>'AS400'!CH106</f>
        <v>0</v>
      </c>
      <c r="CK106" s="7">
        <f>'AS400'!CI106</f>
        <v>0</v>
      </c>
      <c r="CL106" s="7">
        <f>'AS400'!CJ106</f>
        <v>0</v>
      </c>
      <c r="CM106" s="8">
        <f>'AS400'!CK106</f>
        <v>1</v>
      </c>
      <c r="CN106" s="7">
        <f>'AS400'!CL106</f>
        <v>3</v>
      </c>
      <c r="CO106" s="7" t="str">
        <f>'AS400'!CM106</f>
        <v>PUDT</v>
      </c>
      <c r="CP106" s="7">
        <f>'AS400'!CN106</f>
        <v>100</v>
      </c>
      <c r="CQ106" s="7">
        <f>'AS400'!CO106</f>
        <v>20180301</v>
      </c>
      <c r="CR106" s="7">
        <f>'AS400'!CP106</f>
        <v>20180301</v>
      </c>
      <c r="CS106" s="7" t="str">
        <f>'AS400'!CQ106</f>
        <v>S</v>
      </c>
      <c r="CT106" s="7" t="str">
        <f>'AS400'!CR106</f>
        <v>MT</v>
      </c>
      <c r="CU106" s="7">
        <f>'AS400'!CS106</f>
        <v>20180301</v>
      </c>
      <c r="CV106" s="7">
        <f>'AS400'!CT106</f>
        <v>0</v>
      </c>
      <c r="CW106" s="7">
        <f>'AS400'!CU106</f>
        <v>0</v>
      </c>
      <c r="CX106" s="7">
        <f>'AS400'!CV106</f>
        <v>0</v>
      </c>
      <c r="CY106" s="7">
        <f>'AS400'!CW106</f>
        <v>0</v>
      </c>
      <c r="CZ106" s="7" t="str">
        <f>'AS400'!CX106</f>
        <v>STLV</v>
      </c>
      <c r="DA106" s="7">
        <f>'AS400'!CY106</f>
        <v>818</v>
      </c>
      <c r="DB106" s="7">
        <f>'AS400'!CZ106</f>
        <v>0</v>
      </c>
      <c r="DC106" s="7">
        <f>'AS400'!DA106</f>
        <v>12</v>
      </c>
      <c r="DD106" s="7">
        <f>'AS400'!DB106</f>
        <v>20180201</v>
      </c>
      <c r="DE106" s="7">
        <f>'AS400'!DC106</f>
        <v>0</v>
      </c>
      <c r="DF106" s="7">
        <f>'AS400'!DD106</f>
        <v>0</v>
      </c>
      <c r="DG106" s="7">
        <f>'AS400'!DE106</f>
        <v>42</v>
      </c>
      <c r="DI106" s="7">
        <f>'AS400'!DF106</f>
        <v>31</v>
      </c>
      <c r="DJ106" s="7">
        <f>'AS400'!DG106</f>
        <v>0</v>
      </c>
      <c r="DK106" s="7">
        <f>'AS400'!DH106</f>
        <v>0</v>
      </c>
      <c r="DL106" s="7">
        <f>'AS400'!DI106</f>
        <v>0</v>
      </c>
      <c r="DM106" s="7">
        <f>'AS400'!DJ106</f>
        <v>0</v>
      </c>
      <c r="DN106" s="7">
        <f>'AS400'!DK106</f>
        <v>0</v>
      </c>
      <c r="DO106" s="7">
        <f>'AS400'!DL106</f>
        <v>0</v>
      </c>
      <c r="DP106" s="7">
        <f>'AS400'!DM106</f>
        <v>0</v>
      </c>
      <c r="DQ106" s="7">
        <f>'AS400'!DN106</f>
        <v>0</v>
      </c>
      <c r="DR106" s="7">
        <f>'AS400'!DO106</f>
        <v>0</v>
      </c>
      <c r="DS106" s="7">
        <f>'AS400'!DP106</f>
        <v>0</v>
      </c>
      <c r="DT106" s="7">
        <f>'AS400'!DQ106</f>
        <v>0</v>
      </c>
      <c r="DU106" s="7">
        <f>'AS400'!DR106</f>
        <v>0</v>
      </c>
      <c r="DV106" s="7">
        <f>'AS400'!DS106</f>
        <v>0</v>
      </c>
      <c r="DW106" s="7">
        <f>'AS400'!DT106</f>
        <v>0</v>
      </c>
      <c r="DX106" s="7">
        <f>'AS400'!DU106</f>
        <v>0</v>
      </c>
      <c r="DY106" s="7">
        <f>'AS400'!DV106</f>
        <v>0</v>
      </c>
      <c r="DZ106" s="8">
        <f>'AS400'!DW106</f>
        <v>1</v>
      </c>
      <c r="EA106" s="7">
        <f>'AS400'!DX106</f>
        <v>4</v>
      </c>
      <c r="EB106" s="7" t="str">
        <f>'AS400'!DY106</f>
        <v>PUDS</v>
      </c>
      <c r="EC106" s="7">
        <f>'AS400'!DZ106</f>
        <v>100</v>
      </c>
      <c r="ED106" s="7">
        <f>'AS400'!EA106</f>
        <v>20180301</v>
      </c>
      <c r="EE106" s="7">
        <f>'AS400'!EB106</f>
        <v>20180301</v>
      </c>
      <c r="EF106" s="7" t="str">
        <f>'AS400'!EC106</f>
        <v>S</v>
      </c>
      <c r="EG106" s="7" t="str">
        <f>'AS400'!ED106</f>
        <v>MS</v>
      </c>
      <c r="EH106" s="7">
        <f>'AS400'!EE106</f>
        <v>20180301</v>
      </c>
      <c r="EI106" s="7">
        <f>'AS400'!EF106</f>
        <v>0</v>
      </c>
      <c r="EJ106" s="7">
        <f>'AS400'!EG106</f>
        <v>0</v>
      </c>
      <c r="EK106" s="7">
        <f>'AS400'!EH106</f>
        <v>0</v>
      </c>
      <c r="EL106" s="7">
        <f>'AS400'!EI106</f>
        <v>0</v>
      </c>
      <c r="EM106" s="7" t="str">
        <f>'AS400'!EJ106</f>
        <v>STLV</v>
      </c>
      <c r="EN106" s="7">
        <f>'AS400'!EK106</f>
        <v>818</v>
      </c>
      <c r="EO106" s="7">
        <f>'AS400'!EL106</f>
        <v>0</v>
      </c>
      <c r="EP106" s="7">
        <f>'AS400'!EM106</f>
        <v>12</v>
      </c>
      <c r="EQ106" s="7">
        <f>'AS400'!EN106</f>
        <v>20180201</v>
      </c>
      <c r="ER106" s="7">
        <f>'AS400'!EO106</f>
        <v>0</v>
      </c>
      <c r="ES106" s="7">
        <f>'AS400'!EP106</f>
        <v>0</v>
      </c>
      <c r="ET106" s="7">
        <f>'AS400'!EQ106</f>
        <v>16</v>
      </c>
      <c r="EV106" s="7">
        <f>'AS400'!ER106</f>
        <v>31</v>
      </c>
      <c r="EW106" s="7">
        <f>'AS400'!ES106</f>
        <v>0</v>
      </c>
      <c r="EX106" s="7">
        <f>'AS400'!ET106</f>
        <v>0</v>
      </c>
      <c r="EY106" s="7">
        <f>'AS400'!EU106</f>
        <v>0</v>
      </c>
      <c r="EZ106" s="7">
        <f>'AS400'!EV106</f>
        <v>0</v>
      </c>
      <c r="FA106" s="7">
        <f>'AS400'!EW106</f>
        <v>0</v>
      </c>
      <c r="FB106" s="7">
        <f>'AS400'!EX106</f>
        <v>0</v>
      </c>
      <c r="FC106" s="7">
        <f>'AS400'!EY106</f>
        <v>0</v>
      </c>
      <c r="FD106" s="7">
        <f>'AS400'!EZ106</f>
        <v>0</v>
      </c>
      <c r="FE106" s="7">
        <f>'AS400'!FA106</f>
        <v>0</v>
      </c>
      <c r="FF106" s="7">
        <f>'AS400'!FB106</f>
        <v>0</v>
      </c>
      <c r="FG106" s="7">
        <f>'AS400'!FC106</f>
        <v>0</v>
      </c>
      <c r="FH106" s="7">
        <f>'AS400'!FD106</f>
        <v>0</v>
      </c>
      <c r="FI106" s="7">
        <f>'AS400'!FE106</f>
        <v>0</v>
      </c>
      <c r="FJ106" s="7">
        <f>'AS400'!FF106</f>
        <v>0</v>
      </c>
      <c r="FK106" s="7">
        <f>'AS400'!FG106</f>
        <v>0</v>
      </c>
      <c r="FL106" s="7">
        <f>'AS400'!FH106</f>
        <v>0</v>
      </c>
      <c r="FM106" s="7">
        <f>'AS400'!FI106</f>
        <v>1</v>
      </c>
      <c r="FN106" s="7">
        <f>'AS400'!FJ106</f>
        <v>1</v>
      </c>
      <c r="FO106" s="7">
        <f>'AS400'!FO106</f>
        <v>0</v>
      </c>
      <c r="FP106" s="7">
        <f>'AS400'!FP106</f>
        <v>4</v>
      </c>
      <c r="FQ106" s="7">
        <f>'AS400'!FQ106</f>
        <v>1</v>
      </c>
      <c r="FR106" s="7">
        <f>'AS400'!FR106</f>
        <v>1</v>
      </c>
      <c r="FS106" s="13">
        <f>'AS400'!FO106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0"/>
  <sheetViews>
    <sheetView tabSelected="1" topLeftCell="A16" zoomScaleNormal="100" workbookViewId="0">
      <selection activeCell="A27" sqref="A27"/>
    </sheetView>
  </sheetViews>
  <sheetFormatPr defaultRowHeight="15"/>
  <cols>
    <col min="1" max="1" width="16.85546875" bestFit="1" customWidth="1"/>
    <col min="2" max="2" width="19" customWidth="1"/>
    <col min="5" max="5" width="13.85546875" customWidth="1"/>
    <col min="8" max="8" width="24.85546875" customWidth="1"/>
    <col min="13" max="13" width="11.42578125" bestFit="1" customWidth="1"/>
    <col min="14" max="14" width="14.7109375" style="7" bestFit="1" customWidth="1"/>
  </cols>
  <sheetData>
    <row r="1" spans="1:36" s="10" customFormat="1">
      <c r="A1" s="9">
        <v>0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  <c r="Y1" s="9">
        <v>24</v>
      </c>
      <c r="Z1" s="9">
        <v>25</v>
      </c>
      <c r="AA1" s="9">
        <v>26</v>
      </c>
      <c r="AB1" s="9">
        <v>27</v>
      </c>
      <c r="AC1" s="9">
        <v>28</v>
      </c>
      <c r="AD1" s="9">
        <v>29</v>
      </c>
      <c r="AE1" s="9">
        <v>30</v>
      </c>
      <c r="AF1" s="9">
        <v>31</v>
      </c>
      <c r="AG1" s="9">
        <v>32</v>
      </c>
      <c r="AH1" s="9">
        <v>33</v>
      </c>
      <c r="AI1" s="9">
        <v>34</v>
      </c>
      <c r="AJ1" s="9">
        <v>35</v>
      </c>
    </row>
    <row r="3" spans="1:36">
      <c r="N3"/>
    </row>
    <row r="6" spans="1:36">
      <c r="A6" s="1" t="s">
        <v>0</v>
      </c>
      <c r="B6" s="1" t="s">
        <v>1</v>
      </c>
      <c r="C6" s="1" t="s">
        <v>2</v>
      </c>
      <c r="D6" s="1" t="s">
        <v>3</v>
      </c>
      <c r="E6" s="1" t="s">
        <v>4</v>
      </c>
      <c r="F6" s="1" t="s">
        <v>5</v>
      </c>
      <c r="G6" s="1" t="s">
        <v>6</v>
      </c>
      <c r="H6" s="1" t="s">
        <v>7</v>
      </c>
      <c r="I6" s="1" t="s">
        <v>8</v>
      </c>
      <c r="J6" s="1" t="s">
        <v>9</v>
      </c>
      <c r="K6" s="1" t="s">
        <v>10</v>
      </c>
      <c r="L6" s="1" t="s">
        <v>11</v>
      </c>
      <c r="M6" s="1" t="s">
        <v>12</v>
      </c>
      <c r="N6" s="1" t="s">
        <v>152</v>
      </c>
    </row>
    <row r="7" spans="1:36">
      <c r="A7" s="11"/>
      <c r="B7" s="2" t="s">
        <v>13</v>
      </c>
      <c r="C7" s="3" t="str">
        <f>MID($B7,1,1)</f>
        <v>D</v>
      </c>
      <c r="D7" s="3" t="s">
        <v>14</v>
      </c>
      <c r="E7" s="3" t="str">
        <f>CONCATENATE(MID(A7,5,2),"/",MID(A7,3,2),"/","19",LEFT(A7,2))</f>
        <v>//19</v>
      </c>
      <c r="F7" s="3" t="s">
        <v>15</v>
      </c>
      <c r="G7" s="3" t="s">
        <v>16</v>
      </c>
      <c r="H7" s="4" t="s">
        <v>17</v>
      </c>
      <c r="I7" s="3">
        <v>1</v>
      </c>
      <c r="J7" s="3" t="s">
        <v>18</v>
      </c>
      <c r="K7" s="3" t="s">
        <v>19</v>
      </c>
      <c r="L7" s="3" t="s">
        <v>20</v>
      </c>
      <c r="M7" s="3">
        <v>181</v>
      </c>
      <c r="N7" s="7">
        <f>'AS400'!AF7+'AS400'!BR7+'AS400'!DD7+'AS400'!EP7</f>
        <v>10000</v>
      </c>
      <c r="P7" s="7"/>
    </row>
    <row r="8" spans="1:36">
      <c r="A8" s="11"/>
      <c r="B8" s="2" t="s">
        <v>164</v>
      </c>
      <c r="C8" s="3" t="str">
        <f t="shared" ref="C8:C56" si="0">MID($B8,1,1)</f>
        <v>M</v>
      </c>
      <c r="D8" s="3" t="s">
        <v>166</v>
      </c>
      <c r="E8" s="3" t="str">
        <f>CONCATENATE(MID(A8,5,2),"/",MID(A8,3,2),"/","19",LEFT(A8,2))</f>
        <v>//19</v>
      </c>
      <c r="F8" s="3" t="s">
        <v>161</v>
      </c>
      <c r="G8" s="3" t="s">
        <v>162</v>
      </c>
      <c r="H8" s="4" t="s">
        <v>21</v>
      </c>
      <c r="I8" s="3">
        <v>2</v>
      </c>
      <c r="J8" s="3" t="s">
        <v>18</v>
      </c>
      <c r="K8" s="3" t="s">
        <v>19</v>
      </c>
      <c r="L8" s="3" t="s">
        <v>20</v>
      </c>
      <c r="M8" s="3">
        <v>181</v>
      </c>
      <c r="N8" s="7">
        <f>'AS400'!AF8+'AS400'!BR8+'AS400'!DD8+'AS400'!EP8</f>
        <v>15000</v>
      </c>
    </row>
    <row r="9" spans="1:36">
      <c r="A9" s="16"/>
      <c r="B9" s="2" t="s">
        <v>165</v>
      </c>
      <c r="C9" s="3" t="str">
        <f t="shared" si="0"/>
        <v>P</v>
      </c>
      <c r="D9" s="3" t="s">
        <v>169</v>
      </c>
      <c r="E9" s="3" t="str">
        <f t="shared" ref="E9:E56" si="1">CONCATENATE(MID(A9,5,2),"/",MID(A9,3,2),"/","19",LEFT(A9,2))</f>
        <v>//19</v>
      </c>
      <c r="F9" s="3" t="s">
        <v>161</v>
      </c>
      <c r="G9" s="3" t="s">
        <v>163</v>
      </c>
      <c r="H9" s="4" t="s">
        <v>22</v>
      </c>
      <c r="I9" s="3">
        <v>3</v>
      </c>
      <c r="J9" s="3" t="s">
        <v>18</v>
      </c>
      <c r="K9" s="3" t="s">
        <v>19</v>
      </c>
      <c r="L9" s="3" t="s">
        <v>20</v>
      </c>
      <c r="M9" s="3">
        <v>181</v>
      </c>
      <c r="N9" s="7">
        <f>'AS400'!AF9+'AS400'!BR9+'AS400'!DD9+'AS400'!EP9</f>
        <v>20000</v>
      </c>
    </row>
    <row r="10" spans="1:36">
      <c r="A10" s="11"/>
      <c r="B10" s="2" t="s">
        <v>167</v>
      </c>
      <c r="C10" s="3" t="str">
        <f t="shared" si="0"/>
        <v>J</v>
      </c>
      <c r="D10" s="3" t="s">
        <v>170</v>
      </c>
      <c r="E10" s="3" t="str">
        <f t="shared" si="1"/>
        <v>//19</v>
      </c>
      <c r="F10" s="3" t="s">
        <v>15</v>
      </c>
      <c r="G10" s="3" t="s">
        <v>16</v>
      </c>
      <c r="H10" s="4" t="s">
        <v>23</v>
      </c>
      <c r="I10" s="3">
        <v>4</v>
      </c>
      <c r="J10" s="3" t="s">
        <v>18</v>
      </c>
      <c r="K10" s="3" t="s">
        <v>19</v>
      </c>
      <c r="L10" s="3" t="s">
        <v>20</v>
      </c>
      <c r="M10" s="3">
        <v>181</v>
      </c>
      <c r="N10" s="7">
        <f>'AS400'!AF10+'AS400'!BR10+'AS400'!DD10+'AS400'!EP10</f>
        <v>25000</v>
      </c>
    </row>
    <row r="11" spans="1:36">
      <c r="A11" s="11"/>
      <c r="B11" s="2" t="s">
        <v>168</v>
      </c>
      <c r="C11" s="3" t="str">
        <f t="shared" si="0"/>
        <v>P</v>
      </c>
      <c r="D11" s="3" t="s">
        <v>171</v>
      </c>
      <c r="E11" s="3" t="str">
        <f t="shared" si="1"/>
        <v>//19</v>
      </c>
      <c r="F11" s="3" t="s">
        <v>161</v>
      </c>
      <c r="G11" s="3" t="s">
        <v>163</v>
      </c>
      <c r="H11" s="4" t="s">
        <v>24</v>
      </c>
      <c r="I11" s="3">
        <v>5</v>
      </c>
      <c r="J11" s="3" t="s">
        <v>18</v>
      </c>
      <c r="K11" s="3" t="s">
        <v>19</v>
      </c>
      <c r="L11" s="3" t="s">
        <v>20</v>
      </c>
      <c r="M11" s="3">
        <v>181</v>
      </c>
      <c r="N11" s="7">
        <f>'AS400'!AF11+'AS400'!BR11+'AS400'!DD11+'AS400'!EP11</f>
        <v>30000</v>
      </c>
    </row>
    <row r="12" spans="1:36">
      <c r="A12" s="11"/>
      <c r="B12" s="2" t="s">
        <v>181</v>
      </c>
      <c r="C12" s="3" t="str">
        <f t="shared" si="0"/>
        <v>G</v>
      </c>
      <c r="D12" s="3" t="s">
        <v>172</v>
      </c>
      <c r="E12" s="3" t="str">
        <f t="shared" si="1"/>
        <v>//19</v>
      </c>
      <c r="F12" s="3" t="s">
        <v>161</v>
      </c>
      <c r="G12" s="3"/>
      <c r="H12" s="4" t="s">
        <v>25</v>
      </c>
      <c r="I12" s="3">
        <v>6</v>
      </c>
      <c r="J12" s="3" t="s">
        <v>18</v>
      </c>
      <c r="K12" s="3" t="s">
        <v>19</v>
      </c>
      <c r="L12" s="3" t="s">
        <v>20</v>
      </c>
      <c r="M12" s="3">
        <v>181</v>
      </c>
      <c r="N12" s="7">
        <f>'AS400'!AF12+'AS400'!BR12+'AS400'!DD12+'AS400'!EP12</f>
        <v>35000</v>
      </c>
    </row>
    <row r="13" spans="1:36">
      <c r="A13" s="11"/>
      <c r="B13" s="6" t="s">
        <v>182</v>
      </c>
      <c r="C13" s="3" t="str">
        <f t="shared" si="0"/>
        <v>F</v>
      </c>
      <c r="D13" s="3" t="s">
        <v>173</v>
      </c>
      <c r="E13" s="3" t="str">
        <f t="shared" si="1"/>
        <v>//19</v>
      </c>
      <c r="F13" s="3" t="s">
        <v>161</v>
      </c>
      <c r="G13" s="3"/>
      <c r="H13" s="4" t="s">
        <v>26</v>
      </c>
      <c r="I13" s="3">
        <v>7</v>
      </c>
      <c r="J13" s="3" t="s">
        <v>18</v>
      </c>
      <c r="K13" s="3" t="s">
        <v>19</v>
      </c>
      <c r="L13" s="3" t="s">
        <v>20</v>
      </c>
      <c r="M13" s="3">
        <v>181</v>
      </c>
      <c r="N13" s="7">
        <f>'AS400'!AF13+'AS400'!BR13+'AS400'!DD13+'AS400'!EP13</f>
        <v>40000</v>
      </c>
    </row>
    <row r="14" spans="1:36">
      <c r="A14" s="11"/>
      <c r="B14" s="2" t="s">
        <v>183</v>
      </c>
      <c r="C14" s="3" t="str">
        <f t="shared" si="0"/>
        <v>O</v>
      </c>
      <c r="D14" s="3" t="s">
        <v>174</v>
      </c>
      <c r="E14" s="3" t="str">
        <f t="shared" si="1"/>
        <v>//19</v>
      </c>
      <c r="F14" s="3" t="s">
        <v>161</v>
      </c>
      <c r="G14" s="3"/>
      <c r="H14" s="4" t="s">
        <v>27</v>
      </c>
      <c r="I14" s="3">
        <v>8</v>
      </c>
      <c r="J14" s="3" t="s">
        <v>18</v>
      </c>
      <c r="K14" s="3" t="s">
        <v>19</v>
      </c>
      <c r="L14" s="3" t="s">
        <v>20</v>
      </c>
      <c r="M14" s="3">
        <v>181</v>
      </c>
      <c r="N14" s="7">
        <f>'AS400'!AF14+'AS400'!BR14+'AS400'!DD14+'AS400'!EP14</f>
        <v>45000</v>
      </c>
    </row>
    <row r="15" spans="1:36">
      <c r="A15" s="11"/>
      <c r="B15" s="2" t="s">
        <v>184</v>
      </c>
      <c r="C15" s="3" t="str">
        <f t="shared" si="0"/>
        <v>S</v>
      </c>
      <c r="D15" s="3" t="s">
        <v>14</v>
      </c>
      <c r="E15" s="3" t="str">
        <f t="shared" si="1"/>
        <v>//19</v>
      </c>
      <c r="F15" s="3" t="s">
        <v>161</v>
      </c>
      <c r="G15" s="3"/>
      <c r="H15" s="4" t="s">
        <v>28</v>
      </c>
      <c r="I15" s="3">
        <v>9</v>
      </c>
      <c r="J15" s="3" t="s">
        <v>18</v>
      </c>
      <c r="K15" s="3" t="s">
        <v>19</v>
      </c>
      <c r="L15" s="3" t="s">
        <v>20</v>
      </c>
      <c r="M15" s="3">
        <v>181</v>
      </c>
      <c r="N15" s="7">
        <f>'AS400'!AF15+'AS400'!BR15+'AS400'!DD15+'AS400'!EP15</f>
        <v>50000</v>
      </c>
    </row>
    <row r="16" spans="1:36">
      <c r="A16" s="11"/>
      <c r="B16" s="2" t="s">
        <v>185</v>
      </c>
      <c r="C16" s="3" t="str">
        <f t="shared" si="0"/>
        <v>E</v>
      </c>
      <c r="D16" s="3" t="s">
        <v>166</v>
      </c>
      <c r="E16" s="3" t="str">
        <f t="shared" si="1"/>
        <v>//19</v>
      </c>
      <c r="F16" s="3" t="s">
        <v>161</v>
      </c>
      <c r="G16" s="3"/>
      <c r="H16" s="4" t="s">
        <v>29</v>
      </c>
      <c r="I16" s="3">
        <v>10</v>
      </c>
      <c r="J16" s="3" t="s">
        <v>18</v>
      </c>
      <c r="K16" s="3" t="s">
        <v>19</v>
      </c>
      <c r="L16" s="3" t="s">
        <v>20</v>
      </c>
      <c r="M16" s="3">
        <v>181</v>
      </c>
      <c r="N16" s="7">
        <f>'AS400'!AF16+'AS400'!BR16+'AS400'!DD16+'AS400'!EP16</f>
        <v>55000</v>
      </c>
    </row>
    <row r="17" spans="1:14">
      <c r="A17" s="11"/>
      <c r="B17" s="2" t="s">
        <v>186</v>
      </c>
      <c r="C17" s="3" t="str">
        <f t="shared" si="0"/>
        <v>D</v>
      </c>
      <c r="D17" s="3" t="s">
        <v>169</v>
      </c>
      <c r="E17" s="3" t="str">
        <f t="shared" si="1"/>
        <v>//19</v>
      </c>
      <c r="F17" s="3" t="s">
        <v>161</v>
      </c>
      <c r="G17" s="3"/>
      <c r="H17" s="4" t="s">
        <v>30</v>
      </c>
      <c r="I17" s="3">
        <v>11</v>
      </c>
      <c r="J17" s="3" t="s">
        <v>18</v>
      </c>
      <c r="K17" s="3" t="s">
        <v>19</v>
      </c>
      <c r="L17" s="3" t="s">
        <v>20</v>
      </c>
      <c r="M17" s="3">
        <v>181</v>
      </c>
      <c r="N17" s="7">
        <f>'AS400'!AF17+'AS400'!BR17+'AS400'!DD17+'AS400'!EP17</f>
        <v>60000</v>
      </c>
    </row>
    <row r="18" spans="1:14">
      <c r="A18" s="11"/>
      <c r="B18" s="2" t="s">
        <v>187</v>
      </c>
      <c r="C18" s="3" t="str">
        <f t="shared" si="0"/>
        <v>C</v>
      </c>
      <c r="D18" s="3" t="s">
        <v>170</v>
      </c>
      <c r="E18" s="3" t="str">
        <f t="shared" si="1"/>
        <v>//19</v>
      </c>
      <c r="F18" s="3" t="s">
        <v>161</v>
      </c>
      <c r="G18" s="3" t="s">
        <v>16</v>
      </c>
      <c r="H18" s="4" t="s">
        <v>31</v>
      </c>
      <c r="I18" s="3">
        <v>12</v>
      </c>
      <c r="J18" s="3" t="s">
        <v>18</v>
      </c>
      <c r="K18" s="3" t="s">
        <v>19</v>
      </c>
      <c r="L18" s="3" t="s">
        <v>20</v>
      </c>
      <c r="M18" s="3">
        <v>181</v>
      </c>
      <c r="N18" s="7">
        <f>'AS400'!AF18+'AS400'!BR18+'AS400'!DD18+'AS400'!EP18</f>
        <v>5000</v>
      </c>
    </row>
    <row r="19" spans="1:14">
      <c r="A19" s="11"/>
      <c r="B19" s="2" t="s">
        <v>188</v>
      </c>
      <c r="C19" s="3" t="str">
        <f t="shared" si="0"/>
        <v>P</v>
      </c>
      <c r="D19" s="3" t="s">
        <v>171</v>
      </c>
      <c r="E19" s="3" t="str">
        <f t="shared" si="1"/>
        <v>//19</v>
      </c>
      <c r="F19" s="3" t="s">
        <v>161</v>
      </c>
      <c r="G19" s="3"/>
      <c r="H19" s="4" t="s">
        <v>17</v>
      </c>
      <c r="I19" s="3">
        <v>13</v>
      </c>
      <c r="J19" s="3" t="s">
        <v>18</v>
      </c>
      <c r="K19" s="3" t="s">
        <v>19</v>
      </c>
      <c r="L19" s="3" t="s">
        <v>20</v>
      </c>
      <c r="M19" s="3">
        <v>181</v>
      </c>
      <c r="N19" s="7">
        <f>'AS400'!AF19+'AS400'!BR19+'AS400'!DD19+'AS400'!EP19</f>
        <v>10000</v>
      </c>
    </row>
    <row r="20" spans="1:14">
      <c r="A20" s="11"/>
      <c r="B20" s="2" t="s">
        <v>189</v>
      </c>
      <c r="C20" s="3" t="str">
        <f t="shared" si="0"/>
        <v>C</v>
      </c>
      <c r="D20" s="3" t="s">
        <v>172</v>
      </c>
      <c r="E20" s="3" t="str">
        <f t="shared" si="1"/>
        <v>//19</v>
      </c>
      <c r="F20" s="3" t="s">
        <v>161</v>
      </c>
      <c r="G20" s="3"/>
      <c r="H20" s="4" t="s">
        <v>21</v>
      </c>
      <c r="I20" s="3">
        <v>14</v>
      </c>
      <c r="J20" s="3" t="s">
        <v>18</v>
      </c>
      <c r="K20" s="3" t="s">
        <v>19</v>
      </c>
      <c r="L20" s="3" t="s">
        <v>20</v>
      </c>
      <c r="M20" s="3">
        <v>181</v>
      </c>
      <c r="N20" s="7">
        <f>'AS400'!AF20+'AS400'!BR20+'AS400'!DD20+'AS400'!EP20</f>
        <v>15000</v>
      </c>
    </row>
    <row r="21" spans="1:14">
      <c r="A21" s="11"/>
      <c r="B21" s="2" t="s">
        <v>190</v>
      </c>
      <c r="C21" s="3" t="str">
        <f t="shared" si="0"/>
        <v>A</v>
      </c>
      <c r="D21" s="3" t="s">
        <v>173</v>
      </c>
      <c r="E21" s="3" t="str">
        <f t="shared" si="1"/>
        <v>//19</v>
      </c>
      <c r="F21" s="3" t="s">
        <v>161</v>
      </c>
      <c r="G21" s="3"/>
      <c r="H21" s="4" t="s">
        <v>22</v>
      </c>
      <c r="I21" s="3">
        <v>15</v>
      </c>
      <c r="J21" s="3" t="s">
        <v>18</v>
      </c>
      <c r="K21" s="3" t="s">
        <v>19</v>
      </c>
      <c r="L21" s="3" t="s">
        <v>20</v>
      </c>
      <c r="M21" s="3">
        <v>181</v>
      </c>
      <c r="N21" s="7">
        <f>'AS400'!AF21+'AS400'!BR21+'AS400'!DD21+'AS400'!EP21</f>
        <v>20000</v>
      </c>
    </row>
    <row r="22" spans="1:14">
      <c r="A22" s="11"/>
      <c r="B22" s="2" t="s">
        <v>191</v>
      </c>
      <c r="C22" s="3" t="str">
        <f t="shared" si="0"/>
        <v>B</v>
      </c>
      <c r="D22" s="3" t="s">
        <v>174</v>
      </c>
      <c r="E22" s="3" t="str">
        <f t="shared" si="1"/>
        <v>//19</v>
      </c>
      <c r="F22" s="3" t="s">
        <v>161</v>
      </c>
      <c r="G22" s="3"/>
      <c r="H22" s="4" t="s">
        <v>23</v>
      </c>
      <c r="I22" s="3">
        <v>16</v>
      </c>
      <c r="J22" s="3" t="s">
        <v>18</v>
      </c>
      <c r="K22" s="3" t="s">
        <v>19</v>
      </c>
      <c r="L22" s="3" t="s">
        <v>20</v>
      </c>
      <c r="M22" s="3">
        <v>181</v>
      </c>
      <c r="N22" s="7">
        <f>'AS400'!AF22+'AS400'!BR22+'AS400'!DD22+'AS400'!EP22</f>
        <v>25000</v>
      </c>
    </row>
    <row r="23" spans="1:14">
      <c r="A23" s="11"/>
      <c r="B23" s="2" t="s">
        <v>192</v>
      </c>
      <c r="C23" s="3" t="str">
        <f t="shared" si="0"/>
        <v>T</v>
      </c>
      <c r="D23" s="3" t="s">
        <v>180</v>
      </c>
      <c r="E23" s="3" t="str">
        <f t="shared" si="1"/>
        <v>//19</v>
      </c>
      <c r="F23" s="3" t="s">
        <v>161</v>
      </c>
      <c r="G23" s="3"/>
      <c r="H23" s="4" t="s">
        <v>24</v>
      </c>
      <c r="I23" s="3">
        <v>17</v>
      </c>
      <c r="J23" s="3" t="s">
        <v>18</v>
      </c>
      <c r="K23" s="3" t="s">
        <v>19</v>
      </c>
      <c r="L23" s="3" t="s">
        <v>20</v>
      </c>
      <c r="M23" s="3">
        <v>181</v>
      </c>
      <c r="N23" s="7">
        <f>'AS400'!AF23+'AS400'!BR23+'AS400'!DD23+'AS400'!EP23</f>
        <v>30000</v>
      </c>
    </row>
    <row r="24" spans="1:14">
      <c r="A24" s="11"/>
      <c r="B24" s="6" t="s">
        <v>193</v>
      </c>
      <c r="C24" s="3" t="str">
        <f t="shared" si="0"/>
        <v>D</v>
      </c>
      <c r="D24" s="3" t="s">
        <v>166</v>
      </c>
      <c r="E24" s="3" t="str">
        <f t="shared" si="1"/>
        <v>//19</v>
      </c>
      <c r="F24" s="3" t="s">
        <v>15</v>
      </c>
      <c r="G24" s="3"/>
      <c r="H24" s="4" t="s">
        <v>25</v>
      </c>
      <c r="I24" s="3">
        <v>18</v>
      </c>
      <c r="J24" s="3" t="s">
        <v>18</v>
      </c>
      <c r="K24" s="3" t="s">
        <v>19</v>
      </c>
      <c r="L24" s="3" t="s">
        <v>20</v>
      </c>
      <c r="M24" s="3">
        <v>181</v>
      </c>
      <c r="N24" s="7">
        <f>'AS400'!AF24+'AS400'!BR24+'AS400'!DD24+'AS400'!EP24</f>
        <v>5000</v>
      </c>
    </row>
    <row r="25" spans="1:14">
      <c r="A25" s="11"/>
      <c r="B25" s="6" t="s">
        <v>194</v>
      </c>
      <c r="C25" s="3" t="str">
        <f t="shared" si="0"/>
        <v>L</v>
      </c>
      <c r="D25" s="3" t="s">
        <v>169</v>
      </c>
      <c r="E25" s="3" t="str">
        <f t="shared" si="1"/>
        <v>//19</v>
      </c>
      <c r="F25" s="3" t="s">
        <v>15</v>
      </c>
      <c r="G25" s="3"/>
      <c r="H25" s="4" t="s">
        <v>26</v>
      </c>
      <c r="I25" s="3">
        <v>19</v>
      </c>
      <c r="J25" s="3" t="s">
        <v>18</v>
      </c>
      <c r="K25" s="3" t="s">
        <v>19</v>
      </c>
      <c r="L25" s="3" t="s">
        <v>20</v>
      </c>
      <c r="M25" s="3">
        <v>181</v>
      </c>
      <c r="N25" s="7">
        <f>'AS400'!AF25+'AS400'!BR25+'AS400'!DD25+'AS400'!EP25</f>
        <v>10000</v>
      </c>
    </row>
    <row r="26" spans="1:14">
      <c r="A26" s="11"/>
      <c r="B26" s="2" t="s">
        <v>195</v>
      </c>
      <c r="C26" s="3" t="str">
        <f t="shared" si="0"/>
        <v>T</v>
      </c>
      <c r="D26" s="3" t="s">
        <v>170</v>
      </c>
      <c r="E26" s="3" t="str">
        <f t="shared" si="1"/>
        <v>//19</v>
      </c>
      <c r="F26" s="3" t="s">
        <v>15</v>
      </c>
      <c r="G26" s="3"/>
      <c r="H26" s="4" t="s">
        <v>27</v>
      </c>
      <c r="I26" s="3">
        <v>20</v>
      </c>
      <c r="J26" s="3" t="s">
        <v>18</v>
      </c>
      <c r="K26" s="3" t="s">
        <v>19</v>
      </c>
      <c r="L26" s="3" t="s">
        <v>20</v>
      </c>
      <c r="M26" s="3">
        <v>181</v>
      </c>
      <c r="N26" s="7">
        <f>'AS400'!AF26+'AS400'!BR26+'AS400'!DD26+'AS400'!EP26</f>
        <v>15000</v>
      </c>
    </row>
    <row r="27" spans="1:14">
      <c r="A27" s="11">
        <v>2711294800081</v>
      </c>
      <c r="B27" s="6" t="s">
        <v>196</v>
      </c>
      <c r="C27" s="3" t="str">
        <f t="shared" si="0"/>
        <v>A</v>
      </c>
      <c r="D27" s="3" t="s">
        <v>171</v>
      </c>
      <c r="E27" s="3" t="str">
        <f t="shared" si="1"/>
        <v>29/11/1927</v>
      </c>
      <c r="F27" s="3" t="s">
        <v>15</v>
      </c>
      <c r="G27" s="3"/>
      <c r="H27" s="4" t="s">
        <v>28</v>
      </c>
      <c r="I27" s="3">
        <v>21</v>
      </c>
      <c r="J27" s="3" t="s">
        <v>18</v>
      </c>
      <c r="K27" s="3" t="s">
        <v>19</v>
      </c>
      <c r="L27" s="3" t="s">
        <v>20</v>
      </c>
      <c r="M27" s="3">
        <v>181</v>
      </c>
      <c r="N27" s="7">
        <f>'AS400'!AF27+'AS400'!BR27+'AS400'!DD27+'AS400'!EP27</f>
        <v>20000</v>
      </c>
    </row>
    <row r="28" spans="1:14">
      <c r="A28" s="5"/>
      <c r="B28" s="2" t="s">
        <v>197</v>
      </c>
      <c r="C28" s="3" t="str">
        <f t="shared" si="0"/>
        <v>F</v>
      </c>
      <c r="D28" s="3" t="s">
        <v>172</v>
      </c>
      <c r="E28" s="3" t="str">
        <f t="shared" si="1"/>
        <v>//19</v>
      </c>
      <c r="F28" s="3" t="s">
        <v>15</v>
      </c>
      <c r="G28" s="3"/>
      <c r="H28" s="4" t="s">
        <v>29</v>
      </c>
      <c r="I28" s="3">
        <v>22</v>
      </c>
      <c r="J28" s="3" t="s">
        <v>18</v>
      </c>
      <c r="K28" s="3" t="s">
        <v>19</v>
      </c>
      <c r="L28" s="3" t="s">
        <v>20</v>
      </c>
      <c r="M28" s="3">
        <v>181</v>
      </c>
      <c r="N28" s="7">
        <f>'AS400'!AF28+'AS400'!BR28+'AS400'!DD28+'AS400'!EP28</f>
        <v>25000</v>
      </c>
    </row>
    <row r="29" spans="1:14">
      <c r="A29" s="5"/>
      <c r="B29" s="2" t="s">
        <v>164</v>
      </c>
      <c r="C29" s="3" t="str">
        <f t="shared" si="0"/>
        <v>M</v>
      </c>
      <c r="D29" s="3" t="s">
        <v>173</v>
      </c>
      <c r="E29" s="3" t="str">
        <f t="shared" si="1"/>
        <v>//19</v>
      </c>
      <c r="F29" s="3" t="s">
        <v>15</v>
      </c>
      <c r="G29" s="3"/>
      <c r="H29" s="4" t="s">
        <v>30</v>
      </c>
      <c r="I29" s="3">
        <v>23</v>
      </c>
      <c r="J29" s="3" t="s">
        <v>18</v>
      </c>
      <c r="K29" s="3" t="s">
        <v>19</v>
      </c>
      <c r="L29" s="3" t="s">
        <v>20</v>
      </c>
      <c r="M29" s="3">
        <v>181</v>
      </c>
      <c r="N29" s="7">
        <f>'AS400'!AF29+'AS400'!BR29+'AS400'!DD29+'AS400'!EP29</f>
        <v>30000</v>
      </c>
    </row>
    <row r="30" spans="1:14">
      <c r="A30" s="5"/>
      <c r="B30" s="2" t="s">
        <v>165</v>
      </c>
      <c r="C30" s="3" t="str">
        <f t="shared" si="0"/>
        <v>P</v>
      </c>
      <c r="D30" s="3" t="s">
        <v>174</v>
      </c>
      <c r="E30" s="3" t="str">
        <f t="shared" si="1"/>
        <v>//19</v>
      </c>
      <c r="F30" s="3" t="s">
        <v>161</v>
      </c>
      <c r="G30" s="3"/>
      <c r="H30" s="4" t="s">
        <v>31</v>
      </c>
      <c r="I30" s="3">
        <v>24</v>
      </c>
      <c r="J30" s="3" t="s">
        <v>18</v>
      </c>
      <c r="K30" s="3" t="s">
        <v>19</v>
      </c>
      <c r="L30" s="3" t="s">
        <v>20</v>
      </c>
      <c r="M30" s="3">
        <v>181</v>
      </c>
      <c r="N30" s="7">
        <f>'AS400'!AF30+'AS400'!BR30+'AS400'!DD30+'AS400'!EP30</f>
        <v>35000</v>
      </c>
    </row>
    <row r="31" spans="1:14">
      <c r="A31" s="5"/>
      <c r="B31" s="2" t="s">
        <v>167</v>
      </c>
      <c r="C31" s="3" t="str">
        <f t="shared" si="0"/>
        <v>J</v>
      </c>
      <c r="D31" s="3" t="s">
        <v>177</v>
      </c>
      <c r="E31" s="3" t="str">
        <f t="shared" si="1"/>
        <v>//19</v>
      </c>
      <c r="F31" s="3" t="s">
        <v>15</v>
      </c>
      <c r="G31" s="3"/>
      <c r="H31" s="4" t="s">
        <v>17</v>
      </c>
      <c r="I31" s="3">
        <v>25</v>
      </c>
      <c r="J31" s="3" t="s">
        <v>18</v>
      </c>
      <c r="K31" s="3" t="s">
        <v>19</v>
      </c>
      <c r="L31" s="3" t="s">
        <v>20</v>
      </c>
      <c r="M31" s="3">
        <v>181</v>
      </c>
      <c r="N31" s="7">
        <f>'AS400'!AF31+'AS400'!BR31+'AS400'!DD31+'AS400'!EP31</f>
        <v>40000</v>
      </c>
    </row>
    <row r="32" spans="1:14">
      <c r="A32" s="5"/>
      <c r="B32" s="2" t="s">
        <v>168</v>
      </c>
      <c r="C32" s="3" t="str">
        <f t="shared" si="0"/>
        <v>P</v>
      </c>
      <c r="D32" s="3" t="s">
        <v>166</v>
      </c>
      <c r="E32" s="3" t="str">
        <f t="shared" si="1"/>
        <v>//19</v>
      </c>
      <c r="F32" s="3" t="s">
        <v>161</v>
      </c>
      <c r="G32" s="3"/>
      <c r="H32" s="4" t="s">
        <v>21</v>
      </c>
      <c r="I32" s="3">
        <v>26</v>
      </c>
      <c r="J32" s="3" t="s">
        <v>18</v>
      </c>
      <c r="K32" s="3" t="s">
        <v>19</v>
      </c>
      <c r="L32" s="3" t="s">
        <v>20</v>
      </c>
      <c r="M32" s="3">
        <v>181</v>
      </c>
      <c r="N32" s="7">
        <f>'AS400'!AF32+'AS400'!BR32+'AS400'!DD32+'AS400'!EP32</f>
        <v>45000</v>
      </c>
    </row>
    <row r="33" spans="1:14">
      <c r="A33" s="5"/>
      <c r="B33" s="2" t="s">
        <v>181</v>
      </c>
      <c r="C33" s="3" t="str">
        <f t="shared" si="0"/>
        <v>G</v>
      </c>
      <c r="D33" s="3" t="s">
        <v>169</v>
      </c>
      <c r="E33" s="3" t="str">
        <f t="shared" si="1"/>
        <v>//19</v>
      </c>
      <c r="F33" s="3" t="s">
        <v>15</v>
      </c>
      <c r="G33" s="3"/>
      <c r="H33" s="4" t="s">
        <v>22</v>
      </c>
      <c r="I33" s="3">
        <v>27</v>
      </c>
      <c r="J33" s="3" t="s">
        <v>18</v>
      </c>
      <c r="K33" s="3" t="s">
        <v>19</v>
      </c>
      <c r="L33" s="3" t="s">
        <v>20</v>
      </c>
      <c r="M33" s="3">
        <v>181</v>
      </c>
      <c r="N33" s="7">
        <f>'AS400'!AF33+'AS400'!BR33+'AS400'!DD33+'AS400'!EP33</f>
        <v>50000</v>
      </c>
    </row>
    <row r="34" spans="1:14">
      <c r="A34" s="5"/>
      <c r="B34" s="6" t="s">
        <v>182</v>
      </c>
      <c r="C34" s="3" t="str">
        <f>MID($B34,1,1)</f>
        <v>F</v>
      </c>
      <c r="D34" s="3" t="s">
        <v>170</v>
      </c>
      <c r="E34" s="3" t="str">
        <f t="shared" si="1"/>
        <v>//19</v>
      </c>
      <c r="F34" s="3" t="s">
        <v>161</v>
      </c>
      <c r="G34" s="3"/>
      <c r="H34" s="4" t="s">
        <v>23</v>
      </c>
      <c r="I34" s="3">
        <v>28</v>
      </c>
      <c r="J34" s="3" t="s">
        <v>18</v>
      </c>
      <c r="K34" s="3" t="s">
        <v>19</v>
      </c>
      <c r="L34" s="3" t="s">
        <v>20</v>
      </c>
      <c r="M34" s="3">
        <v>181</v>
      </c>
      <c r="N34" s="7">
        <f>'AS400'!AF34+'AS400'!BR34+'AS400'!DD34+'AS400'!EP34</f>
        <v>55000</v>
      </c>
    </row>
    <row r="35" spans="1:14">
      <c r="A35" s="5"/>
      <c r="B35" s="2" t="s">
        <v>183</v>
      </c>
      <c r="C35" s="3" t="str">
        <f t="shared" si="0"/>
        <v>O</v>
      </c>
      <c r="D35" s="3" t="s">
        <v>171</v>
      </c>
      <c r="E35" s="3" t="str">
        <f t="shared" si="1"/>
        <v>//19</v>
      </c>
      <c r="F35" s="3" t="s">
        <v>161</v>
      </c>
      <c r="G35" s="3"/>
      <c r="H35" s="4" t="s">
        <v>24</v>
      </c>
      <c r="I35" s="3">
        <v>29</v>
      </c>
      <c r="J35" s="3" t="s">
        <v>18</v>
      </c>
      <c r="K35" s="3" t="s">
        <v>19</v>
      </c>
      <c r="L35" s="3" t="s">
        <v>20</v>
      </c>
      <c r="M35" s="3">
        <v>181</v>
      </c>
      <c r="N35" s="7">
        <f>'AS400'!AF35+'AS400'!BR35+'AS400'!DD35+'AS400'!EP35</f>
        <v>60000</v>
      </c>
    </row>
    <row r="36" spans="1:14">
      <c r="A36" s="5"/>
      <c r="B36" s="2" t="s">
        <v>184</v>
      </c>
      <c r="C36" s="3" t="str">
        <f t="shared" si="0"/>
        <v>S</v>
      </c>
      <c r="D36" s="3" t="s">
        <v>172</v>
      </c>
      <c r="E36" s="3" t="str">
        <f t="shared" si="1"/>
        <v>//19</v>
      </c>
      <c r="F36" s="3" t="s">
        <v>161</v>
      </c>
      <c r="G36" s="3"/>
      <c r="H36" s="4" t="s">
        <v>25</v>
      </c>
      <c r="I36" s="3">
        <v>30</v>
      </c>
      <c r="J36" s="3" t="s">
        <v>18</v>
      </c>
      <c r="K36" s="3" t="s">
        <v>19</v>
      </c>
      <c r="L36" s="3" t="s">
        <v>20</v>
      </c>
      <c r="M36" s="3">
        <v>181</v>
      </c>
      <c r="N36" s="7">
        <f>'AS400'!AF36+'AS400'!BR36+'AS400'!DD36+'AS400'!EP36</f>
        <v>65000</v>
      </c>
    </row>
    <row r="37" spans="1:14">
      <c r="A37" s="5"/>
      <c r="B37" s="2" t="s">
        <v>185</v>
      </c>
      <c r="C37" s="3" t="str">
        <f t="shared" si="0"/>
        <v>E</v>
      </c>
      <c r="D37" s="3" t="s">
        <v>173</v>
      </c>
      <c r="E37" s="3" t="str">
        <f t="shared" si="1"/>
        <v>//19</v>
      </c>
      <c r="F37" s="3" t="s">
        <v>161</v>
      </c>
      <c r="G37" s="3"/>
      <c r="H37" s="4" t="s">
        <v>26</v>
      </c>
      <c r="I37" s="3">
        <v>31</v>
      </c>
      <c r="J37" s="3" t="s">
        <v>18</v>
      </c>
      <c r="K37" s="3" t="s">
        <v>19</v>
      </c>
      <c r="L37" s="3" t="s">
        <v>20</v>
      </c>
      <c r="M37" s="3">
        <v>181</v>
      </c>
      <c r="N37" s="7">
        <f>'AS400'!AF37+'AS400'!BR37+'AS400'!DD37+'AS400'!EP37</f>
        <v>70000</v>
      </c>
    </row>
    <row r="38" spans="1:14">
      <c r="A38" s="5"/>
      <c r="B38" s="2" t="s">
        <v>186</v>
      </c>
      <c r="C38" s="3" t="str">
        <f t="shared" si="0"/>
        <v>D</v>
      </c>
      <c r="D38" s="3" t="s">
        <v>174</v>
      </c>
      <c r="E38" s="3" t="str">
        <f t="shared" si="1"/>
        <v>//19</v>
      </c>
      <c r="F38" s="3" t="s">
        <v>161</v>
      </c>
      <c r="G38" s="3"/>
      <c r="H38" s="4" t="s">
        <v>27</v>
      </c>
      <c r="I38" s="3">
        <v>32</v>
      </c>
      <c r="J38" s="3" t="s">
        <v>18</v>
      </c>
      <c r="K38" s="3" t="s">
        <v>19</v>
      </c>
      <c r="L38" s="3" t="s">
        <v>20</v>
      </c>
      <c r="M38" s="3">
        <v>181</v>
      </c>
      <c r="N38" s="7">
        <f>'AS400'!AF38+'AS400'!BR38+'AS400'!DD38+'AS400'!EP38</f>
        <v>5000</v>
      </c>
    </row>
    <row r="39" spans="1:14">
      <c r="A39" s="5"/>
      <c r="B39" s="2" t="s">
        <v>187</v>
      </c>
      <c r="C39" s="3" t="str">
        <f t="shared" si="0"/>
        <v>C</v>
      </c>
      <c r="D39" s="3" t="s">
        <v>178</v>
      </c>
      <c r="E39" s="3" t="str">
        <f t="shared" si="1"/>
        <v>//19</v>
      </c>
      <c r="F39" s="3" t="s">
        <v>161</v>
      </c>
      <c r="G39" s="3"/>
      <c r="H39" s="4" t="s">
        <v>28</v>
      </c>
      <c r="I39" s="3">
        <v>33</v>
      </c>
      <c r="J39" s="3" t="s">
        <v>18</v>
      </c>
      <c r="K39" s="3" t="s">
        <v>19</v>
      </c>
      <c r="L39" s="3" t="s">
        <v>20</v>
      </c>
      <c r="M39" s="3">
        <v>181</v>
      </c>
      <c r="N39" s="7">
        <f>'AS400'!AF39+'AS400'!BR39+'AS400'!DD39+'AS400'!EP39</f>
        <v>10000</v>
      </c>
    </row>
    <row r="40" spans="1:14">
      <c r="A40" s="5"/>
      <c r="B40" s="2" t="s">
        <v>188</v>
      </c>
      <c r="C40" s="3" t="str">
        <f t="shared" si="0"/>
        <v>P</v>
      </c>
      <c r="D40" s="3" t="s">
        <v>166</v>
      </c>
      <c r="E40" s="3" t="str">
        <f t="shared" si="1"/>
        <v>//19</v>
      </c>
      <c r="F40" s="3" t="s">
        <v>161</v>
      </c>
      <c r="G40" s="3"/>
      <c r="H40" s="4" t="s">
        <v>29</v>
      </c>
      <c r="I40" s="3">
        <v>34</v>
      </c>
      <c r="J40" s="3" t="s">
        <v>18</v>
      </c>
      <c r="K40" s="3" t="s">
        <v>19</v>
      </c>
      <c r="L40" s="3" t="s">
        <v>20</v>
      </c>
      <c r="M40" s="3">
        <v>181</v>
      </c>
      <c r="N40" s="7">
        <f>'AS400'!AF40+'AS400'!BR40+'AS400'!DD40+'AS400'!EP40</f>
        <v>15000</v>
      </c>
    </row>
    <row r="41" spans="1:14">
      <c r="A41" s="5"/>
      <c r="B41" s="2" t="s">
        <v>189</v>
      </c>
      <c r="C41" s="3" t="str">
        <f t="shared" si="0"/>
        <v>C</v>
      </c>
      <c r="D41" s="3" t="s">
        <v>169</v>
      </c>
      <c r="E41" s="3" t="str">
        <f t="shared" si="1"/>
        <v>//19</v>
      </c>
      <c r="F41" s="3" t="s">
        <v>15</v>
      </c>
      <c r="G41" s="3"/>
      <c r="H41" s="4" t="s">
        <v>30</v>
      </c>
      <c r="I41" s="3">
        <v>35</v>
      </c>
      <c r="J41" s="3" t="s">
        <v>18</v>
      </c>
      <c r="K41" s="3" t="s">
        <v>19</v>
      </c>
      <c r="L41" s="3" t="s">
        <v>20</v>
      </c>
      <c r="M41" s="3">
        <v>181</v>
      </c>
      <c r="N41" s="7">
        <f>'AS400'!AF41+'AS400'!BR41+'AS400'!DD41+'AS400'!EP41</f>
        <v>20000</v>
      </c>
    </row>
    <row r="42" spans="1:14">
      <c r="A42" s="5"/>
      <c r="B42" s="2" t="s">
        <v>190</v>
      </c>
      <c r="C42" s="3" t="str">
        <f t="shared" si="0"/>
        <v>A</v>
      </c>
      <c r="D42" s="3" t="s">
        <v>170</v>
      </c>
      <c r="E42" s="3" t="str">
        <f t="shared" si="1"/>
        <v>//19</v>
      </c>
      <c r="F42" s="3" t="s">
        <v>15</v>
      </c>
      <c r="G42" s="3"/>
      <c r="H42" s="4" t="s">
        <v>31</v>
      </c>
      <c r="I42" s="3">
        <v>36</v>
      </c>
      <c r="J42" s="3" t="s">
        <v>18</v>
      </c>
      <c r="K42" s="3" t="s">
        <v>19</v>
      </c>
      <c r="L42" s="3" t="s">
        <v>20</v>
      </c>
      <c r="M42" s="3">
        <v>181</v>
      </c>
      <c r="N42" s="7">
        <f>'AS400'!AF42+'AS400'!BR42+'AS400'!DD42+'AS400'!EP42</f>
        <v>25000</v>
      </c>
    </row>
    <row r="43" spans="1:14">
      <c r="A43" s="5"/>
      <c r="B43" s="2" t="s">
        <v>191</v>
      </c>
      <c r="C43" s="3" t="str">
        <f t="shared" si="0"/>
        <v>B</v>
      </c>
      <c r="D43" s="3" t="s">
        <v>171</v>
      </c>
      <c r="E43" s="3" t="str">
        <f t="shared" si="1"/>
        <v>//19</v>
      </c>
      <c r="F43" s="3" t="s">
        <v>15</v>
      </c>
      <c r="G43" s="3"/>
      <c r="H43" s="4" t="s">
        <v>17</v>
      </c>
      <c r="I43" s="3">
        <v>37</v>
      </c>
      <c r="J43" s="3" t="s">
        <v>18</v>
      </c>
      <c r="K43" s="3" t="s">
        <v>19</v>
      </c>
      <c r="L43" s="3" t="s">
        <v>20</v>
      </c>
      <c r="M43" s="3">
        <v>181</v>
      </c>
      <c r="N43" s="7">
        <f>'AS400'!AF43+'AS400'!BR43+'AS400'!DD43+'AS400'!EP43</f>
        <v>30000</v>
      </c>
    </row>
    <row r="44" spans="1:14">
      <c r="A44" s="5"/>
      <c r="B44" s="2" t="s">
        <v>192</v>
      </c>
      <c r="C44" s="3" t="str">
        <f t="shared" si="0"/>
        <v>T</v>
      </c>
      <c r="D44" s="3" t="s">
        <v>172</v>
      </c>
      <c r="E44" s="3" t="str">
        <f t="shared" si="1"/>
        <v>//19</v>
      </c>
      <c r="F44" s="3" t="s">
        <v>15</v>
      </c>
      <c r="G44" s="3"/>
      <c r="H44" s="4" t="s">
        <v>21</v>
      </c>
      <c r="I44" s="3">
        <v>38</v>
      </c>
      <c r="J44" s="3" t="s">
        <v>18</v>
      </c>
      <c r="K44" s="3" t="s">
        <v>19</v>
      </c>
      <c r="L44" s="3" t="s">
        <v>20</v>
      </c>
      <c r="M44" s="3">
        <v>181</v>
      </c>
      <c r="N44" s="7">
        <f>'AS400'!AF44+'AS400'!BR44+'AS400'!DD44+'AS400'!EP44</f>
        <v>35000</v>
      </c>
    </row>
    <row r="45" spans="1:14">
      <c r="A45" s="5"/>
      <c r="B45" s="6" t="s">
        <v>193</v>
      </c>
      <c r="C45" s="3" t="str">
        <f t="shared" si="0"/>
        <v>D</v>
      </c>
      <c r="D45" s="3" t="s">
        <v>173</v>
      </c>
      <c r="E45" s="3" t="str">
        <f t="shared" si="1"/>
        <v>//19</v>
      </c>
      <c r="F45" s="3" t="s">
        <v>15</v>
      </c>
      <c r="G45" s="3"/>
      <c r="H45" s="4" t="s">
        <v>22</v>
      </c>
      <c r="I45" s="3">
        <v>39</v>
      </c>
      <c r="J45" s="3" t="s">
        <v>18</v>
      </c>
      <c r="K45" s="3" t="s">
        <v>19</v>
      </c>
      <c r="L45" s="3" t="s">
        <v>20</v>
      </c>
      <c r="M45" s="3">
        <v>181</v>
      </c>
      <c r="N45" s="7">
        <f>'AS400'!AF45+'AS400'!BR45+'AS400'!DD45+'AS400'!EP45</f>
        <v>40000</v>
      </c>
    </row>
    <row r="46" spans="1:14">
      <c r="A46" s="5"/>
      <c r="B46" s="6" t="s">
        <v>194</v>
      </c>
      <c r="C46" s="3" t="str">
        <f t="shared" si="0"/>
        <v>L</v>
      </c>
      <c r="D46" s="3" t="s">
        <v>174</v>
      </c>
      <c r="E46" s="3" t="str">
        <f t="shared" si="1"/>
        <v>//19</v>
      </c>
      <c r="F46" s="3" t="s">
        <v>15</v>
      </c>
      <c r="G46" s="3"/>
      <c r="H46" s="4" t="s">
        <v>23</v>
      </c>
      <c r="I46" s="3">
        <v>40</v>
      </c>
      <c r="J46" s="3" t="s">
        <v>18</v>
      </c>
      <c r="K46" s="3" t="s">
        <v>19</v>
      </c>
      <c r="L46" s="3" t="s">
        <v>20</v>
      </c>
      <c r="M46" s="3">
        <v>181</v>
      </c>
      <c r="N46" s="7">
        <f>'AS400'!AF46+'AS400'!BR46+'AS400'!DD46+'AS400'!EP46</f>
        <v>45000</v>
      </c>
    </row>
    <row r="47" spans="1:14">
      <c r="A47" s="5"/>
      <c r="B47" s="2" t="s">
        <v>195</v>
      </c>
      <c r="C47" s="3" t="str">
        <f t="shared" si="0"/>
        <v>T</v>
      </c>
      <c r="D47" s="3" t="s">
        <v>179</v>
      </c>
      <c r="E47" s="3" t="str">
        <f t="shared" si="1"/>
        <v>//19</v>
      </c>
      <c r="F47" s="3" t="s">
        <v>161</v>
      </c>
      <c r="G47" s="3"/>
      <c r="H47" s="4" t="s">
        <v>24</v>
      </c>
      <c r="I47" s="3">
        <v>41</v>
      </c>
      <c r="J47" s="3" t="s">
        <v>18</v>
      </c>
      <c r="K47" s="3" t="s">
        <v>19</v>
      </c>
      <c r="L47" s="3" t="s">
        <v>20</v>
      </c>
      <c r="M47" s="3">
        <v>181</v>
      </c>
      <c r="N47" s="7">
        <f>'AS400'!AF47+'AS400'!BR47+'AS400'!DD47+'AS400'!EP47</f>
        <v>50000</v>
      </c>
    </row>
    <row r="48" spans="1:14">
      <c r="A48" s="5"/>
      <c r="B48" s="6" t="s">
        <v>196</v>
      </c>
      <c r="C48" s="3" t="str">
        <f t="shared" si="0"/>
        <v>A</v>
      </c>
      <c r="D48" s="3" t="s">
        <v>166</v>
      </c>
      <c r="E48" s="3" t="str">
        <f t="shared" si="1"/>
        <v>//19</v>
      </c>
      <c r="F48" s="3" t="s">
        <v>15</v>
      </c>
      <c r="G48" s="3"/>
      <c r="H48" s="4" t="s">
        <v>25</v>
      </c>
      <c r="I48" s="3">
        <v>42</v>
      </c>
      <c r="J48" s="3" t="s">
        <v>18</v>
      </c>
      <c r="K48" s="3" t="s">
        <v>19</v>
      </c>
      <c r="L48" s="3" t="s">
        <v>20</v>
      </c>
      <c r="M48" s="3">
        <v>181</v>
      </c>
      <c r="N48" s="7">
        <f>'AS400'!AF48+'AS400'!BR48+'AS400'!DD48+'AS400'!EP48</f>
        <v>50000</v>
      </c>
    </row>
    <row r="49" spans="1:14">
      <c r="A49" s="5"/>
      <c r="B49" s="2" t="s">
        <v>197</v>
      </c>
      <c r="C49" s="3" t="str">
        <f t="shared" si="0"/>
        <v>F</v>
      </c>
      <c r="D49" s="3" t="s">
        <v>169</v>
      </c>
      <c r="E49" s="3" t="str">
        <f t="shared" si="1"/>
        <v>//19</v>
      </c>
      <c r="F49" s="3" t="s">
        <v>161</v>
      </c>
      <c r="G49" s="3"/>
      <c r="H49" s="4" t="s">
        <v>26</v>
      </c>
      <c r="I49" s="3">
        <v>43</v>
      </c>
      <c r="J49" s="3" t="s">
        <v>18</v>
      </c>
      <c r="K49" s="3" t="s">
        <v>19</v>
      </c>
      <c r="L49" s="3" t="s">
        <v>20</v>
      </c>
      <c r="M49" s="3">
        <v>181</v>
      </c>
      <c r="N49" s="7">
        <f>'AS400'!AF49+'AS400'!BR49+'AS400'!DD49+'AS400'!EP49</f>
        <v>50000</v>
      </c>
    </row>
    <row r="50" spans="1:14">
      <c r="A50" s="5"/>
      <c r="B50" s="2" t="s">
        <v>164</v>
      </c>
      <c r="C50" s="3" t="str">
        <f t="shared" si="0"/>
        <v>M</v>
      </c>
      <c r="D50" s="3" t="s">
        <v>170</v>
      </c>
      <c r="E50" s="3" t="str">
        <f t="shared" si="1"/>
        <v>//19</v>
      </c>
      <c r="F50" s="3" t="s">
        <v>15</v>
      </c>
      <c r="G50" s="3"/>
      <c r="H50" s="4" t="s">
        <v>27</v>
      </c>
      <c r="I50" s="3">
        <v>44</v>
      </c>
      <c r="J50" s="3" t="s">
        <v>18</v>
      </c>
      <c r="K50" s="3" t="s">
        <v>19</v>
      </c>
      <c r="L50" s="3" t="s">
        <v>20</v>
      </c>
      <c r="M50" s="3">
        <v>181</v>
      </c>
      <c r="N50" s="7">
        <f>'AS400'!AF50+'AS400'!BR50+'AS400'!DD50+'AS400'!EP50</f>
        <v>50000</v>
      </c>
    </row>
    <row r="51" spans="1:14">
      <c r="A51" s="5"/>
      <c r="B51" s="2" t="s">
        <v>165</v>
      </c>
      <c r="C51" s="3" t="str">
        <f t="shared" si="0"/>
        <v>P</v>
      </c>
      <c r="D51" s="3" t="s">
        <v>171</v>
      </c>
      <c r="E51" s="3" t="str">
        <f t="shared" si="1"/>
        <v>//19</v>
      </c>
      <c r="F51" s="3" t="s">
        <v>161</v>
      </c>
      <c r="G51" s="3"/>
      <c r="H51" s="4" t="s">
        <v>28</v>
      </c>
      <c r="I51" s="3">
        <v>45</v>
      </c>
      <c r="J51" s="3" t="s">
        <v>18</v>
      </c>
      <c r="K51" s="3" t="s">
        <v>19</v>
      </c>
      <c r="L51" s="3" t="s">
        <v>20</v>
      </c>
      <c r="M51" s="3">
        <v>181</v>
      </c>
      <c r="N51" s="7">
        <f>'AS400'!AF51+'AS400'!BR51+'AS400'!DD51+'AS400'!EP51</f>
        <v>50000</v>
      </c>
    </row>
    <row r="52" spans="1:14">
      <c r="A52" s="5"/>
      <c r="B52" s="2" t="s">
        <v>167</v>
      </c>
      <c r="C52" s="3" t="str">
        <f t="shared" si="0"/>
        <v>J</v>
      </c>
      <c r="D52" s="3" t="s">
        <v>172</v>
      </c>
      <c r="E52" s="3" t="str">
        <f t="shared" si="1"/>
        <v>//19</v>
      </c>
      <c r="F52" s="3" t="s">
        <v>161</v>
      </c>
      <c r="G52" s="3"/>
      <c r="H52" s="4" t="s">
        <v>29</v>
      </c>
      <c r="I52" s="3">
        <v>46</v>
      </c>
      <c r="J52" s="3" t="s">
        <v>18</v>
      </c>
      <c r="K52" s="3" t="s">
        <v>19</v>
      </c>
      <c r="L52" s="3" t="s">
        <v>20</v>
      </c>
      <c r="M52" s="3">
        <v>181</v>
      </c>
      <c r="N52" s="7">
        <f>'AS400'!AF52+'AS400'!BR52+'AS400'!DD52+'AS400'!EP52</f>
        <v>50000</v>
      </c>
    </row>
    <row r="53" spans="1:14">
      <c r="A53" s="5"/>
      <c r="B53" s="2" t="s">
        <v>168</v>
      </c>
      <c r="C53" s="3" t="str">
        <f t="shared" si="0"/>
        <v>P</v>
      </c>
      <c r="D53" s="3" t="s">
        <v>173</v>
      </c>
      <c r="E53" s="3" t="str">
        <f t="shared" si="1"/>
        <v>//19</v>
      </c>
      <c r="F53" s="3" t="s">
        <v>161</v>
      </c>
      <c r="G53" s="3"/>
      <c r="H53" s="4" t="s">
        <v>30</v>
      </c>
      <c r="I53" s="3">
        <v>47</v>
      </c>
      <c r="J53" s="3" t="s">
        <v>18</v>
      </c>
      <c r="K53" s="3" t="s">
        <v>19</v>
      </c>
      <c r="L53" s="3" t="s">
        <v>20</v>
      </c>
      <c r="M53" s="3">
        <v>181</v>
      </c>
      <c r="N53" s="7">
        <f>'AS400'!AF53+'AS400'!BR53+'AS400'!DD53+'AS400'!EP53</f>
        <v>50000</v>
      </c>
    </row>
    <row r="54" spans="1:14">
      <c r="A54" s="5"/>
      <c r="B54" s="2" t="s">
        <v>181</v>
      </c>
      <c r="C54" s="3" t="str">
        <f t="shared" si="0"/>
        <v>G</v>
      </c>
      <c r="D54" s="3" t="s">
        <v>174</v>
      </c>
      <c r="E54" s="3" t="str">
        <f t="shared" si="1"/>
        <v>//19</v>
      </c>
      <c r="F54" s="3" t="s">
        <v>161</v>
      </c>
      <c r="G54" s="3"/>
      <c r="H54" s="4" t="s">
        <v>31</v>
      </c>
      <c r="I54" s="3">
        <v>48</v>
      </c>
      <c r="J54" s="3" t="s">
        <v>18</v>
      </c>
      <c r="K54" s="3" t="s">
        <v>19</v>
      </c>
      <c r="L54" s="3" t="s">
        <v>20</v>
      </c>
      <c r="M54" s="3">
        <v>181</v>
      </c>
      <c r="N54" s="7">
        <f>'AS400'!AF54+'AS400'!BR54+'AS400'!DD54+'AS400'!EP54</f>
        <v>45000</v>
      </c>
    </row>
    <row r="55" spans="1:14">
      <c r="A55" s="5"/>
      <c r="B55" s="6" t="s">
        <v>182</v>
      </c>
      <c r="C55" s="3" t="str">
        <f t="shared" si="0"/>
        <v>F</v>
      </c>
      <c r="D55" s="3" t="s">
        <v>175</v>
      </c>
      <c r="E55" s="3" t="str">
        <f t="shared" si="1"/>
        <v>//19</v>
      </c>
      <c r="F55" s="3" t="s">
        <v>161</v>
      </c>
      <c r="G55" s="3"/>
      <c r="H55" s="4" t="s">
        <v>17</v>
      </c>
      <c r="I55" s="3">
        <v>49</v>
      </c>
      <c r="J55" s="3" t="s">
        <v>18</v>
      </c>
      <c r="K55" s="3" t="s">
        <v>19</v>
      </c>
      <c r="L55" s="3" t="s">
        <v>20</v>
      </c>
      <c r="M55" s="3">
        <v>181</v>
      </c>
      <c r="N55" s="7">
        <f>'AS400'!AF55+'AS400'!BR55+'AS400'!DD55+'AS400'!EP55</f>
        <v>40000</v>
      </c>
    </row>
    <row r="56" spans="1:14">
      <c r="A56" s="5"/>
      <c r="B56" s="2" t="s">
        <v>183</v>
      </c>
      <c r="C56" s="3" t="str">
        <f t="shared" si="0"/>
        <v>O</v>
      </c>
      <c r="D56" s="3" t="s">
        <v>176</v>
      </c>
      <c r="E56" s="3" t="str">
        <f t="shared" si="1"/>
        <v>//19</v>
      </c>
      <c r="F56" s="3" t="s">
        <v>161</v>
      </c>
      <c r="G56" s="3"/>
      <c r="H56" s="4" t="s">
        <v>21</v>
      </c>
      <c r="I56" s="3">
        <v>50</v>
      </c>
      <c r="J56" s="3" t="s">
        <v>18</v>
      </c>
      <c r="K56" s="3" t="s">
        <v>19</v>
      </c>
      <c r="L56" s="3" t="s">
        <v>20</v>
      </c>
      <c r="M56" s="3">
        <v>181</v>
      </c>
      <c r="N56" s="7">
        <f>'AS400'!AF56+'AS400'!BR56+'AS400'!DD56+'AS400'!EP56</f>
        <v>30000</v>
      </c>
    </row>
    <row r="57" spans="1:14">
      <c r="B57" s="2"/>
      <c r="F57" s="3"/>
      <c r="H57" s="4"/>
    </row>
    <row r="58" spans="1:14">
      <c r="B58" s="2"/>
      <c r="F58" s="3"/>
      <c r="H58" s="4"/>
    </row>
    <row r="59" spans="1:14">
      <c r="B59" s="2"/>
      <c r="F59" s="3"/>
      <c r="H59" s="4"/>
    </row>
    <row r="60" spans="1:14">
      <c r="B60" s="2"/>
      <c r="F60" s="3"/>
      <c r="H60" s="4"/>
    </row>
    <row r="61" spans="1:14">
      <c r="B61" s="2"/>
      <c r="F61" s="3"/>
      <c r="H61" s="4"/>
    </row>
    <row r="62" spans="1:14">
      <c r="B62" s="2"/>
      <c r="F62" s="3"/>
      <c r="H62" s="4"/>
    </row>
    <row r="63" spans="1:14">
      <c r="B63" s="2"/>
      <c r="F63" s="3"/>
      <c r="H63" s="4"/>
    </row>
    <row r="64" spans="1:14">
      <c r="B64" s="2"/>
      <c r="F64" s="3"/>
      <c r="H64" s="4"/>
    </row>
    <row r="65" spans="2:8">
      <c r="B65" s="2"/>
      <c r="F65" s="3"/>
      <c r="H65" s="4"/>
    </row>
    <row r="66" spans="2:8">
      <c r="B66" s="6"/>
      <c r="F66" s="3"/>
      <c r="H66" s="4"/>
    </row>
    <row r="67" spans="2:8">
      <c r="B67" s="6"/>
      <c r="F67" s="3"/>
    </row>
    <row r="68" spans="2:8">
      <c r="B68" s="2"/>
    </row>
    <row r="69" spans="2:8">
      <c r="B69" s="6"/>
    </row>
    <row r="70" spans="2:8">
      <c r="B70" s="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AS400</vt:lpstr>
      <vt:lpstr>Web_Output</vt:lpstr>
      <vt:lpstr>Scenarios</vt:lpstr>
      <vt:lpstr>Google</vt:lpstr>
    </vt:vector>
  </TitlesOfParts>
  <Company>Metropolitan 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Eckard Berry</dc:creator>
  <cp:lastModifiedBy>Eckard Berry</cp:lastModifiedBy>
  <dcterms:created xsi:type="dcterms:W3CDTF">2019-01-15T10:23:41Z</dcterms:created>
  <dcterms:modified xsi:type="dcterms:W3CDTF">2019-03-01T13:54:04Z</dcterms:modified>
</cp:coreProperties>
</file>